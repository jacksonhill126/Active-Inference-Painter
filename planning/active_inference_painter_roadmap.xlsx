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f4e55e512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2a0b6fd17ab42c4"/>
    <x:sheet xmlns:r="http://schemas.openxmlformats.org/officeDocument/2006/relationships" name="Master Gantt" sheetId="2" r:id="R57802b2449f14d77"/>
    <x:sheet xmlns:r="http://schemas.openxmlformats.org/officeDocument/2006/relationships" name="All Task Gantt" sheetId="3" r:id="R8b1aaf8eafc64634"/>
    <x:sheet xmlns:r="http://schemas.openxmlformats.org/officeDocument/2006/relationships" name="Task Register" sheetId="4" r:id="R5bef0d6a81ae469e"/>
    <x:sheet xmlns:r="http://schemas.openxmlformats.org/officeDocument/2006/relationships" name="Research Gantt" sheetId="5" r:id="Rc7f4a52393ec47af"/>
    <x:sheet xmlns:r="http://schemas.openxmlformats.org/officeDocument/2006/relationships" name="Research Tasks" sheetId="6" r:id="Rdb1253498fe54201"/>
    <x:sheet xmlns:r="http://schemas.openxmlformats.org/officeDocument/2006/relationships" name="Simulation Gantt" sheetId="7" r:id="R1e7ea080d55042a4"/>
    <x:sheet xmlns:r="http://schemas.openxmlformats.org/officeDocument/2006/relationships" name="Simulation Tasks" sheetId="8" r:id="R131890fabcc142dc"/>
    <x:sheet xmlns:r="http://schemas.openxmlformats.org/officeDocument/2006/relationships" name="Hardware Gantt" sheetId="9" r:id="Re0eea32a52414ace"/>
    <x:sheet xmlns:r="http://schemas.openxmlformats.org/officeDocument/2006/relationships" name="Hardware Tasks" sheetId="10" r:id="R03139ca0b1084cd8"/>
    <x:sheet xmlns:r="http://schemas.openxmlformats.org/officeDocument/2006/relationships" name="Transfer Gantt" sheetId="11" r:id="R682d51445e0d4438"/>
    <x:sheet xmlns:r="http://schemas.openxmlformats.org/officeDocument/2006/relationships" name="Transfer Plan" sheetId="12" r:id="Ra9ee1aca178f4099"/>
    <x:sheet xmlns:r="http://schemas.openxmlformats.org/officeDocument/2006/relationships" name="Budget" sheetId="13" r:id="R9b2ec52a0d324337"/>
    <x:sheet xmlns:r="http://schemas.openxmlformats.org/officeDocument/2006/relationships" name="Phase Data" sheetId="14" r:id="Re7807d4b4a26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"/>
    <x:numFmt numFmtId="202" formatCode="d-mmm"/>
    <x:numFmt numFmtId="203" formatCode=";;;"/>
    <x:numFmt numFmtId="204" formatCode="$#,##0"/>
    <x:numFmt numFmtId="205" formatCode="0.0%"/>
    <x:numFmt numFmtId="206" formatCode="mmm d, yyyy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9"/>
      <x:color rgb="FF5F6F76"/>
      <x:name val="Carlito"/>
    </x:font>
    <x:font>
      <x:b/>
      <x:sz val="9"/>
      <x:color rgb="FFFFFFFF"/>
      <x:name val="Carlito"/>
    </x:font>
    <x:font>
      <x:sz val="9"/>
      <x:color rgb="FF17313A"/>
      <x:name val="Carlito"/>
    </x:font>
    <x:font>
      <x:sz val="8"/>
      <x:color rgb="FF17313A"/>
      <x:name val="Carlito"/>
    </x:font>
    <x:font>
      <x:sz val="8"/>
      <x:color rgb="FF245B88"/>
      <x:name val="Carlito"/>
    </x:font>
    <x:font>
      <x:sz val="8"/>
      <x:color rgb="FF286A3B"/>
      <x:name val="Carlito"/>
    </x:font>
    <x:font>
      <x:b/>
      <x:sz val="8"/>
      <x:color rgb="FF17313A"/>
      <x:name val="Carlito"/>
    </x:font>
    <x:font>
      <x:b/>
      <x:sz val="7"/>
      <x:color rgb="FFFFFFFF"/>
      <x:name val="Carlito"/>
    </x:font>
    <x:font>
      <x:b/>
      <x:sz val="15"/>
      <x:color rgb="FF17313A"/>
      <x:name val="Carlito"/>
    </x:font>
    <x:font>
      <x:b/>
      <x:sz val="10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3D4A"/>
      </x:patternFill>
    </x:fill>
    <x:fill>
      <x:patternFill patternType="solid">
        <x:fgColor rgb="FFEEF4F5"/>
      </x:patternFill>
    </x:fill>
    <x:fill>
      <x:patternFill patternType="solid">
        <x:fgColor rgb="FF17313A"/>
      </x:patternFill>
    </x:fill>
    <x:fill>
      <x:patternFill patternType="solid">
        <x:fgColor rgb="FFE9F2FA"/>
      </x:patternFill>
    </x:fill>
    <x:fill>
      <x:patternFill patternType="solid">
        <x:fgColor rgb="FFEAF5EE"/>
      </x:patternFill>
    </x:fill>
    <x:fill>
      <x:patternFill patternType="solid">
        <x:fgColor rgb="FFF8EACB"/>
      </x:patternFill>
    </x:fill>
    <x:fill>
      <x:patternFill patternType="solid">
        <x:fgColor rgb="FF2A5965"/>
      </x:patternFill>
    </x:fill>
    <x:fill>
      <x:patternFill patternType="solid">
        <x:fgColor rgb="FFFFFFFF"/>
      </x:patternFill>
    </x:fill>
  </x:fills>
  <x:borders count="23">
    <x:border/>
    <x:border>
      <x:left style="thin">
        <x:color rgb="FFD7E0E3"/>
      </x:left>
      <x:top style="thin">
        <x:color rgb="FFD7E0E3"/>
      </x:top>
      <x:bottom style="thin">
        <x:color rgb="FFD7E0E3"/>
      </x:bottom>
    </x:border>
    <x:border>
      <x:top style="thin">
        <x:color rgb="FFD7E0E3"/>
      </x:top>
      <x:bottom style="thin">
        <x:color rgb="FFD7E0E3"/>
      </x:bottom>
    </x:border>
    <x:border>
      <x:right style="thin">
        <x:color rgb="FFD7E0E3"/>
      </x:right>
      <x:top style="thin">
        <x:color rgb="FFD7E0E3"/>
      </x:top>
      <x:bottom style="thin">
        <x:color rgb="FFD7E0E3"/>
      </x:bottom>
    </x:border>
    <x:border>
      <x:bottom style="thin">
        <x:color rgb="FFD7E0E3"/>
      </x:bottom>
    </x:border>
    <x:border>
      <x:left style="thin">
        <x:color rgb="FFD7E0E3"/>
      </x:left>
      <x:top style="thin">
        <x:color rgb="FFD7E0E3"/>
      </x:top>
    </x:border>
    <x:border>
      <x:top style="thin">
        <x:color rgb="FFD7E0E3"/>
      </x:top>
    </x:border>
    <x:border>
      <x:right style="thin">
        <x:color rgb="FFD7E0E3"/>
      </x:right>
      <x:top style="thin">
        <x:color rgb="FFD7E0E3"/>
      </x:top>
    </x:border>
    <x:border>
      <x:left style="thin">
        <x:color rgb="FFD7E0E3"/>
      </x:left>
    </x:border>
    <x:border>
      <x:right style="thin">
        <x:color rgb="FFD7E0E3"/>
      </x:right>
    </x:border>
    <x:border>
      <x:left style="thin">
        <x:color rgb="FFD7E0E3"/>
      </x:left>
      <x:bottom style="thin">
        <x:color rgb="FFD7E0E3"/>
      </x:bottom>
    </x:border>
    <x:border>
      <x:right style="thin">
        <x:color rgb="FFD7E0E3"/>
      </x:right>
      <x:bottom style="thin">
        <x:color rgb="FFD7E0E3"/>
      </x:bottom>
    </x:border>
    <x:border>
      <x:left style="thin">
        <x:color rgb="FF49626A"/>
      </x:left>
      <x:right style="thin">
        <x:color rgb="FF49626A"/>
      </x:right>
      <x:top style="thin">
        <x:color rgb="FF49626A"/>
      </x:top>
      <x:bottom style="thin">
        <x:color rgb="FF49626A"/>
      </x:bottom>
    </x:border>
    <x:border>
      <x:right style="thin">
        <x:color rgb="FFEDF2F3"/>
      </x:right>
      <x:bottom style="thin">
        <x:color rgb="FFE5ECEE"/>
      </x:bottom>
    </x:border>
    <x:border>
      <x:left style="thin">
        <x:color rgb="FFEDF2F3"/>
      </x:left>
      <x:right style="thin">
        <x:color rgb="FFEDF2F3"/>
      </x:right>
      <x:bottom style="thin">
        <x:color rgb="FFE5ECEE"/>
      </x:bottom>
    </x:border>
    <x:border>
      <x:left style="thin">
        <x:color rgb="FFEDF2F3"/>
      </x:left>
      <x:bottom style="thin">
        <x:color rgb="FFE5ECEE"/>
      </x:bottom>
    </x:border>
    <x:border>
      <x:right style="thin">
        <x:color rgb="FFEDF2F3"/>
      </x:right>
      <x:top style="thin">
        <x:color rgb="FFE5ECEE"/>
      </x:top>
      <x:bottom style="thin">
        <x:color rgb="FFE5ECEE"/>
      </x:bottom>
    </x:border>
    <x:border>
      <x:left style="thin">
        <x:color rgb="FFEDF2F3"/>
      </x:left>
      <x:right style="thin">
        <x:color rgb="FFEDF2F3"/>
      </x:right>
      <x:top style="thin">
        <x:color rgb="FFE5ECEE"/>
      </x:top>
      <x:bottom style="thin">
        <x:color rgb="FFE5ECEE"/>
      </x:bottom>
    </x:border>
    <x:border>
      <x:left style="thin">
        <x:color rgb="FFEDF2F3"/>
      </x:left>
      <x:top style="thin">
        <x:color rgb="FFE5ECEE"/>
      </x:top>
      <x:bottom style="thin">
        <x:color rgb="FFE5ECEE"/>
      </x:bottom>
    </x:border>
    <x:border>
      <x:right style="thin">
        <x:color rgb="FFEDF2F3"/>
      </x:right>
      <x:top style="thin">
        <x:color rgb="FFE5ECEE"/>
      </x:top>
    </x:border>
    <x:border>
      <x:left style="thin">
        <x:color rgb="FFEDF2F3"/>
      </x:left>
      <x:right style="thin">
        <x:color rgb="FFEDF2F3"/>
      </x:right>
      <x:top style="thin">
        <x:color rgb="FFE5ECEE"/>
      </x:top>
    </x:border>
    <x:border>
      <x:left style="thin">
        <x:color rgb="FFEDF2F3"/>
      </x:left>
      <x:top style="thin">
        <x:color rgb="FFE5ECEE"/>
      </x:top>
    </x:border>
    <x:border>
      <x:left style="thin">
        <x:color rgb="FFD7E0E3"/>
      </x:left>
      <x:right style="thin">
        <x:color rgb="FFD7E0E3"/>
      </x:right>
      <x:top style="thin">
        <x:color rgb="FFD7E0E3"/>
      </x:top>
      <x:bottom style="thin">
        <x:color rgb="FFD7E0E3"/>
      </x:bottom>
    </x:border>
  </x:borders>
  <x:cellStyleXfs count="1">
    <x:xf numFmtId="0" fontId="0" fillId="0" borderId="0"/>
  </x:cellStyleXfs>
  <x:cellXfs count="2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4" fillId="0" borderId="4" xfId="0" applyNumberFormat="1" applyFont="1" applyFill="1" applyBorder="1"/>
    <x:xf numFmtId="0" fontId="4" fillId="5" borderId="4" xfId="0" applyNumberFormat="1" applyFont="1" applyFill="1" applyBorder="1"/>
    <x:xf numFmtId="0" fontId="4" fillId="6" borderId="4" xfId="0" applyNumberFormat="1" applyFont="1" applyFill="1" applyBorder="1"/>
    <x:xf numFmtId="0" fontId="4" fillId="0" borderId="2" xfId="0" applyNumberFormat="1" applyFont="1" applyFill="1" applyBorder="1"/>
    <x:xf numFmtId="0" fontId="4" fillId="6" borderId="2" xfId="0" applyNumberFormat="1" applyFont="1" applyFill="1" applyBorder="1"/>
    <x:xf numFmtId="0" fontId="4" fillId="5" borderId="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4" xfId="0" applyNumberFormat="1" applyFont="1" applyFill="1" applyBorder="1" applyAlignment="1">
      <x:alignment vertical="center" wrapText="1"/>
    </x:xf>
    <x:xf numFmtId="200" fontId="4" fillId="6" borderId="4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201" fontId="4" fillId="5" borderId="4" xfId="0" applyNumberFormat="1" applyFont="1" applyFill="1" applyBorder="1" applyAlignment="1">
      <x:alignment vertical="center" wrapText="1"/>
    </x:xf>
    <x:xf numFmtId="201" fontId="4" fillId="5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5" fillId="0" borderId="4" xfId="0" applyNumberFormat="1" applyFont="1" applyFill="1" applyBorder="1"/>
    <x:xf numFmtId="0" fontId="5" fillId="5" borderId="4" xfId="0" applyNumberFormat="1" applyFont="1" applyFill="1" applyBorder="1"/>
    <x:xf numFmtId="0" fontId="5" fillId="6" borderId="4" xfId="0" applyNumberFormat="1" applyFont="1" applyFill="1" applyBorder="1"/>
    <x:xf numFmtId="0" fontId="5" fillId="0" borderId="2" xfId="0" applyNumberFormat="1" applyFont="1" applyFill="1" applyBorder="1"/>
    <x:xf numFmtId="0" fontId="5" fillId="5" borderId="2" xfId="0" applyNumberFormat="1" applyFont="1" applyFill="1" applyBorder="1"/>
    <x:xf numFmtId="0" fontId="5" fillId="6" borderId="2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201" fontId="5" fillId="5" borderId="4" xfId="0" applyNumberFormat="1" applyFont="1" applyFill="1" applyBorder="1" applyAlignment="1">
      <x:alignment vertical="center" wrapText="1"/>
    </x:xf>
    <x:xf numFmtId="201" fontId="5" fillId="5" borderId="2" xfId="0" applyNumberFormat="1" applyFont="1" applyFill="1" applyBorder="1" applyAlignment="1">
      <x:alignment vertical="center" wrapText="1"/>
    </x:xf>
    <x:xf numFmtId="200" fontId="5" fillId="6" borderId="4" xfId="0" applyNumberFormat="1" applyFont="1" applyFill="1" applyBorder="1" applyAlignment="1">
      <x:alignment vertical="center" wrapText="1"/>
    </x:xf>
    <x:xf numFmtId="200" fontId="5" fillId="6" borderId="2" xfId="0" applyNumberFormat="1" applyFont="1" applyFill="1" applyBorder="1" applyAlignment="1">
      <x:alignment vertical="center" wrapText="1"/>
    </x:xf>
    <x:xf numFmtId="201" fontId="6" fillId="5" borderId="4" xfId="0" applyNumberFormat="1" applyFont="1" applyFill="1" applyBorder="1" applyAlignment="1">
      <x:alignment vertical="center" wrapText="1"/>
    </x:xf>
    <x:xf numFmtId="201" fontId="6" fillId="5" borderId="2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vertical="center" wrapText="1"/>
    </x:xf>
    <x:xf numFmtId="200" fontId="7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2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201" fontId="5" fillId="7" borderId="4" xfId="0" applyNumberFormat="1" applyFont="1" applyFill="1" applyBorder="1" applyAlignment="1">
      <x:alignment vertical="center" wrapText="1"/>
    </x:xf>
    <x:xf numFmtId="201" fontId="5" fillId="7" borderId="2" xfId="0" applyNumberFormat="1" applyFont="1" applyFill="1" applyBorder="1" applyAlignment="1">
      <x:alignment vertical="center" wrapText="1"/>
    </x:xf>
    <x:xf numFmtId="201" fontId="6" fillId="7" borderId="4" xfId="0" applyNumberFormat="1" applyFont="1" applyFill="1" applyBorder="1" applyAlignment="1">
      <x:alignment vertical="center" wrapText="1"/>
    </x:xf>
    <x:xf numFmtId="201" fontId="6" fillId="7" borderId="2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4" xfId="0" applyNumberFormat="1" applyFont="1" applyFill="1" applyBorder="1"/>
    <x:xf numFmtId="0" fontId="3" fillId="4" borderId="11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2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/>
    <x:xf numFmtId="0" fontId="9" fillId="4" borderId="12" xfId="0" applyNumberFormat="1" applyFont="1" applyFill="1" applyBorder="1"/>
    <x:xf numFmtId="202" fontId="9" fillId="4" borderId="12" xfId="0" applyNumberFormat="1" applyFont="1" applyFill="1" applyBorder="1"/>
    <x:xf numFmtId="202" fontId="9" fillId="4" borderId="12" xfId="0" applyNumberFormat="1" applyFont="1" applyFill="1" applyBorder="1" applyAlignment="1">
      <x:alignment horizontal="center"/>
    </x:xf>
    <x:xf numFmtId="202" fontId="9" fillId="4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203" fontId="0" fillId="0" borderId="13" xfId="0" applyNumberFormat="1" applyFont="1" applyFill="1" applyBorder="1"/>
    <x:xf numFmtId="203" fontId="0" fillId="0" borderId="14" xfId="0" applyNumberFormat="1" applyFont="1" applyFill="1" applyBorder="1"/>
    <x:xf numFmtId="203" fontId="0" fillId="0" borderId="15" xfId="0" applyNumberFormat="1" applyFont="1" applyFill="1" applyBorder="1"/>
    <x:xf numFmtId="203" fontId="0" fillId="0" borderId="16" xfId="0" applyNumberFormat="1" applyFont="1" applyFill="1" applyBorder="1"/>
    <x:xf numFmtId="203" fontId="0" fillId="0" borderId="17" xfId="0" applyNumberFormat="1" applyFont="1" applyFill="1" applyBorder="1"/>
    <x:xf numFmtId="203" fontId="0" fillId="0" borderId="18" xfId="0" applyNumberFormat="1" applyFont="1" applyFill="1" applyBorder="1"/>
    <x:xf numFmtId="203" fontId="0" fillId="0" borderId="19" xfId="0" applyNumberFormat="1" applyFont="1" applyFill="1" applyBorder="1"/>
    <x:xf numFmtId="203" fontId="0" fillId="0" borderId="20" xfId="0" applyNumberFormat="1" applyFont="1" applyFill="1" applyBorder="1"/>
    <x:xf numFmtId="203" fontId="0" fillId="0" borderId="21" xfId="0" applyNumberFormat="1" applyFont="1" applyFill="1" applyBorder="1"/>
    <x:xf numFmtId="0" fontId="3" fillId="4" borderId="22" xfId="0" applyNumberFormat="1" applyFont="1" applyFill="1" applyBorder="1"/>
    <x:xf numFmtId="0" fontId="3" fillId="4" borderId="22" xfId="0" applyNumberFormat="1" applyFont="1" applyFill="1" applyBorder="1" applyAlignment="1">
      <x:alignment horizontal="center"/>
    </x:xf>
    <x:xf numFmtId="0" fontId="3" fillId="4" borderId="2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22" xfId="0" applyNumberFormat="1" applyFont="1" applyFill="1" applyBorder="1"/>
    <x:xf numFmtId="204" fontId="10" fillId="9" borderId="22" xfId="0" applyNumberFormat="1" applyFont="1" applyFill="1" applyBorder="1"/>
    <x:xf numFmtId="204" fontId="10" fillId="9" borderId="22" xfId="0" applyNumberFormat="1" applyFont="1" applyFill="1" applyBorder="1" applyAlignment="1">
      <x:alignment horizontal="center"/>
    </x:xf>
    <x:xf numFmtId="204" fontId="10" fillId="9" borderId="22" xfId="0" applyNumberFormat="1" applyFont="1" applyFill="1" applyBorder="1" applyAlignment="1">
      <x:alignment horizontal="center" vertical="center"/>
    </x:xf>
    <x:xf numFmtId="204" fontId="10" fillId="5" borderId="22" xfId="0" applyNumberFormat="1" applyFont="1" applyFill="1" applyBorder="1" applyAlignment="1">
      <x:alignment horizontal="center" vertical="center"/>
    </x:xf>
    <x:xf numFmtId="204" fontId="10" fillId="6" borderId="22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4" fontId="5" fillId="5" borderId="4" xfId="0" applyNumberFormat="1" applyFont="1" applyFill="1" applyBorder="1" applyAlignment="1">
      <x:alignment vertical="center" wrapText="1"/>
    </x:xf>
    <x:xf numFmtId="204" fontId="5" fillId="6" borderId="4" xfId="0" applyNumberFormat="1" applyFont="1" applyFill="1" applyBorder="1" applyAlignment="1">
      <x:alignment vertical="center" wrapText="1"/>
    </x:xf>
    <x:xf numFmtId="204" fontId="5" fillId="5" borderId="2" xfId="0" applyNumberFormat="1" applyFont="1" applyFill="1" applyBorder="1" applyAlignment="1">
      <x:alignment vertical="center" wrapText="1"/>
    </x:xf>
    <x:xf numFmtId="204" fontId="5" fillId="6" borderId="2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/>
    <x:xf numFmtId="204" fontId="4" fillId="0" borderId="22" xfId="0" applyNumberFormat="1" applyFont="1" applyFill="1" applyBorder="1"/>
    <x:xf numFmtId="205" fontId="4" fillId="0" borderId="22" xfId="0" applyNumberFormat="1" applyFont="1" applyFill="1" applyBorder="1"/>
    <x:xf numFmtId="204" fontId="4" fillId="6" borderId="22" xfId="0" applyNumberFormat="1" applyFont="1" applyFill="1" applyBorder="1"/>
    <x:xf numFmtId="205" fontId="4" fillId="6" borderId="22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0" fillId="9" borderId="22" xfId="0" applyNumberFormat="1" applyFont="1" applyFill="1" applyBorder="1" applyAlignment="1">
      <x:alignment horizontal="center"/>
    </x:xf>
    <x:xf numFmtId="0" fontId="10" fillId="9" borderId="22" xfId="0" applyNumberFormat="1" applyFont="1" applyFill="1" applyBorder="1" applyAlignment="1">
      <x:alignment horizontal="center" vertical="center"/>
    </x:xf>
    <x:xf numFmtId="206" fontId="10" fillId="9" borderId="22" xfId="0" applyNumberFormat="1" applyFont="1" applyFill="1" applyBorder="1" applyAlignment="1">
      <x:alignment horizontal="center" vertical="center"/>
    </x:xf>
    <x:xf numFmtId="201" fontId="10" fillId="9" borderId="22" xfId="0" applyNumberFormat="1" applyFont="1" applyFill="1" applyBorder="1" applyAlignment="1">
      <x:alignment horizontal="center" vertical="center"/>
    </x:xf>
    <x:xf numFmtId="201" fontId="4" fillId="0" borderId="22" xfId="0" applyNumberFormat="1" applyFont="1" applyFill="1" applyBorder="1"/>
    <x:xf numFmtId="0" fontId="11" fillId="4" borderId="0" xfId="0" applyNumberFormat="1" applyFont="1" applyFill="1" applyBorder="1"/>
  </x:cellXfs>
  <x:cellStyles count="1">
    <x:cellStyle name="Normal" xfId="0"/>
  </x:cellStyles>
  <x:dxfs count="336">
    <x:dxf>
      <x:font>
        <x:color rgb="FF65737E"/>
      </x:font>
      <x:fill>
        <x:patternFill>
          <x:bgColor rgb="FF65737E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735B9A"/>
      </x:font>
      <x:fill>
        <x:patternFill>
          <x:bgColor rgb="FF735B9A"/>
        </x:patternFill>
      </x:fill>
    </x:dxf>
    <x:dxf>
      <x:font>
        <x:color rgb="FF735B9A"/>
      </x:font>
      <x:fill>
        <x:patternFill>
          <x:bgColor rgb="FF735B9A"/>
        </x:patternFill>
      </x:fill>
    </x:dxf>
    <x:dxf>
      <x:font>
        <x:color rgb="FF735B9A"/>
      </x:font>
      <x:fill>
        <x:patternFill>
          <x:bgColor rgb="FF735B9A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735B9A"/>
      </x:font>
      <x:fill>
        <x:patternFill>
          <x:bgColor rgb="FF735B9A"/>
        </x:patternFill>
      </x:fill>
    </x:dxf>
    <x:dxf>
      <x:font>
        <x:color rgb="FF735B9A"/>
      </x:font>
      <x:fill>
        <x:patternFill>
          <x:bgColor rgb="FF735B9A"/>
        </x:patternFill>
      </x:fill>
    </x:dxf>
    <x:dxf>
      <x:font>
        <x:color rgb="FF735B9A"/>
      </x:font>
      <x:fill>
        <x:patternFill>
          <x:bgColor rgb="FF735B9A"/>
        </x:patternFill>
      </x:fill>
    </x:dxf>
    <x:dxf>
      <x:font>
        <x:color rgb="FF65737E"/>
      </x:font>
      <x:fill>
        <x:patternFill>
          <x:bgColor rgb="FF65737E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16817A"/>
      </x:font>
      <x:fill>
        <x:patternFill>
          <x:bgColor rgb="FF16817A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3E77A8"/>
      </x:font>
      <x:fill>
        <x:patternFill>
          <x:bgColor rgb="FF3E77A8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B56B2C"/>
      </x:font>
      <x:fill>
        <x:patternFill>
          <x:bgColor rgb="FFB56B2C"/>
        </x:patternFill>
      </x:fill>
    </x:dxf>
    <x:dxf>
      <x:font>
        <x:color rgb="FF735B9A"/>
      </x:font>
      <x:fill>
        <x:patternFill>
          <x:bgColor rgb="FF735B9A"/>
        </x:patternFill>
      </x:fill>
    </x:dxf>
    <x:dxf>
      <x:font>
        <x:color rgb="FF735B9A"/>
      </x:font>
      <x:fill>
        <x:patternFill>
          <x:bgColor rgb="FF735B9A"/>
        </x:patternFill>
      </x:fill>
    </x:dxf>
    <x:dxf>
      <x:font>
        <x:color rgb="FF735B9A"/>
      </x:font>
      <x:fill>
        <x:patternFill>
          <x:bgColor rgb="FF735B9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17d042b0744c8" /><Relationship Type="http://schemas.openxmlformats.org/officeDocument/2006/relationships/theme" Target="/xl/theme/theme1.xml" Id="Rb941a6b81b9a44d4" /><Relationship Type="http://schemas.openxmlformats.org/officeDocument/2006/relationships/sharedStrings" Target="/xl/sharedStrings.xml" Id="R9e920d05deae4f87" /><Relationship Type="http://schemas.openxmlformats.org/officeDocument/2006/relationships/worksheet" Target="/xl/worksheets/sheet1.xml" Id="Rd2a0b6fd17ab42c4" /><Relationship Type="http://schemas.openxmlformats.org/officeDocument/2006/relationships/worksheet" Target="/xl/worksheets/sheet2.xml" Id="R57802b2449f14d77" /><Relationship Type="http://schemas.openxmlformats.org/officeDocument/2006/relationships/worksheet" Target="/xl/worksheets/sheet3.xml" Id="R8b1aaf8eafc64634" /><Relationship Type="http://schemas.openxmlformats.org/officeDocument/2006/relationships/worksheet" Target="/xl/worksheets/sheet4.xml" Id="R5bef0d6a81ae469e" /><Relationship Type="http://schemas.openxmlformats.org/officeDocument/2006/relationships/worksheet" Target="/xl/worksheets/sheet5.xml" Id="Rc7f4a52393ec47af" /><Relationship Type="http://schemas.openxmlformats.org/officeDocument/2006/relationships/worksheet" Target="/xl/worksheets/sheet6.xml" Id="Rdb1253498fe54201" /><Relationship Type="http://schemas.openxmlformats.org/officeDocument/2006/relationships/worksheet" Target="/xl/worksheets/sheet7.xml" Id="R1e7ea080d55042a4" /><Relationship Type="http://schemas.openxmlformats.org/officeDocument/2006/relationships/worksheet" Target="/xl/worksheets/sheet8.xml" Id="R131890fabcc142dc" /><Relationship Type="http://schemas.openxmlformats.org/officeDocument/2006/relationships/worksheet" Target="/xl/worksheets/sheet9.xml" Id="Re0eea32a52414ace" /><Relationship Type="http://schemas.openxmlformats.org/officeDocument/2006/relationships/worksheet" Target="/xl/worksheets/sheet10.xml" Id="R03139ca0b1084cd8" /><Relationship Type="http://schemas.openxmlformats.org/officeDocument/2006/relationships/worksheet" Target="/xl/worksheets/sheet11.xml" Id="R682d51445e0d4438" /><Relationship Type="http://schemas.openxmlformats.org/officeDocument/2006/relationships/worksheet" Target="/xl/worksheets/sheet12.xml" Id="Ra9ee1aca178f4099" /><Relationship Type="http://schemas.openxmlformats.org/officeDocument/2006/relationships/worksheet" Target="/xl/worksheets/sheet13.xml" Id="R9b2ec52a0d324337" /><Relationship Type="http://schemas.openxmlformats.org/officeDocument/2006/relationships/worksheet" Target="/xl/worksheets/sheet14.xml" Id="Re7807d4b4a264c8b" /></Relationships>
</file>

<file path=xl/tables/table1.xml><?xml version="1.0" encoding="utf-8"?>
<x:table xmlns:x="http://schemas.openxmlformats.org/spreadsheetml/2006/main" id="6" name="ProjectTaskRegister" displayName="ProjectTaskRegister" ref="A4:K163" headerRowCount="1" totalsRowCount="0" totalsRowShown="0">
  <x:autoFilter ref="A4:K163"/>
  <x:tableColumns count="11">
    <x:tableColumn id="1" name="ID"/>
    <x:tableColumn id="2" name="Milestone"/>
    <x:tableColumn id="3" name="Track"/>
    <x:tableColumn id="4" name="Task"/>
    <x:tableColumn id="5" name="Dependencies"/>
    <x:tableColumn id="6" name="Status"/>
    <x:tableColumn id="7" name="Estimate"/>
    <x:tableColumn id="8" name="Scheduled Workdays"/>
    <x:tableColumn id="9" name="Planned Start"/>
    <x:tableColumn id="10" name="Planned Finish"/>
    <x:tableColumn id="11" name="Deliverable / Accept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TaskTable" displayName="ResearchTaskTable" ref="A4:K74" headerRowCount="1" totalsRowCount="0" totalsRowShown="0">
  <x:autoFilter ref="A4:K74"/>
  <x:tableColumns count="11">
    <x:tableColumn id="1" name="ID"/>
    <x:tableColumn id="2" name="Milestone"/>
    <x:tableColumn id="3" name="Track"/>
    <x:tableColumn id="4" name="Task"/>
    <x:tableColumn id="5" name="Dependencies"/>
    <x:tableColumn id="6" name="Status"/>
    <x:tableColumn id="7" name="Estimate"/>
    <x:tableColumn id="8" name="Scheduled Workdays"/>
    <x:tableColumn id="9" name="Planned Start"/>
    <x:tableColumn id="10" name="Planned Finish"/>
    <x:tableColumn id="11" name="Deliverable / Accept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mulationTaskTable" displayName="SimulationTaskTable" ref="A4:K43" headerRowCount="1" totalsRowCount="0" totalsRowShown="0">
  <x:autoFilter ref="A4:K43"/>
  <x:tableColumns count="11">
    <x:tableColumn id="1" name="ID"/>
    <x:tableColumn id="2" name="Milestone"/>
    <x:tableColumn id="3" name="Track"/>
    <x:tableColumn id="4" name="Task"/>
    <x:tableColumn id="5" name="Dependencies"/>
    <x:tableColumn id="6" name="Status"/>
    <x:tableColumn id="7" name="Estimate"/>
    <x:tableColumn id="8" name="Scheduled Workdays"/>
    <x:tableColumn id="9" name="Planned Start"/>
    <x:tableColumn id="10" name="Planned Finish"/>
    <x:tableColumn id="11" name="Deliverable / Accept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rdwareTaskTable" displayName="HardwareTaskTable" ref="A4:K51" headerRowCount="1" totalsRowCount="0" totalsRowShown="0">
  <x:autoFilter ref="A4:K51"/>
  <x:tableColumns count="11">
    <x:tableColumn id="1" name="ID"/>
    <x:tableColumn id="2" name="Milestone"/>
    <x:tableColumn id="3" name="Track"/>
    <x:tableColumn id="4" name="Task"/>
    <x:tableColumn id="5" name="Dependencies"/>
    <x:tableColumn id="6" name="Status"/>
    <x:tableColumn id="7" name="Estimate"/>
    <x:tableColumn id="8" name="Scheduled Workdays"/>
    <x:tableColumn id="9" name="Planned Start"/>
    <x:tableColumn id="10" name="Planned Finish"/>
    <x:tableColumn id="11" name="Deliverable / Accept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nsferPlanTable" displayName="TransferPlanTable" ref="A4:K7" headerRowCount="1" totalsRowCount="0" totalsRowShown="0">
  <x:autoFilter ref="A4:K7"/>
  <x:tableColumns count="11">
    <x:tableColumn id="1" name="ID"/>
    <x:tableColumn id="2" name="Milestone"/>
    <x:tableColumn id="3" name="Track"/>
    <x:tableColumn id="4" name="Task"/>
    <x:tableColumn id="5" name="Dependencies"/>
    <x:tableColumn id="6" name="Status"/>
    <x:tableColumn id="7" name="Estimate"/>
    <x:tableColumn id="8" name="Scheduled Workdays"/>
    <x:tableColumn id="9" name="Planned Start"/>
    <x:tableColumn id="10" name="Planned Finish"/>
    <x:tableColumn id="11" name="Deliverable / Accept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BudgetItems" displayName="BudgetItems" ref="A12:L28" headerRowCount="1" totalsRowCount="0" totalsRowShown="0">
  <x:autoFilter ref="A12:L28"/>
  <x:tableColumns count="12">
    <x:tableColumn id="1" name="Category"/>
    <x:tableColumn id="2" name="Line Item"/>
    <x:tableColumn id="3" name="Qty"/>
    <x:tableColumn id="4" name="Low Unit"/>
    <x:tableColumn id="5" name="Planned Unit"/>
    <x:tableColumn id="6" name="High Unit"/>
    <x:tableColumn id="7" name="Planned Total"/>
    <x:tableColumn id="8" name="Committed"/>
    <x:tableColumn id="9" name="Actual"/>
    <x:tableColumn id="10" name="Variance"/>
    <x:tableColumn id="11" name="Release Gate"/>
    <x:tableColumn id="12" name="Spend Guida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PhaseTable" displayName="PhaseTable" ref="A4:I22" headerRowCount="1" totalsRowCount="0" totalsRowShown="0">
  <x:autoFilter ref="A4:I22"/>
  <x:tableColumns count="9">
    <x:tableColumn id="1" name="ID"/>
    <x:tableColumn id="2" name="Workstream"/>
    <x:tableColumn id="3" name="Phase"/>
    <x:tableColumn id="4" name="Depends On"/>
    <x:tableColumn id="5" name="Start"/>
    <x:tableColumn id="6" name="Duration (weeks)"/>
    <x:tableColumn id="7" name="End"/>
    <x:tableColumn id="8" name="Gate / Purpose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f3bac125b9949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ac924f4990a740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7540d5259c89478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45ef0d77a95e45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78621f154ed649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6.xml" Id="R2f4fd03a1e1643e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7.xml" Id="Rfc902717f13943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2" hidden="0" customWidth="1"/>
    <x:col min="5" max="5" width="4" hidden="0" customWidth="1"/>
    <x:col min="6" max="6" width="24" hidden="0" customWidth="1"/>
    <x:col min="7" max="7" width="14" hidden="0" customWidth="1"/>
    <x:col min="8" max="8" width="35" hidden="0" customWidth="1"/>
  </x:cols>
  <x:sheetData>
    <x:row r="1" ht="34" customHeight="1">
      <x:c r="A1" s="3" t="str">
        <x:v>Active-Inference Painter Roadmap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One-investigator planning envelope organized by program. Dates and spending are revised at capability and hardware gates.</x:v>
      </x:c>
      <x:c r="B2" s="6"/>
      <x:c r="C2" s="6"/>
      <x:c r="D2" s="6"/>
      <x:c r="E2" s="6"/>
      <x:c r="F2" s="6"/>
      <x:c r="G2" s="6"/>
      <x:c r="H2" s="6"/>
    </x:row>
    <x:row r="3">
      <x:c r="A3" s="200" t="str">
        <x:v>156 documented tasks plus 3 undecomposed transfer envelopes; lifetime budget ceiling USD 8,000.</x:v>
      </x:c>
      <x:c r="B3" s="200"/>
      <x:c r="C3" s="200"/>
      <x:c r="D3" s="200"/>
      <x:c r="E3" s="200"/>
      <x:c r="F3" s="200"/>
      <x:c r="G3" s="200"/>
      <x:c r="H3" s="200"/>
    </x:row>
    <x:row r="4">
      <x:c r="A4" s="18" t="str">
        <x:v>Project Start</x:v>
      </x:c>
      <x:c r="B4" s="19"/>
      <x:c r="C4" s="19" t="str">
        <x:v>Latest Finish</x:v>
      </x:c>
      <x:c r="D4" s="19"/>
      <x:c r="E4" s="19" t="str">
        <x:v>Calendar Weeks</x:v>
      </x:c>
      <x:c r="F4" s="19"/>
      <x:c r="G4" s="19" t="str">
        <x:v>Scheduled Phases</x:v>
      </x:c>
      <x:c r="H4" s="20"/>
    </x:row>
    <x:row r="5">
      <x:c r="A5" s="203" t="n">
        <x:f>MIN('Phase Data'!$E$5:$E$22)</x:f>
        <x:v>46237</x:v>
      </x:c>
      <x:c r="B5" s="203"/>
      <x:c r="C5" s="203" t="n">
        <x:f>MAX('Phase Data'!$G$5:$G$22)</x:f>
        <x:v>46649</x:v>
      </x:c>
      <x:c r="D5" s="203"/>
      <x:c r="E5" s="204" t="n">
        <x:f>ROUNDUP((C5-A5+1)/7,0)</x:f>
        <x:v>59</x:v>
      </x:c>
      <x:c r="F5" s="204"/>
      <x:c r="G5" s="204" t="n">
        <x:f>COUNTA('Phase Data'!A5:A22)</x:f>
        <x:v>18</x:v>
      </x:c>
      <x:c r="H5" s="204"/>
    </x:row>
    <x:row r="6">
      <x:c r="A6" s="203"/>
      <x:c r="B6" s="203"/>
      <x:c r="C6" s="203"/>
      <x:c r="D6" s="203"/>
      <x:c r="E6" s="204"/>
      <x:c r="F6" s="204"/>
      <x:c r="G6" s="204"/>
      <x:c r="H6" s="204"/>
    </x:row>
    <x:row r="8">
      <x:c r="A8" s="18" t="str">
        <x:v>Program</x:v>
      </x:c>
      <x:c r="B8" s="19" t="str">
        <x:v>Documented Tasks</x:v>
      </x:c>
      <x:c r="C8" s="19" t="str">
        <x:v>Phase Envelopes</x:v>
      </x:c>
      <x:c r="D8" s="20" t="str">
        <x:v>Purpose</x:v>
      </x:c>
      <x:c r="F8" s="18" t="str">
        <x:v>Budget Summary</x:v>
      </x:c>
      <x:c r="G8" s="19" t="str">
        <x:v>USD</x:v>
      </x:c>
      <x:c r="H8" s="20" t="str">
        <x:v>Interpretation</x:v>
      </x:c>
    </x:row>
    <x:row r="9">
      <x:c r="A9" s="194" t="str">
        <x:v>Research &amp; Operations</x:v>
      </x:c>
      <x:c r="B9" s="205" t="n">
        <x:v>70</x:v>
      </x:c>
      <x:c r="C9" s="205" t="n">
        <x:v>0</x:v>
      </x:c>
      <x:c r="D9" s="194" t="str">
        <x:v>M0-M3 and M8</x:v>
      </x:c>
      <x:c r="F9" s="194" t="str">
        <x:v>Lifetime ceiling</x:v>
      </x:c>
      <x:c r="G9" s="197" t="n">
        <x:f>Budget!A5</x:f>
        <x:v>8000</x:v>
      </x:c>
      <x:c r="H9" s="194" t="str">
        <x:v>Hard lifetime ceiling</x:v>
      </x:c>
    </x:row>
    <x:row r="10">
      <x:c r="A10" s="194" t="str">
        <x:v>Simulation &amp; Observatory</x:v>
      </x:c>
      <x:c r="B10" s="205" t="n">
        <x:v>39</x:v>
      </x:c>
      <x:c r="C10" s="205" t="n">
        <x:v>0</x:v>
      </x:c>
      <x:c r="D10" s="194" t="str">
        <x:v>S0-S2 and M4</x:v>
      </x:c>
      <x:c r="F10" s="194" t="str">
        <x:v>Base plan</x:v>
      </x:c>
      <x:c r="G10" s="197" t="n">
        <x:f>Budget!C5</x:f>
        <x:v>6820</x:v>
      </x:c>
      <x:c r="H10" s="194" t="str">
        <x:v>Assigned concrete lines</x:v>
      </x:c>
    </x:row>
    <x:row r="11">
      <x:c r="A11" s="194" t="str">
        <x:v>Mechanical &amp; Hardware</x:v>
      </x:c>
      <x:c r="B11" s="205" t="n">
        <x:v>47</x:v>
      </x:c>
      <x:c r="C11" s="205" t="n">
        <x:v>0</x:v>
      </x:c>
      <x:c r="D11" s="194" t="str">
        <x:v>M5-M7</x:v>
      </x:c>
      <x:c r="F11" s="194" t="str">
        <x:v>Contingency</x:v>
      </x:c>
      <x:c r="G11" s="197" t="n">
        <x:f>Budget!E5</x:f>
        <x:v>1180</x:v>
      </x:c>
      <x:c r="H11" s="194" t="str">
        <x:v>Shipping, failures, iteration</x:v>
      </x:c>
    </x:row>
    <x:row r="12">
      <x:c r="A12" s="194" t="str">
        <x:v>Transfer</x:v>
      </x:c>
      <x:c r="B12" s="205" t="n">
        <x:v>0</x:v>
      </x:c>
      <x:c r="C12" s="205" t="n">
        <x:v>3</x:v>
      </x:c>
      <x:c r="D12" s="194" t="str">
        <x:v>R2-R4 require decomposition</x:v>
      </x:c>
      <x:c r="F12" s="194" t="str">
        <x:v>Model compute</x:v>
      </x:c>
      <x:c r="G12" s="197" t="n">
        <x:f>SUMIF(Budget!$A$13:$A$28,"Research Compute",Budget!$G$13:$G$28)</x:f>
        <x:v>1000</x:v>
      </x:c>
      <x:c r="H12" s="194" t="str">
        <x:v>Preserves existing training ceiling</x:v>
      </x:c>
    </x:row>
    <x:row r="13">
      <x:c r="A13" s="194" t="str">
        <x:v>Total</x:v>
      </x:c>
      <x:c r="B13" s="205" t="n">
        <x:v>156</x:v>
      </x:c>
      <x:c r="C13" s="205" t="n">
        <x:v>3</x:v>
      </x:c>
      <x:c r="D13" s="194" t="str">
        <x:v>Complete task register</x:v>
      </x:c>
      <x:c r="F13" s="194" t="str">
        <x:v>Planned total</x:v>
      </x:c>
      <x:c r="G13" s="197" t="n">
        <x:f>Budget!G5</x:f>
        <x:v>8000</x:v>
      </x:c>
      <x:c r="H13" s="194" t="str">
        <x:v>Must equal lifetime ceiling</x:v>
      </x:c>
    </x:row>
    <x:row r="15">
      <x:c r="A15" s="206" t="str">
        <x:v>Planning Rules</x:v>
      </x:c>
      <x:c r="B15" s="206"/>
      <x:c r="C15" s="206"/>
      <x:c r="D15" s="206"/>
      <x:c r="E15" s="206"/>
      <x:c r="F15" s="206"/>
      <x:c r="G15" s="206"/>
      <x:c r="H15" s="206"/>
    </x:row>
    <x:row r="16" ht="30" customHeight="1">
      <x:c r="A16" s="188" t="str">
        <x:v>1. Active-inference capability gates remain primary; perceptual work follows docs/VISUAL_GENERATIVE_MODEL_BOUNDARY.md; support engineering is not evidence of model validity.</x:v>
      </x:c>
      <x:c r="B16" s="188"/>
      <x:c r="C16" s="188"/>
      <x:c r="D16" s="188"/>
      <x:c r="E16" s="188"/>
      <x:c r="F16" s="188"/>
      <x:c r="G16" s="188"/>
      <x:c r="H16" s="188"/>
    </x:row>
    <x:row r="17" ht="30" customHeight="1">
      <x:c r="A17" s="189" t="str">
        <x:v>2. Overlapping bars are interleaving windows for one investigator, not parallel staffing.</x:v>
      </x:c>
      <x:c r="B17" s="189"/>
      <x:c r="C17" s="189"/>
      <x:c r="D17" s="189"/>
      <x:c r="E17" s="189"/>
      <x:c r="F17" s="189"/>
      <x:c r="G17" s="189"/>
      <x:c r="H17" s="189"/>
    </x:row>
    <x:row r="18" ht="30" customHeight="1">
      <x:c r="A18" s="189" t="str">
        <x:v>3. M4/M5/M7 work begins from stable partial interfaces rather than waiting for every research milestone.</x:v>
      </x:c>
      <x:c r="B18" s="189"/>
      <x:c r="C18" s="189"/>
      <x:c r="D18" s="189"/>
      <x:c r="E18" s="189"/>
      <x:c r="F18" s="189"/>
      <x:c r="G18" s="189"/>
      <x:c r="H18" s="189"/>
    </x:row>
    <x:row r="19" ht="30" customHeight="1">
      <x:c r="A19" s="189" t="str">
        <x:v>4. R2-R4 remain visibly undecomposed until their exact transfer questions are known.</x:v>
      </x:c>
      <x:c r="B19" s="189"/>
      <x:c r="C19" s="189"/>
      <x:c r="D19" s="189"/>
      <x:c r="E19" s="189"/>
      <x:c r="F19" s="189"/>
      <x:c r="G19" s="189"/>
      <x:c r="H19" s="189"/>
    </x:row>
    <x:row r="20" ht="30" customHeight="1">
      <x:c r="A20" s="189" t="str">
        <x:v>5. Budget releases follow evidence gates; contingency is not preallocated spending.</x:v>
      </x:c>
      <x:c r="B20" s="189"/>
      <x:c r="C20" s="189"/>
      <x:c r="D20" s="189"/>
      <x:c r="E20" s="189"/>
      <x:c r="F20" s="189"/>
      <x:c r="G20" s="189"/>
      <x:c r="H20" s="189"/>
    </x:row>
  </x:sheetData>
  <x:mergeCells>
    <x:mergeCell ref="A1:H1"/>
    <x:mergeCell ref="A2:H2"/>
    <x:mergeCell ref="A3:H3"/>
    <x:mergeCell ref="A4:B4"/>
    <x:mergeCell ref="A5:B6"/>
    <x:mergeCell ref="C4:D4"/>
    <x:mergeCell ref="C5:D6"/>
    <x:mergeCell ref="E4:F4"/>
    <x:mergeCell ref="E5:F6"/>
    <x:mergeCell ref="G4:H4"/>
    <x:mergeCell ref="G5:H6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0" hidden="0" customWidth="1"/>
    <x:col min="4" max="4" width="17" hidden="0" customWidth="1"/>
    <x:col min="5" max="5" width="13" hidden="0" customWidth="1"/>
    <x:col min="6" max="6" width="8" hidden="0" customWidth="1"/>
    <x:col min="7" max="7" width="13" hidden="0" customWidth="1"/>
    <x:col min="8" max="8" width="4.599999904632568" hidden="0" customWidth="1"/>
    <x:col min="9" max="9" width="4.599999904632568" hidden="0" customWidth="1"/>
    <x:col min="10" max="10" width="4.599999904632568" hidden="0" customWidth="1"/>
    <x:col min="11" max="11" width="4.599999904632568" hidden="0" customWidth="1"/>
    <x:col min="12" max="12" width="4.599999904632568" hidden="0" customWidth="1"/>
    <x:col min="13" max="13" width="4.599999904632568" hidden="0" customWidth="1"/>
    <x:col min="14" max="14" width="4.599999904632568" hidden="0" customWidth="1"/>
    <x:col min="15" max="15" width="4.599999904632568" hidden="0" customWidth="1"/>
    <x:col min="16" max="16" width="4.599999904632568" hidden="0" customWidth="1"/>
    <x:col min="17" max="17" width="4.599999904632568" hidden="0" customWidth="1"/>
    <x:col min="18" max="18" width="4.599999904632568" hidden="0" customWidth="1"/>
    <x:col min="19" max="19" width="4.599999904632568" hidden="0" customWidth="1"/>
    <x:col min="20" max="20" width="4.599999904632568" hidden="0" customWidth="1"/>
    <x:col min="21" max="21" width="4.599999904632568" hidden="0" customWidth="1"/>
    <x:col min="22" max="22" width="4.599999904632568" hidden="0" customWidth="1"/>
    <x:col min="23" max="23" width="4.599999904632568" hidden="0" customWidth="1"/>
    <x:col min="24" max="24" width="4.599999904632568" hidden="0" customWidth="1"/>
    <x:col min="25" max="25" width="4.599999904632568" hidden="0" customWidth="1"/>
    <x:col min="26" max="26" width="4.599999904632568" hidden="0" customWidth="1"/>
    <x:col min="27" max="27" width="4.599999904632568" hidden="0" customWidth="1"/>
    <x:col min="28" max="28" width="4.599999904632568" hidden="0" customWidth="1"/>
    <x:col min="29" max="29" width="4.599999904632568" hidden="0" customWidth="1"/>
    <x:col min="30" max="30" width="4.599999904632568" hidden="0" customWidth="1"/>
    <x:col min="31" max="31" width="4.599999904632568" hidden="0" customWidth="1"/>
    <x:col min="32" max="32" width="4.599999904632568" hidden="0" customWidth="1"/>
    <x:col min="33" max="33" width="4.599999904632568" hidden="0" customWidth="1"/>
    <x:col min="34" max="34" width="4.599999904632568" hidden="0" customWidth="1"/>
    <x:col min="35" max="35" width="4.599999904632568" hidden="0" customWidth="1"/>
    <x:col min="36" max="36" width="4.599999904632568" hidden="0" customWidth="1"/>
    <x:col min="37" max="37" width="4.599999904632568" hidden="0" customWidth="1"/>
    <x:col min="38" max="38" width="4.599999904632568" hidden="0" customWidth="1"/>
    <x:col min="39" max="39" width="4.599999904632568" hidden="0" customWidth="1"/>
    <x:col min="40" max="40" width="4.599999904632568" hidden="0" customWidth="1"/>
    <x:col min="41" max="41" width="4.599999904632568" hidden="0" customWidth="1"/>
    <x:col min="42" max="42" width="4.599999904632568" hidden="0" customWidth="1"/>
    <x:col min="43" max="43" width="4.599999904632568" hidden="0" customWidth="1"/>
    <x:col min="44" max="44" width="4.599999904632568" hidden="0" customWidth="1"/>
    <x:col min="45" max="45" width="4.599999904632568" hidden="0" customWidth="1"/>
    <x:col min="46" max="46" width="4.599999904632568" hidden="0" customWidth="1"/>
    <x:col min="47" max="47" width="4.599999904632568" hidden="0" customWidth="1"/>
    <x:col min="48" max="48" width="4.599999904632568" hidden="0" customWidth="1"/>
    <x:col min="49" max="49" width="4.599999904632568" hidden="0" customWidth="1"/>
    <x:col min="50" max="50" width="4.599999904632568" hidden="0" customWidth="1"/>
    <x:col min="51" max="51" width="4.599999904632568" hidden="0" customWidth="1"/>
    <x:col min="52" max="52" width="4.599999904632568" hidden="0" customWidth="1"/>
    <x:col min="53" max="53" width="4.599999904632568" hidden="0" customWidth="1"/>
    <x:col min="54" max="54" width="4.599999904632568" hidden="0" customWidth="1"/>
    <x:col min="55" max="55" width="4.599999904632568" hidden="0" customWidth="1"/>
    <x:col min="56" max="56" width="4.599999904632568" hidden="0" customWidth="1"/>
    <x:col min="57" max="57" width="4.599999904632568" hidden="0" customWidth="1"/>
    <x:col min="58" max="58" width="4.599999904632568" hidden="0" customWidth="1"/>
    <x:col min="59" max="59" width="4.599999904632568" hidden="0" customWidth="1"/>
    <x:col min="60" max="60" width="4.599999904632568" hidden="0" customWidth="1"/>
    <x:col min="61" max="61" width="4.599999904632568" hidden="0" customWidth="1"/>
    <x:col min="62" max="62" width="4.599999904632568" hidden="0" customWidth="1"/>
    <x:col min="63" max="63" width="4.599999904632568" hidden="0" customWidth="1"/>
    <x:col min="64" max="64" width="4.599999904632568" hidden="0" customWidth="1"/>
    <x:col min="65" max="65" width="4.599999904632568" hidden="0" customWidth="1"/>
    <x:col min="66" max="66" width="4.599999904632568" hidden="0" customWidth="1"/>
  </x:cols>
  <x:sheetData>
    <x:row r="1" ht="34" customHeight="1">
      <x:c r="A1" s="3" t="str">
        <x:v>Active-Inference Painter Master Gantt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</x:row>
    <x:row r="2">
      <x:c r="A2" s="6" t="str">
        <x:v>Phase-level roadmap. Detailed execution is organized by research, simulation, hardware, and transfer tabs.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</x:row>
    <x:row r="4">
      <x:c r="A4" s="121" t="str">
        <x:v>ID</x:v>
      </x:c>
      <x:c r="B4" s="122" t="str">
        <x:v>Workstream</x:v>
      </x:c>
      <x:c r="C4" s="122" t="str">
        <x:v>Phase</x:v>
      </x:c>
      <x:c r="D4" s="122" t="str">
        <x:v>Depends On</x:v>
      </x:c>
      <x:c r="E4" s="122" t="str">
        <x:v>Start</x:v>
      </x:c>
      <x:c r="F4" s="122" t="str">
        <x:v>Weeks</x:v>
      </x:c>
      <x:c r="G4" s="123" t="str">
        <x:v>End</x:v>
      </x:c>
      <x:c r="H4" s="133" t="str">
        <x:v>Aug 2026</x:v>
      </x:c>
      <x:c r="I4" s="134"/>
      <x:c r="J4" s="134"/>
      <x:c r="K4" s="134"/>
      <x:c r="L4" s="135"/>
      <x:c r="M4" s="133" t="str">
        <x:v>Sep 2026</x:v>
      </x:c>
      <x:c r="N4" s="134"/>
      <x:c r="O4" s="134"/>
      <x:c r="P4" s="135"/>
      <x:c r="Q4" s="133" t="str">
        <x:v>Oct 2026</x:v>
      </x:c>
      <x:c r="R4" s="134"/>
      <x:c r="S4" s="134"/>
      <x:c r="T4" s="135"/>
      <x:c r="U4" s="144" t="str">
        <x:v>Nov 2026</x:v>
      </x:c>
      <x:c r="V4" s="145"/>
      <x:c r="W4" s="145"/>
      <x:c r="X4" s="145"/>
      <x:c r="Y4" s="146"/>
      <x:c r="Z4" s="144" t="str">
        <x:v>Dec 2026</x:v>
      </x:c>
      <x:c r="AA4" s="145"/>
      <x:c r="AB4" s="145"/>
      <x:c r="AC4" s="146"/>
      <x:c r="AD4" s="144" t="str">
        <x:v>Jan 2027</x:v>
      </x:c>
      <x:c r="AE4" s="145"/>
      <x:c r="AF4" s="145"/>
      <x:c r="AG4" s="146"/>
      <x:c r="AH4" s="144" t="str">
        <x:v>Feb 2027</x:v>
      </x:c>
      <x:c r="AI4" s="145"/>
      <x:c r="AJ4" s="145"/>
      <x:c r="AK4" s="146"/>
      <x:c r="AL4" s="133" t="str">
        <x:v>Mar 2027</x:v>
      </x:c>
      <x:c r="AM4" s="134"/>
      <x:c r="AN4" s="134"/>
      <x:c r="AO4" s="134"/>
      <x:c r="AP4" s="135"/>
      <x:c r="AQ4" s="133" t="str">
        <x:v>Apr 2027</x:v>
      </x:c>
      <x:c r="AR4" s="134"/>
      <x:c r="AS4" s="134"/>
      <x:c r="AT4" s="135"/>
      <x:c r="AU4" s="144" t="str">
        <x:v>May 2027</x:v>
      </x:c>
      <x:c r="AV4" s="145"/>
      <x:c r="AW4" s="145"/>
      <x:c r="AX4" s="145"/>
      <x:c r="AY4" s="146"/>
      <x:c r="AZ4" s="144" t="str">
        <x:v>Jun 2027</x:v>
      </x:c>
      <x:c r="BA4" s="145"/>
      <x:c r="BB4" s="145"/>
      <x:c r="BC4" s="146"/>
      <x:c r="BD4" s="144" t="str">
        <x:v>Jul 2027</x:v>
      </x:c>
      <x:c r="BE4" s="145"/>
      <x:c r="BF4" s="145"/>
      <x:c r="BG4" s="146"/>
      <x:c r="BH4" s="133" t="str">
        <x:v>Aug 2027</x:v>
      </x:c>
      <x:c r="BI4" s="134"/>
      <x:c r="BJ4" s="134"/>
      <x:c r="BK4" s="134"/>
      <x:c r="BL4" s="135"/>
      <x:c r="BM4" s="133" t="str">
        <x:v>Sep 2027</x:v>
      </x:c>
      <x:c r="BN4" s="135"/>
    </x:row>
    <x:row r="5">
      <x:c r="A5" s="124"/>
      <x:c r="B5" s="125"/>
      <x:c r="C5" s="125"/>
      <x:c r="D5" s="125"/>
      <x:c r="E5" s="125"/>
      <x:c r="F5" s="125"/>
      <x:c r="G5" s="126"/>
      <x:c r="H5" s="147" t="str">
        <x:v>Week commencing</x:v>
      </x:c>
      <x:c r="I5" s="147"/>
      <x:c r="J5" s="147"/>
      <x:c r="K5" s="147"/>
      <x:c r="L5" s="147"/>
      <x:c r="M5" s="147"/>
      <x:c r="N5" s="147"/>
      <x:c r="O5" s="147"/>
      <x:c r="P5" s="147"/>
      <x:c r="Q5" s="147"/>
      <x:c r="R5" s="147"/>
      <x:c r="S5" s="147"/>
      <x:c r="T5" s="147"/>
      <x:c r="U5" s="147"/>
      <x:c r="V5" s="147"/>
      <x:c r="W5" s="147"/>
      <x:c r="X5" s="147"/>
      <x:c r="Y5" s="147"/>
      <x:c r="Z5" s="147"/>
      <x:c r="AA5" s="147"/>
      <x:c r="AB5" s="147"/>
      <x:c r="AC5" s="147"/>
      <x:c r="AD5" s="147"/>
      <x:c r="AE5" s="147"/>
      <x:c r="AF5" s="147"/>
      <x:c r="AG5" s="147"/>
      <x:c r="AH5" s="147"/>
      <x:c r="AI5" s="147"/>
      <x:c r="AJ5" s="147"/>
      <x:c r="AK5" s="147"/>
      <x:c r="AL5" s="147"/>
      <x:c r="AM5" s="147"/>
      <x:c r="AN5" s="147"/>
      <x:c r="AO5" s="147"/>
      <x:c r="AP5" s="147"/>
      <x:c r="AQ5" s="147"/>
      <x:c r="AR5" s="147"/>
      <x:c r="AS5" s="147"/>
      <x:c r="AT5" s="147"/>
      <x:c r="AU5" s="147"/>
      <x:c r="AV5" s="147"/>
      <x:c r="AW5" s="147"/>
      <x:c r="AX5" s="147"/>
      <x:c r="AY5" s="147"/>
      <x:c r="AZ5" s="147"/>
      <x:c r="BA5" s="147"/>
      <x:c r="BB5" s="147"/>
      <x:c r="BC5" s="147"/>
      <x:c r="BD5" s="147"/>
      <x:c r="BE5" s="147"/>
      <x:c r="BF5" s="147"/>
      <x:c r="BG5" s="147"/>
      <x:c r="BH5" s="147"/>
      <x:c r="BI5" s="147"/>
      <x:c r="BJ5" s="147"/>
      <x:c r="BK5" s="147"/>
      <x:c r="BL5" s="147"/>
      <x:c r="BM5" s="147"/>
      <x:c r="BN5" s="147"/>
    </x:row>
    <x:row r="6">
      <x:c r="A6" s="127"/>
      <x:c r="B6" s="128"/>
      <x:c r="C6" s="128"/>
      <x:c r="D6" s="128"/>
      <x:c r="E6" s="128"/>
      <x:c r="F6" s="128"/>
      <x:c r="G6" s="129"/>
      <x:c r="H6" s="153" t="n">
        <x:v>46237</x:v>
      </x:c>
      <x:c r="I6" s="153" t="n">
        <x:v>46244</x:v>
      </x:c>
      <x:c r="J6" s="153" t="n">
        <x:v>46251</x:v>
      </x:c>
      <x:c r="K6" s="153" t="n">
        <x:v>46258</x:v>
      </x:c>
      <x:c r="L6" s="153" t="n">
        <x:v>46265</x:v>
      </x:c>
      <x:c r="M6" s="153" t="n">
        <x:v>46272</x:v>
      </x:c>
      <x:c r="N6" s="153" t="n">
        <x:v>46279</x:v>
      </x:c>
      <x:c r="O6" s="153" t="n">
        <x:v>46286</x:v>
      </x:c>
      <x:c r="P6" s="153" t="n">
        <x:v>46293</x:v>
      </x:c>
      <x:c r="Q6" s="153" t="n">
        <x:v>46300</x:v>
      </x:c>
      <x:c r="R6" s="153" t="n">
        <x:v>46307</x:v>
      </x:c>
      <x:c r="S6" s="153" t="n">
        <x:v>46314</x:v>
      </x:c>
      <x:c r="T6" s="153" t="n">
        <x:v>46321</x:v>
      </x:c>
      <x:c r="U6" s="153" t="n">
        <x:v>46328</x:v>
      </x:c>
      <x:c r="V6" s="153" t="n">
        <x:v>46335</x:v>
      </x:c>
      <x:c r="W6" s="153" t="n">
        <x:v>46342</x:v>
      </x:c>
      <x:c r="X6" s="153" t="n">
        <x:v>46349</x:v>
      </x:c>
      <x:c r="Y6" s="153" t="n">
        <x:v>46356</x:v>
      </x:c>
      <x:c r="Z6" s="153" t="n">
        <x:v>46363</x:v>
      </x:c>
      <x:c r="AA6" s="153" t="n">
        <x:v>46370</x:v>
      </x:c>
      <x:c r="AB6" s="153" t="n">
        <x:v>46377</x:v>
      </x:c>
      <x:c r="AC6" s="153" t="n">
        <x:v>46384</x:v>
      </x:c>
      <x:c r="AD6" s="153" t="n">
        <x:v>46391</x:v>
      </x:c>
      <x:c r="AE6" s="153" t="n">
        <x:v>46398</x:v>
      </x:c>
      <x:c r="AF6" s="153" t="n">
        <x:v>46405</x:v>
      </x:c>
      <x:c r="AG6" s="153" t="n">
        <x:v>46412</x:v>
      </x:c>
      <x:c r="AH6" s="153" t="n">
        <x:v>46419</x:v>
      </x:c>
      <x:c r="AI6" s="153" t="n">
        <x:v>46426</x:v>
      </x:c>
      <x:c r="AJ6" s="153" t="n">
        <x:v>46433</x:v>
      </x:c>
      <x:c r="AK6" s="153" t="n">
        <x:v>46440</x:v>
      </x:c>
      <x:c r="AL6" s="153" t="n">
        <x:v>46447</x:v>
      </x:c>
      <x:c r="AM6" s="153" t="n">
        <x:v>46454</x:v>
      </x:c>
      <x:c r="AN6" s="153" t="n">
        <x:v>46461</x:v>
      </x:c>
      <x:c r="AO6" s="153" t="n">
        <x:v>46468</x:v>
      </x:c>
      <x:c r="AP6" s="153" t="n">
        <x:v>46475</x:v>
      </x:c>
      <x:c r="AQ6" s="153" t="n">
        <x:v>46482</x:v>
      </x:c>
      <x:c r="AR6" s="153" t="n">
        <x:v>46489</x:v>
      </x:c>
      <x:c r="AS6" s="153" t="n">
        <x:v>46496</x:v>
      </x:c>
      <x:c r="AT6" s="153" t="n">
        <x:v>46503</x:v>
      </x:c>
      <x:c r="AU6" s="153" t="n">
        <x:v>46510</x:v>
      </x:c>
      <x:c r="AV6" s="153" t="n">
        <x:v>46517</x:v>
      </x:c>
      <x:c r="AW6" s="153" t="n">
        <x:v>46524</x:v>
      </x:c>
      <x:c r="AX6" s="153" t="n">
        <x:v>46531</x:v>
      </x:c>
      <x:c r="AY6" s="153" t="n">
        <x:v>46538</x:v>
      </x:c>
      <x:c r="AZ6" s="153" t="n">
        <x:v>46545</x:v>
      </x:c>
      <x:c r="BA6" s="153" t="n">
        <x:v>46552</x:v>
      </x:c>
      <x:c r="BB6" s="153" t="n">
        <x:v>46559</x:v>
      </x:c>
      <x:c r="BC6" s="153" t="n">
        <x:v>46566</x:v>
      </x:c>
      <x:c r="BD6" s="153" t="n">
        <x:v>46573</x:v>
      </x:c>
      <x:c r="BE6" s="153" t="n">
        <x:v>46580</x:v>
      </x:c>
      <x:c r="BF6" s="153" t="n">
        <x:v>46587</x:v>
      </x:c>
      <x:c r="BG6" s="153" t="n">
        <x:v>46594</x:v>
      </x:c>
      <x:c r="BH6" s="153" t="n">
        <x:v>46601</x:v>
      </x:c>
      <x:c r="BI6" s="153" t="n">
        <x:v>46608</x:v>
      </x:c>
      <x:c r="BJ6" s="153" t="n">
        <x:v>46615</x:v>
      </x:c>
      <x:c r="BK6" s="153" t="n">
        <x:v>46622</x:v>
      </x:c>
      <x:c r="BL6" s="153" t="n">
        <x:v>46629</x:v>
      </x:c>
      <x:c r="BM6" s="153" t="n">
        <x:v>46636</x:v>
      </x:c>
      <x:c r="BN6" s="153" t="n">
        <x:v>46643</x:v>
      </x:c>
    </x:row>
    <x:row r="7" ht="28" customHeight="1">
      <x:c r="A7" s="65" t="str">
        <x:f>'Phase Data'!A5</x:f>
        <x:v>M0</x:v>
      </x:c>
      <x:c r="B7" s="65" t="str">
        <x:f>'Phase Data'!B5</x:f>
        <x:v>Operating System</x:v>
      </x:c>
      <x:c r="C7" s="65" t="str">
        <x:f>'Phase Data'!C5</x:f>
        <x:v>Manifests, versions, failure logs</x:v>
      </x:c>
      <x:c r="D7" s="65" t="str">
        <x:f>'Phase Data'!D5</x:f>
        <x:v>Fixed start</x:v>
      </x:c>
      <x:c r="E7" s="93" t="n">
        <x:f>'Phase Data'!E5</x:f>
        <x:v>46237</x:v>
      </x:c>
      <x:c r="F7" s="91" t="n">
        <x:f>'Phase Data'!F5</x:f>
        <x:v>2</x:v>
      </x:c>
      <x:c r="G7" s="93" t="n">
        <x:f>'Phase Data'!G5</x:f>
        <x:v>46250</x:v>
      </x:c>
      <x:c r="H7" s="163" t="n">
        <x:f>IF(AND(H$6&lt;=$G7,H$6+6&gt;=$E7),1,"")</x:f>
        <x:v>1</x:v>
      </x:c>
      <x:c r="I7" s="164" t="n">
        <x:f>IF(AND(I$6&lt;=$G7,I$6+6&gt;=$E7),1,"")</x:f>
        <x:v>1</x:v>
      </x:c>
      <x:c r="J7" s="164" t="str">
        <x:f>IF(AND(J$6&lt;=$G7,J$6+6&gt;=$E7),1,"")</x:f>
      </x:c>
      <x:c r="K7" s="164" t="str">
        <x:f>IF(AND(K$6&lt;=$G7,K$6+6&gt;=$E7),1,"")</x:f>
      </x:c>
      <x:c r="L7" s="164" t="str">
        <x:f>IF(AND(L$6&lt;=$G7,L$6+6&gt;=$E7),1,"")</x:f>
      </x:c>
      <x:c r="M7" s="164" t="str">
        <x:f>IF(AND(M$6&lt;=$G7,M$6+6&gt;=$E7),1,"")</x:f>
      </x:c>
      <x:c r="N7" s="164" t="str">
        <x:f>IF(AND(N$6&lt;=$G7,N$6+6&gt;=$E7),1,"")</x:f>
      </x:c>
      <x:c r="O7" s="164" t="str">
        <x:f>IF(AND(O$6&lt;=$G7,O$6+6&gt;=$E7),1,"")</x:f>
      </x:c>
      <x:c r="P7" s="164" t="str">
        <x:f>IF(AND(P$6&lt;=$G7,P$6+6&gt;=$E7),1,"")</x:f>
      </x:c>
      <x:c r="Q7" s="164" t="str">
        <x:f>IF(AND(Q$6&lt;=$G7,Q$6+6&gt;=$E7),1,"")</x:f>
      </x:c>
      <x:c r="R7" s="164" t="str">
        <x:f>IF(AND(R$6&lt;=$G7,R$6+6&gt;=$E7),1,"")</x:f>
      </x:c>
      <x:c r="S7" s="164" t="str">
        <x:f>IF(AND(S$6&lt;=$G7,S$6+6&gt;=$E7),1,"")</x:f>
      </x:c>
      <x:c r="T7" s="164" t="str">
        <x:f>IF(AND(T$6&lt;=$G7,T$6+6&gt;=$E7),1,"")</x:f>
      </x:c>
      <x:c r="U7" s="164" t="str">
        <x:f>IF(AND(U$6&lt;=$G7,U$6+6&gt;=$E7),1,"")</x:f>
      </x:c>
      <x:c r="V7" s="164" t="str">
        <x:f>IF(AND(V$6&lt;=$G7,V$6+6&gt;=$E7),1,"")</x:f>
      </x:c>
      <x:c r="W7" s="164" t="str">
        <x:f>IF(AND(W$6&lt;=$G7,W$6+6&gt;=$E7),1,"")</x:f>
      </x:c>
      <x:c r="X7" s="164" t="str">
        <x:f>IF(AND(X$6&lt;=$G7,X$6+6&gt;=$E7),1,"")</x:f>
      </x:c>
      <x:c r="Y7" s="164" t="str">
        <x:f>IF(AND(Y$6&lt;=$G7,Y$6+6&gt;=$E7),1,"")</x:f>
      </x:c>
      <x:c r="Z7" s="164" t="str">
        <x:f>IF(AND(Z$6&lt;=$G7,Z$6+6&gt;=$E7),1,"")</x:f>
      </x:c>
      <x:c r="AA7" s="164" t="str">
        <x:f>IF(AND(AA$6&lt;=$G7,AA$6+6&gt;=$E7),1,"")</x:f>
      </x:c>
      <x:c r="AB7" s="164" t="str">
        <x:f>IF(AND(AB$6&lt;=$G7,AB$6+6&gt;=$E7),1,"")</x:f>
      </x:c>
      <x:c r="AC7" s="164" t="str">
        <x:f>IF(AND(AC$6&lt;=$G7,AC$6+6&gt;=$E7),1,"")</x:f>
      </x:c>
      <x:c r="AD7" s="164" t="str">
        <x:f>IF(AND(AD$6&lt;=$G7,AD$6+6&gt;=$E7),1,"")</x:f>
      </x:c>
      <x:c r="AE7" s="164" t="str">
        <x:f>IF(AND(AE$6&lt;=$G7,AE$6+6&gt;=$E7),1,"")</x:f>
      </x:c>
      <x:c r="AF7" s="164" t="str">
        <x:f>IF(AND(AF$6&lt;=$G7,AF$6+6&gt;=$E7),1,"")</x:f>
      </x:c>
      <x:c r="AG7" s="164" t="str">
        <x:f>IF(AND(AG$6&lt;=$G7,AG$6+6&gt;=$E7),1,"")</x:f>
      </x:c>
      <x:c r="AH7" s="164" t="str">
        <x:f>IF(AND(AH$6&lt;=$G7,AH$6+6&gt;=$E7),1,"")</x:f>
      </x:c>
      <x:c r="AI7" s="164" t="str">
        <x:f>IF(AND(AI$6&lt;=$G7,AI$6+6&gt;=$E7),1,"")</x:f>
      </x:c>
      <x:c r="AJ7" s="164" t="str">
        <x:f>IF(AND(AJ$6&lt;=$G7,AJ$6+6&gt;=$E7),1,"")</x:f>
      </x:c>
      <x:c r="AK7" s="164" t="str">
        <x:f>IF(AND(AK$6&lt;=$G7,AK$6+6&gt;=$E7),1,"")</x:f>
      </x:c>
      <x:c r="AL7" s="164" t="str">
        <x:f>IF(AND(AL$6&lt;=$G7,AL$6+6&gt;=$E7),1,"")</x:f>
      </x:c>
      <x:c r="AM7" s="164" t="str">
        <x:f>IF(AND(AM$6&lt;=$G7,AM$6+6&gt;=$E7),1,"")</x:f>
      </x:c>
      <x:c r="AN7" s="164" t="str">
        <x:f>IF(AND(AN$6&lt;=$G7,AN$6+6&gt;=$E7),1,"")</x:f>
      </x:c>
      <x:c r="AO7" s="164" t="str">
        <x:f>IF(AND(AO$6&lt;=$G7,AO$6+6&gt;=$E7),1,"")</x:f>
      </x:c>
      <x:c r="AP7" s="164" t="str">
        <x:f>IF(AND(AP$6&lt;=$G7,AP$6+6&gt;=$E7),1,"")</x:f>
      </x:c>
      <x:c r="AQ7" s="164" t="str">
        <x:f>IF(AND(AQ$6&lt;=$G7,AQ$6+6&gt;=$E7),1,"")</x:f>
      </x:c>
      <x:c r="AR7" s="164" t="str">
        <x:f>IF(AND(AR$6&lt;=$G7,AR$6+6&gt;=$E7),1,"")</x:f>
      </x:c>
      <x:c r="AS7" s="164" t="str">
        <x:f>IF(AND(AS$6&lt;=$G7,AS$6+6&gt;=$E7),1,"")</x:f>
      </x:c>
      <x:c r="AT7" s="164" t="str">
        <x:f>IF(AND(AT$6&lt;=$G7,AT$6+6&gt;=$E7),1,"")</x:f>
      </x:c>
      <x:c r="AU7" s="164" t="str">
        <x:f>IF(AND(AU$6&lt;=$G7,AU$6+6&gt;=$E7),1,"")</x:f>
      </x:c>
      <x:c r="AV7" s="164" t="str">
        <x:f>IF(AND(AV$6&lt;=$G7,AV$6+6&gt;=$E7),1,"")</x:f>
      </x:c>
      <x:c r="AW7" s="164" t="str">
        <x:f>IF(AND(AW$6&lt;=$G7,AW$6+6&gt;=$E7),1,"")</x:f>
      </x:c>
      <x:c r="AX7" s="164" t="str">
        <x:f>IF(AND(AX$6&lt;=$G7,AX$6+6&gt;=$E7),1,"")</x:f>
      </x:c>
      <x:c r="AY7" s="164" t="str">
        <x:f>IF(AND(AY$6&lt;=$G7,AY$6+6&gt;=$E7),1,"")</x:f>
      </x:c>
      <x:c r="AZ7" s="164" t="str">
        <x:f>IF(AND(AZ$6&lt;=$G7,AZ$6+6&gt;=$E7),1,"")</x:f>
      </x:c>
      <x:c r="BA7" s="164" t="str">
        <x:f>IF(AND(BA$6&lt;=$G7,BA$6+6&gt;=$E7),1,"")</x:f>
      </x:c>
      <x:c r="BB7" s="164" t="str">
        <x:f>IF(AND(BB$6&lt;=$G7,BB$6+6&gt;=$E7),1,"")</x:f>
      </x:c>
      <x:c r="BC7" s="164" t="str">
        <x:f>IF(AND(BC$6&lt;=$G7,BC$6+6&gt;=$E7),1,"")</x:f>
      </x:c>
      <x:c r="BD7" s="164" t="str">
        <x:f>IF(AND(BD$6&lt;=$G7,BD$6+6&gt;=$E7),1,"")</x:f>
      </x:c>
      <x:c r="BE7" s="164" t="str">
        <x:f>IF(AND(BE$6&lt;=$G7,BE$6+6&gt;=$E7),1,"")</x:f>
      </x:c>
      <x:c r="BF7" s="164" t="str">
        <x:f>IF(AND(BF$6&lt;=$G7,BF$6+6&gt;=$E7),1,"")</x:f>
      </x:c>
      <x:c r="BG7" s="164" t="str">
        <x:f>IF(AND(BG$6&lt;=$G7,BG$6+6&gt;=$E7),1,"")</x:f>
      </x:c>
      <x:c r="BH7" s="164" t="str">
        <x:f>IF(AND(BH$6&lt;=$G7,BH$6+6&gt;=$E7),1,"")</x:f>
      </x:c>
      <x:c r="BI7" s="164" t="str">
        <x:f>IF(AND(BI$6&lt;=$G7,BI$6+6&gt;=$E7),1,"")</x:f>
      </x:c>
      <x:c r="BJ7" s="164" t="str">
        <x:f>IF(AND(BJ$6&lt;=$G7,BJ$6+6&gt;=$E7),1,"")</x:f>
      </x:c>
      <x:c r="BK7" s="164" t="str">
        <x:f>IF(AND(BK$6&lt;=$G7,BK$6+6&gt;=$E7),1,"")</x:f>
      </x:c>
      <x:c r="BL7" s="164" t="str">
        <x:f>IF(AND(BL$6&lt;=$G7,BL$6+6&gt;=$E7),1,"")</x:f>
      </x:c>
      <x:c r="BM7" s="164" t="str">
        <x:f>IF(AND(BM$6&lt;=$G7,BM$6+6&gt;=$E7),1,"")</x:f>
      </x:c>
      <x:c r="BN7" s="165" t="str">
        <x:f>IF(AND(BN$6&lt;=$G7,BN$6+6&gt;=$E7),1,"")</x:f>
      </x:c>
    </x:row>
    <x:row r="8" ht="28" customHeight="1">
      <x:c r="A8" s="68" t="str">
        <x:f>'Phase Data'!A6</x:f>
        <x:v>M1</x:v>
      </x:c>
      <x:c r="B8" s="68" t="str">
        <x:f>'Phase Data'!B6</x:f>
        <x:v>Research</x:v>
      </x:c>
      <x:c r="C8" s="68" t="str">
        <x:f>'Phase Data'!C6</x:f>
        <x:v>Formal baseline and inference audit</x:v>
      </x:c>
      <x:c r="D8" s="68" t="str">
        <x:f>'Phase Data'!D6</x:f>
        <x:v>M0</x:v>
      </x:c>
      <x:c r="E8" s="94" t="n">
        <x:f>'Phase Data'!E6</x:f>
        <x:v>46251</x:v>
      </x:c>
      <x:c r="F8" s="92" t="n">
        <x:f>'Phase Data'!F6</x:f>
        <x:v>6</x:v>
      </x:c>
      <x:c r="G8" s="94" t="n">
        <x:f>'Phase Data'!G6</x:f>
        <x:v>46292</x:v>
      </x:c>
      <x:c r="H8" s="166" t="str">
        <x:f>IF(AND(H$6&lt;=$G8,H$6+6&gt;=$E8),1,"")</x:f>
      </x:c>
      <x:c r="I8" s="167" t="str">
        <x:f>IF(AND(I$6&lt;=$G8,I$6+6&gt;=$E8),1,"")</x:f>
      </x:c>
      <x:c r="J8" s="167" t="n">
        <x:f>IF(AND(J$6&lt;=$G8,J$6+6&gt;=$E8),1,"")</x:f>
        <x:v>1</x:v>
      </x:c>
      <x:c r="K8" s="167" t="n">
        <x:f>IF(AND(K$6&lt;=$G8,K$6+6&gt;=$E8),1,"")</x:f>
        <x:v>1</x:v>
      </x:c>
      <x:c r="L8" s="167" t="n">
        <x:f>IF(AND(L$6&lt;=$G8,L$6+6&gt;=$E8),1,"")</x:f>
        <x:v>1</x:v>
      </x:c>
      <x:c r="M8" s="167" t="n">
        <x:f>IF(AND(M$6&lt;=$G8,M$6+6&gt;=$E8),1,"")</x:f>
        <x:v>1</x:v>
      </x:c>
      <x:c r="N8" s="167" t="n">
        <x:f>IF(AND(N$6&lt;=$G8,N$6+6&gt;=$E8),1,"")</x:f>
        <x:v>1</x:v>
      </x:c>
      <x:c r="O8" s="167" t="n">
        <x:f>IF(AND(O$6&lt;=$G8,O$6+6&gt;=$E8),1,"")</x:f>
        <x:v>1</x:v>
      </x:c>
      <x:c r="P8" s="167" t="str">
        <x:f>IF(AND(P$6&lt;=$G8,P$6+6&gt;=$E8),1,"")</x:f>
      </x:c>
      <x:c r="Q8" s="167" t="str">
        <x:f>IF(AND(Q$6&lt;=$G8,Q$6+6&gt;=$E8),1,"")</x:f>
      </x:c>
      <x:c r="R8" s="167" t="str">
        <x:f>IF(AND(R$6&lt;=$G8,R$6+6&gt;=$E8),1,"")</x:f>
      </x:c>
      <x:c r="S8" s="167" t="str">
        <x:f>IF(AND(S$6&lt;=$G8,S$6+6&gt;=$E8),1,"")</x:f>
      </x:c>
      <x:c r="T8" s="167" t="str">
        <x:f>IF(AND(T$6&lt;=$G8,T$6+6&gt;=$E8),1,"")</x:f>
      </x:c>
      <x:c r="U8" s="167" t="str">
        <x:f>IF(AND(U$6&lt;=$G8,U$6+6&gt;=$E8),1,"")</x:f>
      </x:c>
      <x:c r="V8" s="167" t="str">
        <x:f>IF(AND(V$6&lt;=$G8,V$6+6&gt;=$E8),1,"")</x:f>
      </x:c>
      <x:c r="W8" s="167" t="str">
        <x:f>IF(AND(W$6&lt;=$G8,W$6+6&gt;=$E8),1,"")</x:f>
      </x:c>
      <x:c r="X8" s="167" t="str">
        <x:f>IF(AND(X$6&lt;=$G8,X$6+6&gt;=$E8),1,"")</x:f>
      </x:c>
      <x:c r="Y8" s="167" t="str">
        <x:f>IF(AND(Y$6&lt;=$G8,Y$6+6&gt;=$E8),1,"")</x:f>
      </x:c>
      <x:c r="Z8" s="167" t="str">
        <x:f>IF(AND(Z$6&lt;=$G8,Z$6+6&gt;=$E8),1,"")</x:f>
      </x:c>
      <x:c r="AA8" s="167" t="str">
        <x:f>IF(AND(AA$6&lt;=$G8,AA$6+6&gt;=$E8),1,"")</x:f>
      </x:c>
      <x:c r="AB8" s="167" t="str">
        <x:f>IF(AND(AB$6&lt;=$G8,AB$6+6&gt;=$E8),1,"")</x:f>
      </x:c>
      <x:c r="AC8" s="167" t="str">
        <x:f>IF(AND(AC$6&lt;=$G8,AC$6+6&gt;=$E8),1,"")</x:f>
      </x:c>
      <x:c r="AD8" s="167" t="str">
        <x:f>IF(AND(AD$6&lt;=$G8,AD$6+6&gt;=$E8),1,"")</x:f>
      </x:c>
      <x:c r="AE8" s="167" t="str">
        <x:f>IF(AND(AE$6&lt;=$G8,AE$6+6&gt;=$E8),1,"")</x:f>
      </x:c>
      <x:c r="AF8" s="167" t="str">
        <x:f>IF(AND(AF$6&lt;=$G8,AF$6+6&gt;=$E8),1,"")</x:f>
      </x:c>
      <x:c r="AG8" s="167" t="str">
        <x:f>IF(AND(AG$6&lt;=$G8,AG$6+6&gt;=$E8),1,"")</x:f>
      </x:c>
      <x:c r="AH8" s="167" t="str">
        <x:f>IF(AND(AH$6&lt;=$G8,AH$6+6&gt;=$E8),1,"")</x:f>
      </x:c>
      <x:c r="AI8" s="167" t="str">
        <x:f>IF(AND(AI$6&lt;=$G8,AI$6+6&gt;=$E8),1,"")</x:f>
      </x:c>
      <x:c r="AJ8" s="167" t="str">
        <x:f>IF(AND(AJ$6&lt;=$G8,AJ$6+6&gt;=$E8),1,"")</x:f>
      </x:c>
      <x:c r="AK8" s="167" t="str">
        <x:f>IF(AND(AK$6&lt;=$G8,AK$6+6&gt;=$E8),1,"")</x:f>
      </x:c>
      <x:c r="AL8" s="167" t="str">
        <x:f>IF(AND(AL$6&lt;=$G8,AL$6+6&gt;=$E8),1,"")</x:f>
      </x:c>
      <x:c r="AM8" s="167" t="str">
        <x:f>IF(AND(AM$6&lt;=$G8,AM$6+6&gt;=$E8),1,"")</x:f>
      </x:c>
      <x:c r="AN8" s="167" t="str">
        <x:f>IF(AND(AN$6&lt;=$G8,AN$6+6&gt;=$E8),1,"")</x:f>
      </x:c>
      <x:c r="AO8" s="167" t="str">
        <x:f>IF(AND(AO$6&lt;=$G8,AO$6+6&gt;=$E8),1,"")</x:f>
      </x:c>
      <x:c r="AP8" s="167" t="str">
        <x:f>IF(AND(AP$6&lt;=$G8,AP$6+6&gt;=$E8),1,"")</x:f>
      </x:c>
      <x:c r="AQ8" s="167" t="str">
        <x:f>IF(AND(AQ$6&lt;=$G8,AQ$6+6&gt;=$E8),1,"")</x:f>
      </x:c>
      <x:c r="AR8" s="167" t="str">
        <x:f>IF(AND(AR$6&lt;=$G8,AR$6+6&gt;=$E8),1,"")</x:f>
      </x:c>
      <x:c r="AS8" s="167" t="str">
        <x:f>IF(AND(AS$6&lt;=$G8,AS$6+6&gt;=$E8),1,"")</x:f>
      </x:c>
      <x:c r="AT8" s="167" t="str">
        <x:f>IF(AND(AT$6&lt;=$G8,AT$6+6&gt;=$E8),1,"")</x:f>
      </x:c>
      <x:c r="AU8" s="167" t="str">
        <x:f>IF(AND(AU$6&lt;=$G8,AU$6+6&gt;=$E8),1,"")</x:f>
      </x:c>
      <x:c r="AV8" s="167" t="str">
        <x:f>IF(AND(AV$6&lt;=$G8,AV$6+6&gt;=$E8),1,"")</x:f>
      </x:c>
      <x:c r="AW8" s="167" t="str">
        <x:f>IF(AND(AW$6&lt;=$G8,AW$6+6&gt;=$E8),1,"")</x:f>
      </x:c>
      <x:c r="AX8" s="167" t="str">
        <x:f>IF(AND(AX$6&lt;=$G8,AX$6+6&gt;=$E8),1,"")</x:f>
      </x:c>
      <x:c r="AY8" s="167" t="str">
        <x:f>IF(AND(AY$6&lt;=$G8,AY$6+6&gt;=$E8),1,"")</x:f>
      </x:c>
      <x:c r="AZ8" s="167" t="str">
        <x:f>IF(AND(AZ$6&lt;=$G8,AZ$6+6&gt;=$E8),1,"")</x:f>
      </x:c>
      <x:c r="BA8" s="167" t="str">
        <x:f>IF(AND(BA$6&lt;=$G8,BA$6+6&gt;=$E8),1,"")</x:f>
      </x:c>
      <x:c r="BB8" s="167" t="str">
        <x:f>IF(AND(BB$6&lt;=$G8,BB$6+6&gt;=$E8),1,"")</x:f>
      </x:c>
      <x:c r="BC8" s="167" t="str">
        <x:f>IF(AND(BC$6&lt;=$G8,BC$6+6&gt;=$E8),1,"")</x:f>
      </x:c>
      <x:c r="BD8" s="167" t="str">
        <x:f>IF(AND(BD$6&lt;=$G8,BD$6+6&gt;=$E8),1,"")</x:f>
      </x:c>
      <x:c r="BE8" s="167" t="str">
        <x:f>IF(AND(BE$6&lt;=$G8,BE$6+6&gt;=$E8),1,"")</x:f>
      </x:c>
      <x:c r="BF8" s="167" t="str">
        <x:f>IF(AND(BF$6&lt;=$G8,BF$6+6&gt;=$E8),1,"")</x:f>
      </x:c>
      <x:c r="BG8" s="167" t="str">
        <x:f>IF(AND(BG$6&lt;=$G8,BG$6+6&gt;=$E8),1,"")</x:f>
      </x:c>
      <x:c r="BH8" s="167" t="str">
        <x:f>IF(AND(BH$6&lt;=$G8,BH$6+6&gt;=$E8),1,"")</x:f>
      </x:c>
      <x:c r="BI8" s="167" t="str">
        <x:f>IF(AND(BI$6&lt;=$G8,BI$6+6&gt;=$E8),1,"")</x:f>
      </x:c>
      <x:c r="BJ8" s="167" t="str">
        <x:f>IF(AND(BJ$6&lt;=$G8,BJ$6+6&gt;=$E8),1,"")</x:f>
      </x:c>
      <x:c r="BK8" s="167" t="str">
        <x:f>IF(AND(BK$6&lt;=$G8,BK$6+6&gt;=$E8),1,"")</x:f>
      </x:c>
      <x:c r="BL8" s="167" t="str">
        <x:f>IF(AND(BL$6&lt;=$G8,BL$6+6&gt;=$E8),1,"")</x:f>
      </x:c>
      <x:c r="BM8" s="167" t="str">
        <x:f>IF(AND(BM$6&lt;=$G8,BM$6+6&gt;=$E8),1,"")</x:f>
      </x:c>
      <x:c r="BN8" s="168" t="str">
        <x:f>IF(AND(BN$6&lt;=$G8,BN$6+6&gt;=$E8),1,"")</x:f>
      </x:c>
    </x:row>
    <x:row r="9" ht="28" customHeight="1">
      <x:c r="A9" s="68" t="str">
        <x:f>'Phase Data'!A7</x:f>
        <x:v>M2</x:v>
      </x:c>
      <x:c r="B9" s="68" t="str">
        <x:f>'Phase Data'!B7</x:f>
        <x:v>Research</x:v>
      </x:c>
      <x:c r="C9" s="68" t="str">
        <x:f>'Phase Data'!C7</x:f>
        <x:v>Calibrated multiscale generative model</x:v>
      </x:c>
      <x:c r="D9" s="68" t="str">
        <x:f>'Phase Data'!D7</x:f>
        <x:v>M1</x:v>
      </x:c>
      <x:c r="E9" s="94" t="n">
        <x:f>'Phase Data'!E7</x:f>
        <x:v>46293</x:v>
      </x:c>
      <x:c r="F9" s="92" t="n">
        <x:f>'Phase Data'!F7</x:f>
        <x:v>11</x:v>
      </x:c>
      <x:c r="G9" s="94" t="n">
        <x:f>'Phase Data'!G7</x:f>
        <x:v>46369</x:v>
      </x:c>
      <x:c r="H9" s="166" t="str">
        <x:f>IF(AND(H$6&lt;=$G9,H$6+6&gt;=$E9),1,"")</x:f>
      </x:c>
      <x:c r="I9" s="167" t="str">
        <x:f>IF(AND(I$6&lt;=$G9,I$6+6&gt;=$E9),1,"")</x:f>
      </x:c>
      <x:c r="J9" s="167" t="str">
        <x:f>IF(AND(J$6&lt;=$G9,J$6+6&gt;=$E9),1,"")</x:f>
      </x:c>
      <x:c r="K9" s="167" t="str">
        <x:f>IF(AND(K$6&lt;=$G9,K$6+6&gt;=$E9),1,"")</x:f>
      </x:c>
      <x:c r="L9" s="167" t="str">
        <x:f>IF(AND(L$6&lt;=$G9,L$6+6&gt;=$E9),1,"")</x:f>
      </x:c>
      <x:c r="M9" s="167" t="str">
        <x:f>IF(AND(M$6&lt;=$G9,M$6+6&gt;=$E9),1,"")</x:f>
      </x:c>
      <x:c r="N9" s="167" t="str">
        <x:f>IF(AND(N$6&lt;=$G9,N$6+6&gt;=$E9),1,"")</x:f>
      </x:c>
      <x:c r="O9" s="167" t="str">
        <x:f>IF(AND(O$6&lt;=$G9,O$6+6&gt;=$E9),1,"")</x:f>
      </x:c>
      <x:c r="P9" s="167" t="n">
        <x:f>IF(AND(P$6&lt;=$G9,P$6+6&gt;=$E9),1,"")</x:f>
        <x:v>1</x:v>
      </x:c>
      <x:c r="Q9" s="167" t="n">
        <x:f>IF(AND(Q$6&lt;=$G9,Q$6+6&gt;=$E9),1,"")</x:f>
        <x:v>1</x:v>
      </x:c>
      <x:c r="R9" s="167" t="n">
        <x:f>IF(AND(R$6&lt;=$G9,R$6+6&gt;=$E9),1,"")</x:f>
        <x:v>1</x:v>
      </x:c>
      <x:c r="S9" s="167" t="n">
        <x:f>IF(AND(S$6&lt;=$G9,S$6+6&gt;=$E9),1,"")</x:f>
        <x:v>1</x:v>
      </x:c>
      <x:c r="T9" s="167" t="n">
        <x:f>IF(AND(T$6&lt;=$G9,T$6+6&gt;=$E9),1,"")</x:f>
        <x:v>1</x:v>
      </x:c>
      <x:c r="U9" s="167" t="n">
        <x:f>IF(AND(U$6&lt;=$G9,U$6+6&gt;=$E9),1,"")</x:f>
        <x:v>1</x:v>
      </x:c>
      <x:c r="V9" s="167" t="n">
        <x:f>IF(AND(V$6&lt;=$G9,V$6+6&gt;=$E9),1,"")</x:f>
        <x:v>1</x:v>
      </x:c>
      <x:c r="W9" s="167" t="n">
        <x:f>IF(AND(W$6&lt;=$G9,W$6+6&gt;=$E9),1,"")</x:f>
        <x:v>1</x:v>
      </x:c>
      <x:c r="X9" s="167" t="n">
        <x:f>IF(AND(X$6&lt;=$G9,X$6+6&gt;=$E9),1,"")</x:f>
        <x:v>1</x:v>
      </x:c>
      <x:c r="Y9" s="167" t="n">
        <x:f>IF(AND(Y$6&lt;=$G9,Y$6+6&gt;=$E9),1,"")</x:f>
        <x:v>1</x:v>
      </x:c>
      <x:c r="Z9" s="167" t="n">
        <x:f>IF(AND(Z$6&lt;=$G9,Z$6+6&gt;=$E9),1,"")</x:f>
        <x:v>1</x:v>
      </x:c>
      <x:c r="AA9" s="167" t="str">
        <x:f>IF(AND(AA$6&lt;=$G9,AA$6+6&gt;=$E9),1,"")</x:f>
      </x:c>
      <x:c r="AB9" s="167" t="str">
        <x:f>IF(AND(AB$6&lt;=$G9,AB$6+6&gt;=$E9),1,"")</x:f>
      </x:c>
      <x:c r="AC9" s="167" t="str">
        <x:f>IF(AND(AC$6&lt;=$G9,AC$6+6&gt;=$E9),1,"")</x:f>
      </x:c>
      <x:c r="AD9" s="167" t="str">
        <x:f>IF(AND(AD$6&lt;=$G9,AD$6+6&gt;=$E9),1,"")</x:f>
      </x:c>
      <x:c r="AE9" s="167" t="str">
        <x:f>IF(AND(AE$6&lt;=$G9,AE$6+6&gt;=$E9),1,"")</x:f>
      </x:c>
      <x:c r="AF9" s="167" t="str">
        <x:f>IF(AND(AF$6&lt;=$G9,AF$6+6&gt;=$E9),1,"")</x:f>
      </x:c>
      <x:c r="AG9" s="167" t="str">
        <x:f>IF(AND(AG$6&lt;=$G9,AG$6+6&gt;=$E9),1,"")</x:f>
      </x:c>
      <x:c r="AH9" s="167" t="str">
        <x:f>IF(AND(AH$6&lt;=$G9,AH$6+6&gt;=$E9),1,"")</x:f>
      </x:c>
      <x:c r="AI9" s="167" t="str">
        <x:f>IF(AND(AI$6&lt;=$G9,AI$6+6&gt;=$E9),1,"")</x:f>
      </x:c>
      <x:c r="AJ9" s="167" t="str">
        <x:f>IF(AND(AJ$6&lt;=$G9,AJ$6+6&gt;=$E9),1,"")</x:f>
      </x:c>
      <x:c r="AK9" s="167" t="str">
        <x:f>IF(AND(AK$6&lt;=$G9,AK$6+6&gt;=$E9),1,"")</x:f>
      </x:c>
      <x:c r="AL9" s="167" t="str">
        <x:f>IF(AND(AL$6&lt;=$G9,AL$6+6&gt;=$E9),1,"")</x:f>
      </x:c>
      <x:c r="AM9" s="167" t="str">
        <x:f>IF(AND(AM$6&lt;=$G9,AM$6+6&gt;=$E9),1,"")</x:f>
      </x:c>
      <x:c r="AN9" s="167" t="str">
        <x:f>IF(AND(AN$6&lt;=$G9,AN$6+6&gt;=$E9),1,"")</x:f>
      </x:c>
      <x:c r="AO9" s="167" t="str">
        <x:f>IF(AND(AO$6&lt;=$G9,AO$6+6&gt;=$E9),1,"")</x:f>
      </x:c>
      <x:c r="AP9" s="167" t="str">
        <x:f>IF(AND(AP$6&lt;=$G9,AP$6+6&gt;=$E9),1,"")</x:f>
      </x:c>
      <x:c r="AQ9" s="167" t="str">
        <x:f>IF(AND(AQ$6&lt;=$G9,AQ$6+6&gt;=$E9),1,"")</x:f>
      </x:c>
      <x:c r="AR9" s="167" t="str">
        <x:f>IF(AND(AR$6&lt;=$G9,AR$6+6&gt;=$E9),1,"")</x:f>
      </x:c>
      <x:c r="AS9" s="167" t="str">
        <x:f>IF(AND(AS$6&lt;=$G9,AS$6+6&gt;=$E9),1,"")</x:f>
      </x:c>
      <x:c r="AT9" s="167" t="str">
        <x:f>IF(AND(AT$6&lt;=$G9,AT$6+6&gt;=$E9),1,"")</x:f>
      </x:c>
      <x:c r="AU9" s="167" t="str">
        <x:f>IF(AND(AU$6&lt;=$G9,AU$6+6&gt;=$E9),1,"")</x:f>
      </x:c>
      <x:c r="AV9" s="167" t="str">
        <x:f>IF(AND(AV$6&lt;=$G9,AV$6+6&gt;=$E9),1,"")</x:f>
      </x:c>
      <x:c r="AW9" s="167" t="str">
        <x:f>IF(AND(AW$6&lt;=$G9,AW$6+6&gt;=$E9),1,"")</x:f>
      </x:c>
      <x:c r="AX9" s="167" t="str">
        <x:f>IF(AND(AX$6&lt;=$G9,AX$6+6&gt;=$E9),1,"")</x:f>
      </x:c>
      <x:c r="AY9" s="167" t="str">
        <x:f>IF(AND(AY$6&lt;=$G9,AY$6+6&gt;=$E9),1,"")</x:f>
      </x:c>
      <x:c r="AZ9" s="167" t="str">
        <x:f>IF(AND(AZ$6&lt;=$G9,AZ$6+6&gt;=$E9),1,"")</x:f>
      </x:c>
      <x:c r="BA9" s="167" t="str">
        <x:f>IF(AND(BA$6&lt;=$G9,BA$6+6&gt;=$E9),1,"")</x:f>
      </x:c>
      <x:c r="BB9" s="167" t="str">
        <x:f>IF(AND(BB$6&lt;=$G9,BB$6+6&gt;=$E9),1,"")</x:f>
      </x:c>
      <x:c r="BC9" s="167" t="str">
        <x:f>IF(AND(BC$6&lt;=$G9,BC$6+6&gt;=$E9),1,"")</x:f>
      </x:c>
      <x:c r="BD9" s="167" t="str">
        <x:f>IF(AND(BD$6&lt;=$G9,BD$6+6&gt;=$E9),1,"")</x:f>
      </x:c>
      <x:c r="BE9" s="167" t="str">
        <x:f>IF(AND(BE$6&lt;=$G9,BE$6+6&gt;=$E9),1,"")</x:f>
      </x:c>
      <x:c r="BF9" s="167" t="str">
        <x:f>IF(AND(BF$6&lt;=$G9,BF$6+6&gt;=$E9),1,"")</x:f>
      </x:c>
      <x:c r="BG9" s="167" t="str">
        <x:f>IF(AND(BG$6&lt;=$G9,BG$6+6&gt;=$E9),1,"")</x:f>
      </x:c>
      <x:c r="BH9" s="167" t="str">
        <x:f>IF(AND(BH$6&lt;=$G9,BH$6+6&gt;=$E9),1,"")</x:f>
      </x:c>
      <x:c r="BI9" s="167" t="str">
        <x:f>IF(AND(BI$6&lt;=$G9,BI$6+6&gt;=$E9),1,"")</x:f>
      </x:c>
      <x:c r="BJ9" s="167" t="str">
        <x:f>IF(AND(BJ$6&lt;=$G9,BJ$6+6&gt;=$E9),1,"")</x:f>
      </x:c>
      <x:c r="BK9" s="167" t="str">
        <x:f>IF(AND(BK$6&lt;=$G9,BK$6+6&gt;=$E9),1,"")</x:f>
      </x:c>
      <x:c r="BL9" s="167" t="str">
        <x:f>IF(AND(BL$6&lt;=$G9,BL$6+6&gt;=$E9),1,"")</x:f>
      </x:c>
      <x:c r="BM9" s="167" t="str">
        <x:f>IF(AND(BM$6&lt;=$G9,BM$6+6&gt;=$E9),1,"")</x:f>
      </x:c>
      <x:c r="BN9" s="168" t="str">
        <x:f>IF(AND(BN$6&lt;=$G9,BN$6+6&gt;=$E9),1,"")</x:f>
      </x:c>
    </x:row>
    <x:row r="10" ht="28" customHeight="1">
      <x:c r="A10" s="68" t="str">
        <x:f>'Phase Data'!A8</x:f>
        <x:v>M3</x:v>
      </x:c>
      <x:c r="B10" s="68" t="str">
        <x:f>'Phase Data'!B8</x:f>
        <x:v>Research</x:v>
      </x:c>
      <x:c r="C10" s="68" t="str">
        <x:f>'Phase Data'!C8</x:f>
        <x:v>Foveated hierarchical policy inference</x:v>
      </x:c>
      <x:c r="D10" s="68" t="str">
        <x:f>'Phase Data'!D8</x:f>
        <x:v>M2</x:v>
      </x:c>
      <x:c r="E10" s="94" t="n">
        <x:f>'Phase Data'!E8</x:f>
        <x:v>46370</x:v>
      </x:c>
      <x:c r="F10" s="92" t="n">
        <x:f>'Phase Data'!F8</x:f>
        <x:v>18</x:v>
      </x:c>
      <x:c r="G10" s="94" t="n">
        <x:f>'Phase Data'!G8</x:f>
        <x:v>46495</x:v>
      </x:c>
      <x:c r="H10" s="166" t="str">
        <x:f>IF(AND(H$6&lt;=$G10,H$6+6&gt;=$E10),1,"")</x:f>
      </x:c>
      <x:c r="I10" s="167" t="str">
        <x:f>IF(AND(I$6&lt;=$G10,I$6+6&gt;=$E10),1,"")</x:f>
      </x:c>
      <x:c r="J10" s="167" t="str">
        <x:f>IF(AND(J$6&lt;=$G10,J$6+6&gt;=$E10),1,"")</x:f>
      </x:c>
      <x:c r="K10" s="167" t="str">
        <x:f>IF(AND(K$6&lt;=$G10,K$6+6&gt;=$E10),1,"")</x:f>
      </x:c>
      <x:c r="L10" s="167" t="str">
        <x:f>IF(AND(L$6&lt;=$G10,L$6+6&gt;=$E10),1,"")</x:f>
      </x:c>
      <x:c r="M10" s="167" t="str">
        <x:f>IF(AND(M$6&lt;=$G10,M$6+6&gt;=$E10),1,"")</x:f>
      </x:c>
      <x:c r="N10" s="167" t="str">
        <x:f>IF(AND(N$6&lt;=$G10,N$6+6&gt;=$E10),1,"")</x:f>
      </x:c>
      <x:c r="O10" s="167" t="str">
        <x:f>IF(AND(O$6&lt;=$G10,O$6+6&gt;=$E10),1,"")</x:f>
      </x:c>
      <x:c r="P10" s="167" t="str">
        <x:f>IF(AND(P$6&lt;=$G10,P$6+6&gt;=$E10),1,"")</x:f>
      </x:c>
      <x:c r="Q10" s="167" t="str">
        <x:f>IF(AND(Q$6&lt;=$G10,Q$6+6&gt;=$E10),1,"")</x:f>
      </x:c>
      <x:c r="R10" s="167" t="str">
        <x:f>IF(AND(R$6&lt;=$G10,R$6+6&gt;=$E10),1,"")</x:f>
      </x:c>
      <x:c r="S10" s="167" t="str">
        <x:f>IF(AND(S$6&lt;=$G10,S$6+6&gt;=$E10),1,"")</x:f>
      </x:c>
      <x:c r="T10" s="167" t="str">
        <x:f>IF(AND(T$6&lt;=$G10,T$6+6&gt;=$E10),1,"")</x:f>
      </x:c>
      <x:c r="U10" s="167" t="str">
        <x:f>IF(AND(U$6&lt;=$G10,U$6+6&gt;=$E10),1,"")</x:f>
      </x:c>
      <x:c r="V10" s="167" t="str">
        <x:f>IF(AND(V$6&lt;=$G10,V$6+6&gt;=$E10),1,"")</x:f>
      </x:c>
      <x:c r="W10" s="167" t="str">
        <x:f>IF(AND(W$6&lt;=$G10,W$6+6&gt;=$E10),1,"")</x:f>
      </x:c>
      <x:c r="X10" s="167" t="str">
        <x:f>IF(AND(X$6&lt;=$G10,X$6+6&gt;=$E10),1,"")</x:f>
      </x:c>
      <x:c r="Y10" s="167" t="str">
        <x:f>IF(AND(Y$6&lt;=$G10,Y$6+6&gt;=$E10),1,"")</x:f>
      </x:c>
      <x:c r="Z10" s="167" t="str">
        <x:f>IF(AND(Z$6&lt;=$G10,Z$6+6&gt;=$E10),1,"")</x:f>
      </x:c>
      <x:c r="AA10" s="167" t="n">
        <x:f>IF(AND(AA$6&lt;=$G10,AA$6+6&gt;=$E10),1,"")</x:f>
        <x:v>1</x:v>
      </x:c>
      <x:c r="AB10" s="167" t="n">
        <x:f>IF(AND(AB$6&lt;=$G10,AB$6+6&gt;=$E10),1,"")</x:f>
        <x:v>1</x:v>
      </x:c>
      <x:c r="AC10" s="167" t="n">
        <x:f>IF(AND(AC$6&lt;=$G10,AC$6+6&gt;=$E10),1,"")</x:f>
        <x:v>1</x:v>
      </x:c>
      <x:c r="AD10" s="167" t="n">
        <x:f>IF(AND(AD$6&lt;=$G10,AD$6+6&gt;=$E10),1,"")</x:f>
        <x:v>1</x:v>
      </x:c>
      <x:c r="AE10" s="167" t="n">
        <x:f>IF(AND(AE$6&lt;=$G10,AE$6+6&gt;=$E10),1,"")</x:f>
        <x:v>1</x:v>
      </x:c>
      <x:c r="AF10" s="167" t="n">
        <x:f>IF(AND(AF$6&lt;=$G10,AF$6+6&gt;=$E10),1,"")</x:f>
        <x:v>1</x:v>
      </x:c>
      <x:c r="AG10" s="167" t="n">
        <x:f>IF(AND(AG$6&lt;=$G10,AG$6+6&gt;=$E10),1,"")</x:f>
        <x:v>1</x:v>
      </x:c>
      <x:c r="AH10" s="167" t="n">
        <x:f>IF(AND(AH$6&lt;=$G10,AH$6+6&gt;=$E10),1,"")</x:f>
        <x:v>1</x:v>
      </x:c>
      <x:c r="AI10" s="167" t="n">
        <x:f>IF(AND(AI$6&lt;=$G10,AI$6+6&gt;=$E10),1,"")</x:f>
        <x:v>1</x:v>
      </x:c>
      <x:c r="AJ10" s="167" t="n">
        <x:f>IF(AND(AJ$6&lt;=$G10,AJ$6+6&gt;=$E10),1,"")</x:f>
        <x:v>1</x:v>
      </x:c>
      <x:c r="AK10" s="167" t="n">
        <x:f>IF(AND(AK$6&lt;=$G10,AK$6+6&gt;=$E10),1,"")</x:f>
        <x:v>1</x:v>
      </x:c>
      <x:c r="AL10" s="167" t="n">
        <x:f>IF(AND(AL$6&lt;=$G10,AL$6+6&gt;=$E10),1,"")</x:f>
        <x:v>1</x:v>
      </x:c>
      <x:c r="AM10" s="167" t="n">
        <x:f>IF(AND(AM$6&lt;=$G10,AM$6+6&gt;=$E10),1,"")</x:f>
        <x:v>1</x:v>
      </x:c>
      <x:c r="AN10" s="167" t="n">
        <x:f>IF(AND(AN$6&lt;=$G10,AN$6+6&gt;=$E10),1,"")</x:f>
        <x:v>1</x:v>
      </x:c>
      <x:c r="AO10" s="167" t="n">
        <x:f>IF(AND(AO$6&lt;=$G10,AO$6+6&gt;=$E10),1,"")</x:f>
        <x:v>1</x:v>
      </x:c>
      <x:c r="AP10" s="167" t="n">
        <x:f>IF(AND(AP$6&lt;=$G10,AP$6+6&gt;=$E10),1,"")</x:f>
        <x:v>1</x:v>
      </x:c>
      <x:c r="AQ10" s="167" t="n">
        <x:f>IF(AND(AQ$6&lt;=$G10,AQ$6+6&gt;=$E10),1,"")</x:f>
        <x:v>1</x:v>
      </x:c>
      <x:c r="AR10" s="167" t="n">
        <x:f>IF(AND(AR$6&lt;=$G10,AR$6+6&gt;=$E10),1,"")</x:f>
        <x:v>1</x:v>
      </x:c>
      <x:c r="AS10" s="167" t="str">
        <x:f>IF(AND(AS$6&lt;=$G10,AS$6+6&gt;=$E10),1,"")</x:f>
      </x:c>
      <x:c r="AT10" s="167" t="str">
        <x:f>IF(AND(AT$6&lt;=$G10,AT$6+6&gt;=$E10),1,"")</x:f>
      </x:c>
      <x:c r="AU10" s="167" t="str">
        <x:f>IF(AND(AU$6&lt;=$G10,AU$6+6&gt;=$E10),1,"")</x:f>
      </x:c>
      <x:c r="AV10" s="167" t="str">
        <x:f>IF(AND(AV$6&lt;=$G10,AV$6+6&gt;=$E10),1,"")</x:f>
      </x:c>
      <x:c r="AW10" s="167" t="str">
        <x:f>IF(AND(AW$6&lt;=$G10,AW$6+6&gt;=$E10),1,"")</x:f>
      </x:c>
      <x:c r="AX10" s="167" t="str">
        <x:f>IF(AND(AX$6&lt;=$G10,AX$6+6&gt;=$E10),1,"")</x:f>
      </x:c>
      <x:c r="AY10" s="167" t="str">
        <x:f>IF(AND(AY$6&lt;=$G10,AY$6+6&gt;=$E10),1,"")</x:f>
      </x:c>
      <x:c r="AZ10" s="167" t="str">
        <x:f>IF(AND(AZ$6&lt;=$G10,AZ$6+6&gt;=$E10),1,"")</x:f>
      </x:c>
      <x:c r="BA10" s="167" t="str">
        <x:f>IF(AND(BA$6&lt;=$G10,BA$6+6&gt;=$E10),1,"")</x:f>
      </x:c>
      <x:c r="BB10" s="167" t="str">
        <x:f>IF(AND(BB$6&lt;=$G10,BB$6+6&gt;=$E10),1,"")</x:f>
      </x:c>
      <x:c r="BC10" s="167" t="str">
        <x:f>IF(AND(BC$6&lt;=$G10,BC$6+6&gt;=$E10),1,"")</x:f>
      </x:c>
      <x:c r="BD10" s="167" t="str">
        <x:f>IF(AND(BD$6&lt;=$G10,BD$6+6&gt;=$E10),1,"")</x:f>
      </x:c>
      <x:c r="BE10" s="167" t="str">
        <x:f>IF(AND(BE$6&lt;=$G10,BE$6+6&gt;=$E10),1,"")</x:f>
      </x:c>
      <x:c r="BF10" s="167" t="str">
        <x:f>IF(AND(BF$6&lt;=$G10,BF$6+6&gt;=$E10),1,"")</x:f>
      </x:c>
      <x:c r="BG10" s="167" t="str">
        <x:f>IF(AND(BG$6&lt;=$G10,BG$6+6&gt;=$E10),1,"")</x:f>
      </x:c>
      <x:c r="BH10" s="167" t="str">
        <x:f>IF(AND(BH$6&lt;=$G10,BH$6+6&gt;=$E10),1,"")</x:f>
      </x:c>
      <x:c r="BI10" s="167" t="str">
        <x:f>IF(AND(BI$6&lt;=$G10,BI$6+6&gt;=$E10),1,"")</x:f>
      </x:c>
      <x:c r="BJ10" s="167" t="str">
        <x:f>IF(AND(BJ$6&lt;=$G10,BJ$6+6&gt;=$E10),1,"")</x:f>
      </x:c>
      <x:c r="BK10" s="167" t="str">
        <x:f>IF(AND(BK$6&lt;=$G10,BK$6+6&gt;=$E10),1,"")</x:f>
      </x:c>
      <x:c r="BL10" s="167" t="str">
        <x:f>IF(AND(BL$6&lt;=$G10,BL$6+6&gt;=$E10),1,"")</x:f>
      </x:c>
      <x:c r="BM10" s="167" t="str">
        <x:f>IF(AND(BM$6&lt;=$G10,BM$6+6&gt;=$E10),1,"")</x:f>
      </x:c>
      <x:c r="BN10" s="168" t="str">
        <x:f>IF(AND(BN$6&lt;=$G10,BN$6+6&gt;=$E10),1,"")</x:f>
      </x:c>
    </x:row>
    <x:row r="11" ht="28" customHeight="1">
      <x:c r="A11" s="68" t="str">
        <x:f>'Phase Data'!A9</x:f>
        <x:v>M8-A</x:v>
      </x:c>
      <x:c r="B11" s="68" t="str">
        <x:f>'Phase Data'!B9</x:f>
        <x:v>Research</x:v>
      </x:c>
      <x:c r="C11" s="68" t="str">
        <x:f>'Phase Data'!C9</x:f>
        <x:v>Protocol and analysis infrastructure</x:v>
      </x:c>
      <x:c r="D11" s="68" t="str">
        <x:f>'Phase Data'!D9</x:f>
        <x:v>M1</x:v>
      </x:c>
      <x:c r="E11" s="94" t="n">
        <x:f>'Phase Data'!E9</x:f>
        <x:v>46293</x:v>
      </x:c>
      <x:c r="F11" s="92" t="n">
        <x:f>'Phase Data'!F9</x:f>
        <x:v>6</x:v>
      </x:c>
      <x:c r="G11" s="94" t="n">
        <x:f>'Phase Data'!G9</x:f>
        <x:v>46334</x:v>
      </x:c>
      <x:c r="H11" s="166" t="str">
        <x:f>IF(AND(H$6&lt;=$G11,H$6+6&gt;=$E11),1,"")</x:f>
      </x:c>
      <x:c r="I11" s="167" t="str">
        <x:f>IF(AND(I$6&lt;=$G11,I$6+6&gt;=$E11),1,"")</x:f>
      </x:c>
      <x:c r="J11" s="167" t="str">
        <x:f>IF(AND(J$6&lt;=$G11,J$6+6&gt;=$E11),1,"")</x:f>
      </x:c>
      <x:c r="K11" s="167" t="str">
        <x:f>IF(AND(K$6&lt;=$G11,K$6+6&gt;=$E11),1,"")</x:f>
      </x:c>
      <x:c r="L11" s="167" t="str">
        <x:f>IF(AND(L$6&lt;=$G11,L$6+6&gt;=$E11),1,"")</x:f>
      </x:c>
      <x:c r="M11" s="167" t="str">
        <x:f>IF(AND(M$6&lt;=$G11,M$6+6&gt;=$E11),1,"")</x:f>
      </x:c>
      <x:c r="N11" s="167" t="str">
        <x:f>IF(AND(N$6&lt;=$G11,N$6+6&gt;=$E11),1,"")</x:f>
      </x:c>
      <x:c r="O11" s="167" t="str">
        <x:f>IF(AND(O$6&lt;=$G11,O$6+6&gt;=$E11),1,"")</x:f>
      </x:c>
      <x:c r="P11" s="167" t="n">
        <x:f>IF(AND(P$6&lt;=$G11,P$6+6&gt;=$E11),1,"")</x:f>
        <x:v>1</x:v>
      </x:c>
      <x:c r="Q11" s="167" t="n">
        <x:f>IF(AND(Q$6&lt;=$G11,Q$6+6&gt;=$E11),1,"")</x:f>
        <x:v>1</x:v>
      </x:c>
      <x:c r="R11" s="167" t="n">
        <x:f>IF(AND(R$6&lt;=$G11,R$6+6&gt;=$E11),1,"")</x:f>
        <x:v>1</x:v>
      </x:c>
      <x:c r="S11" s="167" t="n">
        <x:f>IF(AND(S$6&lt;=$G11,S$6+6&gt;=$E11),1,"")</x:f>
        <x:v>1</x:v>
      </x:c>
      <x:c r="T11" s="167" t="n">
        <x:f>IF(AND(T$6&lt;=$G11,T$6+6&gt;=$E11),1,"")</x:f>
        <x:v>1</x:v>
      </x:c>
      <x:c r="U11" s="167" t="n">
        <x:f>IF(AND(U$6&lt;=$G11,U$6+6&gt;=$E11),1,"")</x:f>
        <x:v>1</x:v>
      </x:c>
      <x:c r="V11" s="167" t="str">
        <x:f>IF(AND(V$6&lt;=$G11,V$6+6&gt;=$E11),1,"")</x:f>
      </x:c>
      <x:c r="W11" s="167" t="str">
        <x:f>IF(AND(W$6&lt;=$G11,W$6+6&gt;=$E11),1,"")</x:f>
      </x:c>
      <x:c r="X11" s="167" t="str">
        <x:f>IF(AND(X$6&lt;=$G11,X$6+6&gt;=$E11),1,"")</x:f>
      </x:c>
      <x:c r="Y11" s="167" t="str">
        <x:f>IF(AND(Y$6&lt;=$G11,Y$6+6&gt;=$E11),1,"")</x:f>
      </x:c>
      <x:c r="Z11" s="167" t="str">
        <x:f>IF(AND(Z$6&lt;=$G11,Z$6+6&gt;=$E11),1,"")</x:f>
      </x:c>
      <x:c r="AA11" s="167" t="str">
        <x:f>IF(AND(AA$6&lt;=$G11,AA$6+6&gt;=$E11),1,"")</x:f>
      </x:c>
      <x:c r="AB11" s="167" t="str">
        <x:f>IF(AND(AB$6&lt;=$G11,AB$6+6&gt;=$E11),1,"")</x:f>
      </x:c>
      <x:c r="AC11" s="167" t="str">
        <x:f>IF(AND(AC$6&lt;=$G11,AC$6+6&gt;=$E11),1,"")</x:f>
      </x:c>
      <x:c r="AD11" s="167" t="str">
        <x:f>IF(AND(AD$6&lt;=$G11,AD$6+6&gt;=$E11),1,"")</x:f>
      </x:c>
      <x:c r="AE11" s="167" t="str">
        <x:f>IF(AND(AE$6&lt;=$G11,AE$6+6&gt;=$E11),1,"")</x:f>
      </x:c>
      <x:c r="AF11" s="167" t="str">
        <x:f>IF(AND(AF$6&lt;=$G11,AF$6+6&gt;=$E11),1,"")</x:f>
      </x:c>
      <x:c r="AG11" s="167" t="str">
        <x:f>IF(AND(AG$6&lt;=$G11,AG$6+6&gt;=$E11),1,"")</x:f>
      </x:c>
      <x:c r="AH11" s="167" t="str">
        <x:f>IF(AND(AH$6&lt;=$G11,AH$6+6&gt;=$E11),1,"")</x:f>
      </x:c>
      <x:c r="AI11" s="167" t="str">
        <x:f>IF(AND(AI$6&lt;=$G11,AI$6+6&gt;=$E11),1,"")</x:f>
      </x:c>
      <x:c r="AJ11" s="167" t="str">
        <x:f>IF(AND(AJ$6&lt;=$G11,AJ$6+6&gt;=$E11),1,"")</x:f>
      </x:c>
      <x:c r="AK11" s="167" t="str">
        <x:f>IF(AND(AK$6&lt;=$G11,AK$6+6&gt;=$E11),1,"")</x:f>
      </x:c>
      <x:c r="AL11" s="167" t="str">
        <x:f>IF(AND(AL$6&lt;=$G11,AL$6+6&gt;=$E11),1,"")</x:f>
      </x:c>
      <x:c r="AM11" s="167" t="str">
        <x:f>IF(AND(AM$6&lt;=$G11,AM$6+6&gt;=$E11),1,"")</x:f>
      </x:c>
      <x:c r="AN11" s="167" t="str">
        <x:f>IF(AND(AN$6&lt;=$G11,AN$6+6&gt;=$E11),1,"")</x:f>
      </x:c>
      <x:c r="AO11" s="167" t="str">
        <x:f>IF(AND(AO$6&lt;=$G11,AO$6+6&gt;=$E11),1,"")</x:f>
      </x:c>
      <x:c r="AP11" s="167" t="str">
        <x:f>IF(AND(AP$6&lt;=$G11,AP$6+6&gt;=$E11),1,"")</x:f>
      </x:c>
      <x:c r="AQ11" s="167" t="str">
        <x:f>IF(AND(AQ$6&lt;=$G11,AQ$6+6&gt;=$E11),1,"")</x:f>
      </x:c>
      <x:c r="AR11" s="167" t="str">
        <x:f>IF(AND(AR$6&lt;=$G11,AR$6+6&gt;=$E11),1,"")</x:f>
      </x:c>
      <x:c r="AS11" s="167" t="str">
        <x:f>IF(AND(AS$6&lt;=$G11,AS$6+6&gt;=$E11),1,"")</x:f>
      </x:c>
      <x:c r="AT11" s="167" t="str">
        <x:f>IF(AND(AT$6&lt;=$G11,AT$6+6&gt;=$E11),1,"")</x:f>
      </x:c>
      <x:c r="AU11" s="167" t="str">
        <x:f>IF(AND(AU$6&lt;=$G11,AU$6+6&gt;=$E11),1,"")</x:f>
      </x:c>
      <x:c r="AV11" s="167" t="str">
        <x:f>IF(AND(AV$6&lt;=$G11,AV$6+6&gt;=$E11),1,"")</x:f>
      </x:c>
      <x:c r="AW11" s="167" t="str">
        <x:f>IF(AND(AW$6&lt;=$G11,AW$6+6&gt;=$E11),1,"")</x:f>
      </x:c>
      <x:c r="AX11" s="167" t="str">
        <x:f>IF(AND(AX$6&lt;=$G11,AX$6+6&gt;=$E11),1,"")</x:f>
      </x:c>
      <x:c r="AY11" s="167" t="str">
        <x:f>IF(AND(AY$6&lt;=$G11,AY$6+6&gt;=$E11),1,"")</x:f>
      </x:c>
      <x:c r="AZ11" s="167" t="str">
        <x:f>IF(AND(AZ$6&lt;=$G11,AZ$6+6&gt;=$E11),1,"")</x:f>
      </x:c>
      <x:c r="BA11" s="167" t="str">
        <x:f>IF(AND(BA$6&lt;=$G11,BA$6+6&gt;=$E11),1,"")</x:f>
      </x:c>
      <x:c r="BB11" s="167" t="str">
        <x:f>IF(AND(BB$6&lt;=$G11,BB$6+6&gt;=$E11),1,"")</x:f>
      </x:c>
      <x:c r="BC11" s="167" t="str">
        <x:f>IF(AND(BC$6&lt;=$G11,BC$6+6&gt;=$E11),1,"")</x:f>
      </x:c>
      <x:c r="BD11" s="167" t="str">
        <x:f>IF(AND(BD$6&lt;=$G11,BD$6+6&gt;=$E11),1,"")</x:f>
      </x:c>
      <x:c r="BE11" s="167" t="str">
        <x:f>IF(AND(BE$6&lt;=$G11,BE$6+6&gt;=$E11),1,"")</x:f>
      </x:c>
      <x:c r="BF11" s="167" t="str">
        <x:f>IF(AND(BF$6&lt;=$G11,BF$6+6&gt;=$E11),1,"")</x:f>
      </x:c>
      <x:c r="BG11" s="167" t="str">
        <x:f>IF(AND(BG$6&lt;=$G11,BG$6+6&gt;=$E11),1,"")</x:f>
      </x:c>
      <x:c r="BH11" s="167" t="str">
        <x:f>IF(AND(BH$6&lt;=$G11,BH$6+6&gt;=$E11),1,"")</x:f>
      </x:c>
      <x:c r="BI11" s="167" t="str">
        <x:f>IF(AND(BI$6&lt;=$G11,BI$6+6&gt;=$E11),1,"")</x:f>
      </x:c>
      <x:c r="BJ11" s="167" t="str">
        <x:f>IF(AND(BJ$6&lt;=$G11,BJ$6+6&gt;=$E11),1,"")</x:f>
      </x:c>
      <x:c r="BK11" s="167" t="str">
        <x:f>IF(AND(BK$6&lt;=$G11,BK$6+6&gt;=$E11),1,"")</x:f>
      </x:c>
      <x:c r="BL11" s="167" t="str">
        <x:f>IF(AND(BL$6&lt;=$G11,BL$6+6&gt;=$E11),1,"")</x:f>
      </x:c>
      <x:c r="BM11" s="167" t="str">
        <x:f>IF(AND(BM$6&lt;=$G11,BM$6+6&gt;=$E11),1,"")</x:f>
      </x:c>
      <x:c r="BN11" s="168" t="str">
        <x:f>IF(AND(BN$6&lt;=$G11,BN$6+6&gt;=$E11),1,"")</x:f>
      </x:c>
    </x:row>
    <x:row r="12" ht="28" customHeight="1">
      <x:c r="A12" s="68" t="str">
        <x:f>'Phase Data'!A10</x:f>
        <x:v>M8-B</x:v>
      </x:c>
      <x:c r="B12" s="68" t="str">
        <x:f>'Phase Data'!B10</x:f>
        <x:v>Research</x:v>
      </x:c>
      <x:c r="C12" s="68" t="str">
        <x:f>'Phase Data'!C10</x:f>
        <x:v>Mechanism and interaction studies</x:v>
      </x:c>
      <x:c r="D12" s="68" t="str">
        <x:f>'Phase Data'!D10</x:f>
        <x:v>M3</x:v>
      </x:c>
      <x:c r="E12" s="94" t="n">
        <x:f>'Phase Data'!E10</x:f>
        <x:v>46496</x:v>
      </x:c>
      <x:c r="F12" s="92" t="n">
        <x:f>'Phase Data'!F10</x:f>
        <x:v>18</x:v>
      </x:c>
      <x:c r="G12" s="94" t="n">
        <x:f>'Phase Data'!G10</x:f>
        <x:v>46621</x:v>
      </x:c>
      <x:c r="H12" s="166" t="str">
        <x:f>IF(AND(H$6&lt;=$G12,H$6+6&gt;=$E12),1,"")</x:f>
      </x:c>
      <x:c r="I12" s="167" t="str">
        <x:f>IF(AND(I$6&lt;=$G12,I$6+6&gt;=$E12),1,"")</x:f>
      </x:c>
      <x:c r="J12" s="167" t="str">
        <x:f>IF(AND(J$6&lt;=$G12,J$6+6&gt;=$E12),1,"")</x:f>
      </x:c>
      <x:c r="K12" s="167" t="str">
        <x:f>IF(AND(K$6&lt;=$G12,K$6+6&gt;=$E12),1,"")</x:f>
      </x:c>
      <x:c r="L12" s="167" t="str">
        <x:f>IF(AND(L$6&lt;=$G12,L$6+6&gt;=$E12),1,"")</x:f>
      </x:c>
      <x:c r="M12" s="167" t="str">
        <x:f>IF(AND(M$6&lt;=$G12,M$6+6&gt;=$E12),1,"")</x:f>
      </x:c>
      <x:c r="N12" s="167" t="str">
        <x:f>IF(AND(N$6&lt;=$G12,N$6+6&gt;=$E12),1,"")</x:f>
      </x:c>
      <x:c r="O12" s="167" t="str">
        <x:f>IF(AND(O$6&lt;=$G12,O$6+6&gt;=$E12),1,"")</x:f>
      </x:c>
      <x:c r="P12" s="167" t="str">
        <x:f>IF(AND(P$6&lt;=$G12,P$6+6&gt;=$E12),1,"")</x:f>
      </x:c>
      <x:c r="Q12" s="167" t="str">
        <x:f>IF(AND(Q$6&lt;=$G12,Q$6+6&gt;=$E12),1,"")</x:f>
      </x:c>
      <x:c r="R12" s="167" t="str">
        <x:f>IF(AND(R$6&lt;=$G12,R$6+6&gt;=$E12),1,"")</x:f>
      </x:c>
      <x:c r="S12" s="167" t="str">
        <x:f>IF(AND(S$6&lt;=$G12,S$6+6&gt;=$E12),1,"")</x:f>
      </x:c>
      <x:c r="T12" s="167" t="str">
        <x:f>IF(AND(T$6&lt;=$G12,T$6+6&gt;=$E12),1,"")</x:f>
      </x:c>
      <x:c r="U12" s="167" t="str">
        <x:f>IF(AND(U$6&lt;=$G12,U$6+6&gt;=$E12),1,"")</x:f>
      </x:c>
      <x:c r="V12" s="167" t="str">
        <x:f>IF(AND(V$6&lt;=$G12,V$6+6&gt;=$E12),1,"")</x:f>
      </x:c>
      <x:c r="W12" s="167" t="str">
        <x:f>IF(AND(W$6&lt;=$G12,W$6+6&gt;=$E12),1,"")</x:f>
      </x:c>
      <x:c r="X12" s="167" t="str">
        <x:f>IF(AND(X$6&lt;=$G12,X$6+6&gt;=$E12),1,"")</x:f>
      </x:c>
      <x:c r="Y12" s="167" t="str">
        <x:f>IF(AND(Y$6&lt;=$G12,Y$6+6&gt;=$E12),1,"")</x:f>
      </x:c>
      <x:c r="Z12" s="167" t="str">
        <x:f>IF(AND(Z$6&lt;=$G12,Z$6+6&gt;=$E12),1,"")</x:f>
      </x:c>
      <x:c r="AA12" s="167" t="str">
        <x:f>IF(AND(AA$6&lt;=$G12,AA$6+6&gt;=$E12),1,"")</x:f>
      </x:c>
      <x:c r="AB12" s="167" t="str">
        <x:f>IF(AND(AB$6&lt;=$G12,AB$6+6&gt;=$E12),1,"")</x:f>
      </x:c>
      <x:c r="AC12" s="167" t="str">
        <x:f>IF(AND(AC$6&lt;=$G12,AC$6+6&gt;=$E12),1,"")</x:f>
      </x:c>
      <x:c r="AD12" s="167" t="str">
        <x:f>IF(AND(AD$6&lt;=$G12,AD$6+6&gt;=$E12),1,"")</x:f>
      </x:c>
      <x:c r="AE12" s="167" t="str">
        <x:f>IF(AND(AE$6&lt;=$G12,AE$6+6&gt;=$E12),1,"")</x:f>
      </x:c>
      <x:c r="AF12" s="167" t="str">
        <x:f>IF(AND(AF$6&lt;=$G12,AF$6+6&gt;=$E12),1,"")</x:f>
      </x:c>
      <x:c r="AG12" s="167" t="str">
        <x:f>IF(AND(AG$6&lt;=$G12,AG$6+6&gt;=$E12),1,"")</x:f>
      </x:c>
      <x:c r="AH12" s="167" t="str">
        <x:f>IF(AND(AH$6&lt;=$G12,AH$6+6&gt;=$E12),1,"")</x:f>
      </x:c>
      <x:c r="AI12" s="167" t="str">
        <x:f>IF(AND(AI$6&lt;=$G12,AI$6+6&gt;=$E12),1,"")</x:f>
      </x:c>
      <x:c r="AJ12" s="167" t="str">
        <x:f>IF(AND(AJ$6&lt;=$G12,AJ$6+6&gt;=$E12),1,"")</x:f>
      </x:c>
      <x:c r="AK12" s="167" t="str">
        <x:f>IF(AND(AK$6&lt;=$G12,AK$6+6&gt;=$E12),1,"")</x:f>
      </x:c>
      <x:c r="AL12" s="167" t="str">
        <x:f>IF(AND(AL$6&lt;=$G12,AL$6+6&gt;=$E12),1,"")</x:f>
      </x:c>
      <x:c r="AM12" s="167" t="str">
        <x:f>IF(AND(AM$6&lt;=$G12,AM$6+6&gt;=$E12),1,"")</x:f>
      </x:c>
      <x:c r="AN12" s="167" t="str">
        <x:f>IF(AND(AN$6&lt;=$G12,AN$6+6&gt;=$E12),1,"")</x:f>
      </x:c>
      <x:c r="AO12" s="167" t="str">
        <x:f>IF(AND(AO$6&lt;=$G12,AO$6+6&gt;=$E12),1,"")</x:f>
      </x:c>
      <x:c r="AP12" s="167" t="str">
        <x:f>IF(AND(AP$6&lt;=$G12,AP$6+6&gt;=$E12),1,"")</x:f>
      </x:c>
      <x:c r="AQ12" s="167" t="str">
        <x:f>IF(AND(AQ$6&lt;=$G12,AQ$6+6&gt;=$E12),1,"")</x:f>
      </x:c>
      <x:c r="AR12" s="167" t="str">
        <x:f>IF(AND(AR$6&lt;=$G12,AR$6+6&gt;=$E12),1,"")</x:f>
      </x:c>
      <x:c r="AS12" s="167" t="n">
        <x:f>IF(AND(AS$6&lt;=$G12,AS$6+6&gt;=$E12),1,"")</x:f>
        <x:v>1</x:v>
      </x:c>
      <x:c r="AT12" s="167" t="n">
        <x:f>IF(AND(AT$6&lt;=$G12,AT$6+6&gt;=$E12),1,"")</x:f>
        <x:v>1</x:v>
      </x:c>
      <x:c r="AU12" s="167" t="n">
        <x:f>IF(AND(AU$6&lt;=$G12,AU$6+6&gt;=$E12),1,"")</x:f>
        <x:v>1</x:v>
      </x:c>
      <x:c r="AV12" s="167" t="n">
        <x:f>IF(AND(AV$6&lt;=$G12,AV$6+6&gt;=$E12),1,"")</x:f>
        <x:v>1</x:v>
      </x:c>
      <x:c r="AW12" s="167" t="n">
        <x:f>IF(AND(AW$6&lt;=$G12,AW$6+6&gt;=$E12),1,"")</x:f>
        <x:v>1</x:v>
      </x:c>
      <x:c r="AX12" s="167" t="n">
        <x:f>IF(AND(AX$6&lt;=$G12,AX$6+6&gt;=$E12),1,"")</x:f>
        <x:v>1</x:v>
      </x:c>
      <x:c r="AY12" s="167" t="n">
        <x:f>IF(AND(AY$6&lt;=$G12,AY$6+6&gt;=$E12),1,"")</x:f>
        <x:v>1</x:v>
      </x:c>
      <x:c r="AZ12" s="167" t="n">
        <x:f>IF(AND(AZ$6&lt;=$G12,AZ$6+6&gt;=$E12),1,"")</x:f>
        <x:v>1</x:v>
      </x:c>
      <x:c r="BA12" s="167" t="n">
        <x:f>IF(AND(BA$6&lt;=$G12,BA$6+6&gt;=$E12),1,"")</x:f>
        <x:v>1</x:v>
      </x:c>
      <x:c r="BB12" s="167" t="n">
        <x:f>IF(AND(BB$6&lt;=$G12,BB$6+6&gt;=$E12),1,"")</x:f>
        <x:v>1</x:v>
      </x:c>
      <x:c r="BC12" s="167" t="n">
        <x:f>IF(AND(BC$6&lt;=$G12,BC$6+6&gt;=$E12),1,"")</x:f>
        <x:v>1</x:v>
      </x:c>
      <x:c r="BD12" s="167" t="n">
        <x:f>IF(AND(BD$6&lt;=$G12,BD$6+6&gt;=$E12),1,"")</x:f>
        <x:v>1</x:v>
      </x:c>
      <x:c r="BE12" s="167" t="n">
        <x:f>IF(AND(BE$6&lt;=$G12,BE$6+6&gt;=$E12),1,"")</x:f>
        <x:v>1</x:v>
      </x:c>
      <x:c r="BF12" s="167" t="n">
        <x:f>IF(AND(BF$6&lt;=$G12,BF$6+6&gt;=$E12),1,"")</x:f>
        <x:v>1</x:v>
      </x:c>
      <x:c r="BG12" s="167" t="n">
        <x:f>IF(AND(BG$6&lt;=$G12,BG$6+6&gt;=$E12),1,"")</x:f>
        <x:v>1</x:v>
      </x:c>
      <x:c r="BH12" s="167" t="n">
        <x:f>IF(AND(BH$6&lt;=$G12,BH$6+6&gt;=$E12),1,"")</x:f>
        <x:v>1</x:v>
      </x:c>
      <x:c r="BI12" s="167" t="n">
        <x:f>IF(AND(BI$6&lt;=$G12,BI$6+6&gt;=$E12),1,"")</x:f>
        <x:v>1</x:v>
      </x:c>
      <x:c r="BJ12" s="167" t="n">
        <x:f>IF(AND(BJ$6&lt;=$G12,BJ$6+6&gt;=$E12),1,"")</x:f>
        <x:v>1</x:v>
      </x:c>
      <x:c r="BK12" s="167" t="str">
        <x:f>IF(AND(BK$6&lt;=$G12,BK$6+6&gt;=$E12),1,"")</x:f>
      </x:c>
      <x:c r="BL12" s="167" t="str">
        <x:f>IF(AND(BL$6&lt;=$G12,BL$6+6&gt;=$E12),1,"")</x:f>
      </x:c>
      <x:c r="BM12" s="167" t="str">
        <x:f>IF(AND(BM$6&lt;=$G12,BM$6+6&gt;=$E12),1,"")</x:f>
      </x:c>
      <x:c r="BN12" s="168" t="str">
        <x:f>IF(AND(BN$6&lt;=$G12,BN$6+6&gt;=$E12),1,"")</x:f>
      </x:c>
    </x:row>
    <x:row r="13" ht="28" customHeight="1">
      <x:c r="A13" s="68" t="str">
        <x:f>'Phase Data'!A11</x:f>
        <x:v>S0</x:v>
      </x:c>
      <x:c r="B13" s="68" t="str">
        <x:f>'Phase Data'!B11</x:f>
        <x:v>Simulation</x:v>
      </x:c>
      <x:c r="C13" s="68" t="str">
        <x:f>'Phase Data'!C11</x:f>
        <x:v>Native plant reference contract</x:v>
      </x:c>
      <x:c r="D13" s="68" t="str">
        <x:f>'Phase Data'!D11</x:f>
        <x:v>Fixed start</x:v>
      </x:c>
      <x:c r="E13" s="94" t="n">
        <x:f>'Phase Data'!E11</x:f>
        <x:v>46237</x:v>
      </x:c>
      <x:c r="F13" s="92" t="n">
        <x:f>'Phase Data'!F11</x:f>
        <x:v>3</x:v>
      </x:c>
      <x:c r="G13" s="94" t="n">
        <x:f>'Phase Data'!G11</x:f>
        <x:v>46257</x:v>
      </x:c>
      <x:c r="H13" s="166" t="n">
        <x:f>IF(AND(H$6&lt;=$G13,H$6+6&gt;=$E13),1,"")</x:f>
        <x:v>1</x:v>
      </x:c>
      <x:c r="I13" s="167" t="n">
        <x:f>IF(AND(I$6&lt;=$G13,I$6+6&gt;=$E13),1,"")</x:f>
        <x:v>1</x:v>
      </x:c>
      <x:c r="J13" s="167" t="n">
        <x:f>IF(AND(J$6&lt;=$G13,J$6+6&gt;=$E13),1,"")</x:f>
        <x:v>1</x:v>
      </x:c>
      <x:c r="K13" s="167" t="str">
        <x:f>IF(AND(K$6&lt;=$G13,K$6+6&gt;=$E13),1,"")</x:f>
      </x:c>
      <x:c r="L13" s="167" t="str">
        <x:f>IF(AND(L$6&lt;=$G13,L$6+6&gt;=$E13),1,"")</x:f>
      </x:c>
      <x:c r="M13" s="167" t="str">
        <x:f>IF(AND(M$6&lt;=$G13,M$6+6&gt;=$E13),1,"")</x:f>
      </x:c>
      <x:c r="N13" s="167" t="str">
        <x:f>IF(AND(N$6&lt;=$G13,N$6+6&gt;=$E13),1,"")</x:f>
      </x:c>
      <x:c r="O13" s="167" t="str">
        <x:f>IF(AND(O$6&lt;=$G13,O$6+6&gt;=$E13),1,"")</x:f>
      </x:c>
      <x:c r="P13" s="167" t="str">
        <x:f>IF(AND(P$6&lt;=$G13,P$6+6&gt;=$E13),1,"")</x:f>
      </x:c>
      <x:c r="Q13" s="167" t="str">
        <x:f>IF(AND(Q$6&lt;=$G13,Q$6+6&gt;=$E13),1,"")</x:f>
      </x:c>
      <x:c r="R13" s="167" t="str">
        <x:f>IF(AND(R$6&lt;=$G13,R$6+6&gt;=$E13),1,"")</x:f>
      </x:c>
      <x:c r="S13" s="167" t="str">
        <x:f>IF(AND(S$6&lt;=$G13,S$6+6&gt;=$E13),1,"")</x:f>
      </x:c>
      <x:c r="T13" s="167" t="str">
        <x:f>IF(AND(T$6&lt;=$G13,T$6+6&gt;=$E13),1,"")</x:f>
      </x:c>
      <x:c r="U13" s="167" t="str">
        <x:f>IF(AND(U$6&lt;=$G13,U$6+6&gt;=$E13),1,"")</x:f>
      </x:c>
      <x:c r="V13" s="167" t="str">
        <x:f>IF(AND(V$6&lt;=$G13,V$6+6&gt;=$E13),1,"")</x:f>
      </x:c>
      <x:c r="W13" s="167" t="str">
        <x:f>IF(AND(W$6&lt;=$G13,W$6+6&gt;=$E13),1,"")</x:f>
      </x:c>
      <x:c r="X13" s="167" t="str">
        <x:f>IF(AND(X$6&lt;=$G13,X$6+6&gt;=$E13),1,"")</x:f>
      </x:c>
      <x:c r="Y13" s="167" t="str">
        <x:f>IF(AND(Y$6&lt;=$G13,Y$6+6&gt;=$E13),1,"")</x:f>
      </x:c>
      <x:c r="Z13" s="167" t="str">
        <x:f>IF(AND(Z$6&lt;=$G13,Z$6+6&gt;=$E13),1,"")</x:f>
      </x:c>
      <x:c r="AA13" s="167" t="str">
        <x:f>IF(AND(AA$6&lt;=$G13,AA$6+6&gt;=$E13),1,"")</x:f>
      </x:c>
      <x:c r="AB13" s="167" t="str">
        <x:f>IF(AND(AB$6&lt;=$G13,AB$6+6&gt;=$E13),1,"")</x:f>
      </x:c>
      <x:c r="AC13" s="167" t="str">
        <x:f>IF(AND(AC$6&lt;=$G13,AC$6+6&gt;=$E13),1,"")</x:f>
      </x:c>
      <x:c r="AD13" s="167" t="str">
        <x:f>IF(AND(AD$6&lt;=$G13,AD$6+6&gt;=$E13),1,"")</x:f>
      </x:c>
      <x:c r="AE13" s="167" t="str">
        <x:f>IF(AND(AE$6&lt;=$G13,AE$6+6&gt;=$E13),1,"")</x:f>
      </x:c>
      <x:c r="AF13" s="167" t="str">
        <x:f>IF(AND(AF$6&lt;=$G13,AF$6+6&gt;=$E13),1,"")</x:f>
      </x:c>
      <x:c r="AG13" s="167" t="str">
        <x:f>IF(AND(AG$6&lt;=$G13,AG$6+6&gt;=$E13),1,"")</x:f>
      </x:c>
      <x:c r="AH13" s="167" t="str">
        <x:f>IF(AND(AH$6&lt;=$G13,AH$6+6&gt;=$E13),1,"")</x:f>
      </x:c>
      <x:c r="AI13" s="167" t="str">
        <x:f>IF(AND(AI$6&lt;=$G13,AI$6+6&gt;=$E13),1,"")</x:f>
      </x:c>
      <x:c r="AJ13" s="167" t="str">
        <x:f>IF(AND(AJ$6&lt;=$G13,AJ$6+6&gt;=$E13),1,"")</x:f>
      </x:c>
      <x:c r="AK13" s="167" t="str">
        <x:f>IF(AND(AK$6&lt;=$G13,AK$6+6&gt;=$E13),1,"")</x:f>
      </x:c>
      <x:c r="AL13" s="167" t="str">
        <x:f>IF(AND(AL$6&lt;=$G13,AL$6+6&gt;=$E13),1,"")</x:f>
      </x:c>
      <x:c r="AM13" s="167" t="str">
        <x:f>IF(AND(AM$6&lt;=$G13,AM$6+6&gt;=$E13),1,"")</x:f>
      </x:c>
      <x:c r="AN13" s="167" t="str">
        <x:f>IF(AND(AN$6&lt;=$G13,AN$6+6&gt;=$E13),1,"")</x:f>
      </x:c>
      <x:c r="AO13" s="167" t="str">
        <x:f>IF(AND(AO$6&lt;=$G13,AO$6+6&gt;=$E13),1,"")</x:f>
      </x:c>
      <x:c r="AP13" s="167" t="str">
        <x:f>IF(AND(AP$6&lt;=$G13,AP$6+6&gt;=$E13),1,"")</x:f>
      </x:c>
      <x:c r="AQ13" s="167" t="str">
        <x:f>IF(AND(AQ$6&lt;=$G13,AQ$6+6&gt;=$E13),1,"")</x:f>
      </x:c>
      <x:c r="AR13" s="167" t="str">
        <x:f>IF(AND(AR$6&lt;=$G13,AR$6+6&gt;=$E13),1,"")</x:f>
      </x:c>
      <x:c r="AS13" s="167" t="str">
        <x:f>IF(AND(AS$6&lt;=$G13,AS$6+6&gt;=$E13),1,"")</x:f>
      </x:c>
      <x:c r="AT13" s="167" t="str">
        <x:f>IF(AND(AT$6&lt;=$G13,AT$6+6&gt;=$E13),1,"")</x:f>
      </x:c>
      <x:c r="AU13" s="167" t="str">
        <x:f>IF(AND(AU$6&lt;=$G13,AU$6+6&gt;=$E13),1,"")</x:f>
      </x:c>
      <x:c r="AV13" s="167" t="str">
        <x:f>IF(AND(AV$6&lt;=$G13,AV$6+6&gt;=$E13),1,"")</x:f>
      </x:c>
      <x:c r="AW13" s="167" t="str">
        <x:f>IF(AND(AW$6&lt;=$G13,AW$6+6&gt;=$E13),1,"")</x:f>
      </x:c>
      <x:c r="AX13" s="167" t="str">
        <x:f>IF(AND(AX$6&lt;=$G13,AX$6+6&gt;=$E13),1,"")</x:f>
      </x:c>
      <x:c r="AY13" s="167" t="str">
        <x:f>IF(AND(AY$6&lt;=$G13,AY$6+6&gt;=$E13),1,"")</x:f>
      </x:c>
      <x:c r="AZ13" s="167" t="str">
        <x:f>IF(AND(AZ$6&lt;=$G13,AZ$6+6&gt;=$E13),1,"")</x:f>
      </x:c>
      <x:c r="BA13" s="167" t="str">
        <x:f>IF(AND(BA$6&lt;=$G13,BA$6+6&gt;=$E13),1,"")</x:f>
      </x:c>
      <x:c r="BB13" s="167" t="str">
        <x:f>IF(AND(BB$6&lt;=$G13,BB$6+6&gt;=$E13),1,"")</x:f>
      </x:c>
      <x:c r="BC13" s="167" t="str">
        <x:f>IF(AND(BC$6&lt;=$G13,BC$6+6&gt;=$E13),1,"")</x:f>
      </x:c>
      <x:c r="BD13" s="167" t="str">
        <x:f>IF(AND(BD$6&lt;=$G13,BD$6+6&gt;=$E13),1,"")</x:f>
      </x:c>
      <x:c r="BE13" s="167" t="str">
        <x:f>IF(AND(BE$6&lt;=$G13,BE$6+6&gt;=$E13),1,"")</x:f>
      </x:c>
      <x:c r="BF13" s="167" t="str">
        <x:f>IF(AND(BF$6&lt;=$G13,BF$6+6&gt;=$E13),1,"")</x:f>
      </x:c>
      <x:c r="BG13" s="167" t="str">
        <x:f>IF(AND(BG$6&lt;=$G13,BG$6+6&gt;=$E13),1,"")</x:f>
      </x:c>
      <x:c r="BH13" s="167" t="str">
        <x:f>IF(AND(BH$6&lt;=$G13,BH$6+6&gt;=$E13),1,"")</x:f>
      </x:c>
      <x:c r="BI13" s="167" t="str">
        <x:f>IF(AND(BI$6&lt;=$G13,BI$6+6&gt;=$E13),1,"")</x:f>
      </x:c>
      <x:c r="BJ13" s="167" t="str">
        <x:f>IF(AND(BJ$6&lt;=$G13,BJ$6+6&gt;=$E13),1,"")</x:f>
      </x:c>
      <x:c r="BK13" s="167" t="str">
        <x:f>IF(AND(BK$6&lt;=$G13,BK$6+6&gt;=$E13),1,"")</x:f>
      </x:c>
      <x:c r="BL13" s="167" t="str">
        <x:f>IF(AND(BL$6&lt;=$G13,BL$6+6&gt;=$E13),1,"")</x:f>
      </x:c>
      <x:c r="BM13" s="167" t="str">
        <x:f>IF(AND(BM$6&lt;=$G13,BM$6+6&gt;=$E13),1,"")</x:f>
      </x:c>
      <x:c r="BN13" s="168" t="str">
        <x:f>IF(AND(BN$6&lt;=$G13,BN$6+6&gt;=$E13),1,"")</x:f>
      </x:c>
    </x:row>
    <x:row r="14" ht="28" customHeight="1">
      <x:c r="A14" s="68" t="str">
        <x:f>'Phase Data'!A12</x:f>
        <x:v>S1</x:v>
      </x:c>
      <x:c r="B14" s="68" t="str">
        <x:f>'Phase Data'!B12</x:f>
        <x:v>Simulation</x:v>
      </x:c>
      <x:c r="C14" s="68" t="str">
        <x:f>'Phase Data'!C12</x:f>
        <x:v>MuJoCo abstract clone</x:v>
      </x:c>
      <x:c r="D14" s="68" t="str">
        <x:f>'Phase Data'!D12</x:f>
        <x:v>S0</x:v>
      </x:c>
      <x:c r="E14" s="94" t="n">
        <x:f>'Phase Data'!E12</x:f>
        <x:v>46258</x:v>
      </x:c>
      <x:c r="F14" s="92" t="n">
        <x:f>'Phase Data'!F12</x:f>
        <x:v>3</x:v>
      </x:c>
      <x:c r="G14" s="94" t="n">
        <x:f>'Phase Data'!G12</x:f>
        <x:v>46278</x:v>
      </x:c>
      <x:c r="H14" s="166" t="str">
        <x:f>IF(AND(H$6&lt;=$G14,H$6+6&gt;=$E14),1,"")</x:f>
      </x:c>
      <x:c r="I14" s="167" t="str">
        <x:f>IF(AND(I$6&lt;=$G14,I$6+6&gt;=$E14),1,"")</x:f>
      </x:c>
      <x:c r="J14" s="167" t="str">
        <x:f>IF(AND(J$6&lt;=$G14,J$6+6&gt;=$E14),1,"")</x:f>
      </x:c>
      <x:c r="K14" s="167" t="n">
        <x:f>IF(AND(K$6&lt;=$G14,K$6+6&gt;=$E14),1,"")</x:f>
        <x:v>1</x:v>
      </x:c>
      <x:c r="L14" s="167" t="n">
        <x:f>IF(AND(L$6&lt;=$G14,L$6+6&gt;=$E14),1,"")</x:f>
        <x:v>1</x:v>
      </x:c>
      <x:c r="M14" s="167" t="n">
        <x:f>IF(AND(M$6&lt;=$G14,M$6+6&gt;=$E14),1,"")</x:f>
        <x:v>1</x:v>
      </x:c>
      <x:c r="N14" s="167" t="str">
        <x:f>IF(AND(N$6&lt;=$G14,N$6+6&gt;=$E14),1,"")</x:f>
      </x:c>
      <x:c r="O14" s="167" t="str">
        <x:f>IF(AND(O$6&lt;=$G14,O$6+6&gt;=$E14),1,"")</x:f>
      </x:c>
      <x:c r="P14" s="167" t="str">
        <x:f>IF(AND(P$6&lt;=$G14,P$6+6&gt;=$E14),1,"")</x:f>
      </x:c>
      <x:c r="Q14" s="167" t="str">
        <x:f>IF(AND(Q$6&lt;=$G14,Q$6+6&gt;=$E14),1,"")</x:f>
      </x:c>
      <x:c r="R14" s="167" t="str">
        <x:f>IF(AND(R$6&lt;=$G14,R$6+6&gt;=$E14),1,"")</x:f>
      </x:c>
      <x:c r="S14" s="167" t="str">
        <x:f>IF(AND(S$6&lt;=$G14,S$6+6&gt;=$E14),1,"")</x:f>
      </x:c>
      <x:c r="T14" s="167" t="str">
        <x:f>IF(AND(T$6&lt;=$G14,T$6+6&gt;=$E14),1,"")</x:f>
      </x:c>
      <x:c r="U14" s="167" t="str">
        <x:f>IF(AND(U$6&lt;=$G14,U$6+6&gt;=$E14),1,"")</x:f>
      </x:c>
      <x:c r="V14" s="167" t="str">
        <x:f>IF(AND(V$6&lt;=$G14,V$6+6&gt;=$E14),1,"")</x:f>
      </x:c>
      <x:c r="W14" s="167" t="str">
        <x:f>IF(AND(W$6&lt;=$G14,W$6+6&gt;=$E14),1,"")</x:f>
      </x:c>
      <x:c r="X14" s="167" t="str">
        <x:f>IF(AND(X$6&lt;=$G14,X$6+6&gt;=$E14),1,"")</x:f>
      </x:c>
      <x:c r="Y14" s="167" t="str">
        <x:f>IF(AND(Y$6&lt;=$G14,Y$6+6&gt;=$E14),1,"")</x:f>
      </x:c>
      <x:c r="Z14" s="167" t="str">
        <x:f>IF(AND(Z$6&lt;=$G14,Z$6+6&gt;=$E14),1,"")</x:f>
      </x:c>
      <x:c r="AA14" s="167" t="str">
        <x:f>IF(AND(AA$6&lt;=$G14,AA$6+6&gt;=$E14),1,"")</x:f>
      </x:c>
      <x:c r="AB14" s="167" t="str">
        <x:f>IF(AND(AB$6&lt;=$G14,AB$6+6&gt;=$E14),1,"")</x:f>
      </x:c>
      <x:c r="AC14" s="167" t="str">
        <x:f>IF(AND(AC$6&lt;=$G14,AC$6+6&gt;=$E14),1,"")</x:f>
      </x:c>
      <x:c r="AD14" s="167" t="str">
        <x:f>IF(AND(AD$6&lt;=$G14,AD$6+6&gt;=$E14),1,"")</x:f>
      </x:c>
      <x:c r="AE14" s="167" t="str">
        <x:f>IF(AND(AE$6&lt;=$G14,AE$6+6&gt;=$E14),1,"")</x:f>
      </x:c>
      <x:c r="AF14" s="167" t="str">
        <x:f>IF(AND(AF$6&lt;=$G14,AF$6+6&gt;=$E14),1,"")</x:f>
      </x:c>
      <x:c r="AG14" s="167" t="str">
        <x:f>IF(AND(AG$6&lt;=$G14,AG$6+6&gt;=$E14),1,"")</x:f>
      </x:c>
      <x:c r="AH14" s="167" t="str">
        <x:f>IF(AND(AH$6&lt;=$G14,AH$6+6&gt;=$E14),1,"")</x:f>
      </x:c>
      <x:c r="AI14" s="167" t="str">
        <x:f>IF(AND(AI$6&lt;=$G14,AI$6+6&gt;=$E14),1,"")</x:f>
      </x:c>
      <x:c r="AJ14" s="167" t="str">
        <x:f>IF(AND(AJ$6&lt;=$G14,AJ$6+6&gt;=$E14),1,"")</x:f>
      </x:c>
      <x:c r="AK14" s="167" t="str">
        <x:f>IF(AND(AK$6&lt;=$G14,AK$6+6&gt;=$E14),1,"")</x:f>
      </x:c>
      <x:c r="AL14" s="167" t="str">
        <x:f>IF(AND(AL$6&lt;=$G14,AL$6+6&gt;=$E14),1,"")</x:f>
      </x:c>
      <x:c r="AM14" s="167" t="str">
        <x:f>IF(AND(AM$6&lt;=$G14,AM$6+6&gt;=$E14),1,"")</x:f>
      </x:c>
      <x:c r="AN14" s="167" t="str">
        <x:f>IF(AND(AN$6&lt;=$G14,AN$6+6&gt;=$E14),1,"")</x:f>
      </x:c>
      <x:c r="AO14" s="167" t="str">
        <x:f>IF(AND(AO$6&lt;=$G14,AO$6+6&gt;=$E14),1,"")</x:f>
      </x:c>
      <x:c r="AP14" s="167" t="str">
        <x:f>IF(AND(AP$6&lt;=$G14,AP$6+6&gt;=$E14),1,"")</x:f>
      </x:c>
      <x:c r="AQ14" s="167" t="str">
        <x:f>IF(AND(AQ$6&lt;=$G14,AQ$6+6&gt;=$E14),1,"")</x:f>
      </x:c>
      <x:c r="AR14" s="167" t="str">
        <x:f>IF(AND(AR$6&lt;=$G14,AR$6+6&gt;=$E14),1,"")</x:f>
      </x:c>
      <x:c r="AS14" s="167" t="str">
        <x:f>IF(AND(AS$6&lt;=$G14,AS$6+6&gt;=$E14),1,"")</x:f>
      </x:c>
      <x:c r="AT14" s="167" t="str">
        <x:f>IF(AND(AT$6&lt;=$G14,AT$6+6&gt;=$E14),1,"")</x:f>
      </x:c>
      <x:c r="AU14" s="167" t="str">
        <x:f>IF(AND(AU$6&lt;=$G14,AU$6+6&gt;=$E14),1,"")</x:f>
      </x:c>
      <x:c r="AV14" s="167" t="str">
        <x:f>IF(AND(AV$6&lt;=$G14,AV$6+6&gt;=$E14),1,"")</x:f>
      </x:c>
      <x:c r="AW14" s="167" t="str">
        <x:f>IF(AND(AW$6&lt;=$G14,AW$6+6&gt;=$E14),1,"")</x:f>
      </x:c>
      <x:c r="AX14" s="167" t="str">
        <x:f>IF(AND(AX$6&lt;=$G14,AX$6+6&gt;=$E14),1,"")</x:f>
      </x:c>
      <x:c r="AY14" s="167" t="str">
        <x:f>IF(AND(AY$6&lt;=$G14,AY$6+6&gt;=$E14),1,"")</x:f>
      </x:c>
      <x:c r="AZ14" s="167" t="str">
        <x:f>IF(AND(AZ$6&lt;=$G14,AZ$6+6&gt;=$E14),1,"")</x:f>
      </x:c>
      <x:c r="BA14" s="167" t="str">
        <x:f>IF(AND(BA$6&lt;=$G14,BA$6+6&gt;=$E14),1,"")</x:f>
      </x:c>
      <x:c r="BB14" s="167" t="str">
        <x:f>IF(AND(BB$6&lt;=$G14,BB$6+6&gt;=$E14),1,"")</x:f>
      </x:c>
      <x:c r="BC14" s="167" t="str">
        <x:f>IF(AND(BC$6&lt;=$G14,BC$6+6&gt;=$E14),1,"")</x:f>
      </x:c>
      <x:c r="BD14" s="167" t="str">
        <x:f>IF(AND(BD$6&lt;=$G14,BD$6+6&gt;=$E14),1,"")</x:f>
      </x:c>
      <x:c r="BE14" s="167" t="str">
        <x:f>IF(AND(BE$6&lt;=$G14,BE$6+6&gt;=$E14),1,"")</x:f>
      </x:c>
      <x:c r="BF14" s="167" t="str">
        <x:f>IF(AND(BF$6&lt;=$G14,BF$6+6&gt;=$E14),1,"")</x:f>
      </x:c>
      <x:c r="BG14" s="167" t="str">
        <x:f>IF(AND(BG$6&lt;=$G14,BG$6+6&gt;=$E14),1,"")</x:f>
      </x:c>
      <x:c r="BH14" s="167" t="str">
        <x:f>IF(AND(BH$6&lt;=$G14,BH$6+6&gt;=$E14),1,"")</x:f>
      </x:c>
      <x:c r="BI14" s="167" t="str">
        <x:f>IF(AND(BI$6&lt;=$G14,BI$6+6&gt;=$E14),1,"")</x:f>
      </x:c>
      <x:c r="BJ14" s="167" t="str">
        <x:f>IF(AND(BJ$6&lt;=$G14,BJ$6+6&gt;=$E14),1,"")</x:f>
      </x:c>
      <x:c r="BK14" s="167" t="str">
        <x:f>IF(AND(BK$6&lt;=$G14,BK$6+6&gt;=$E14),1,"")</x:f>
      </x:c>
      <x:c r="BL14" s="167" t="str">
        <x:f>IF(AND(BL$6&lt;=$G14,BL$6+6&gt;=$E14),1,"")</x:f>
      </x:c>
      <x:c r="BM14" s="167" t="str">
        <x:f>IF(AND(BM$6&lt;=$G14,BM$6+6&gt;=$E14),1,"")</x:f>
      </x:c>
      <x:c r="BN14" s="168" t="str">
        <x:f>IF(AND(BN$6&lt;=$G14,BN$6+6&gt;=$E14),1,"")</x:f>
      </x:c>
    </x:row>
    <x:row r="15" ht="28" customHeight="1">
      <x:c r="A15" s="68" t="str">
        <x:f>'Phase Data'!A13</x:f>
        <x:v>S2</x:v>
      </x:c>
      <x:c r="B15" s="68" t="str">
        <x:f>'Phase Data'!B13</x:f>
        <x:v>Simulation</x:v>
      </x:c>
      <x:c r="C15" s="68" t="str">
        <x:f>'Phase Data'!C13</x:f>
        <x:v>MuJoCo backend adapter</x:v>
      </x:c>
      <x:c r="D15" s="68" t="str">
        <x:f>'Phase Data'!D13</x:f>
        <x:v>S1</x:v>
      </x:c>
      <x:c r="E15" s="94" t="n">
        <x:f>'Phase Data'!E13</x:f>
        <x:v>46279</x:v>
      </x:c>
      <x:c r="F15" s="92" t="n">
        <x:f>'Phase Data'!F13</x:f>
        <x:v>4</x:v>
      </x:c>
      <x:c r="G15" s="94" t="n">
        <x:f>'Phase Data'!G13</x:f>
        <x:v>46306</x:v>
      </x:c>
      <x:c r="H15" s="166" t="str">
        <x:f>IF(AND(H$6&lt;=$G15,H$6+6&gt;=$E15),1,"")</x:f>
      </x:c>
      <x:c r="I15" s="167" t="str">
        <x:f>IF(AND(I$6&lt;=$G15,I$6+6&gt;=$E15),1,"")</x:f>
      </x:c>
      <x:c r="J15" s="167" t="str">
        <x:f>IF(AND(J$6&lt;=$G15,J$6+6&gt;=$E15),1,"")</x:f>
      </x:c>
      <x:c r="K15" s="167" t="str">
        <x:f>IF(AND(K$6&lt;=$G15,K$6+6&gt;=$E15),1,"")</x:f>
      </x:c>
      <x:c r="L15" s="167" t="str">
        <x:f>IF(AND(L$6&lt;=$G15,L$6+6&gt;=$E15),1,"")</x:f>
      </x:c>
      <x:c r="M15" s="167" t="str">
        <x:f>IF(AND(M$6&lt;=$G15,M$6+6&gt;=$E15),1,"")</x:f>
      </x:c>
      <x:c r="N15" s="167" t="n">
        <x:f>IF(AND(N$6&lt;=$G15,N$6+6&gt;=$E15),1,"")</x:f>
        <x:v>1</x:v>
      </x:c>
      <x:c r="O15" s="167" t="n">
        <x:f>IF(AND(O$6&lt;=$G15,O$6+6&gt;=$E15),1,"")</x:f>
        <x:v>1</x:v>
      </x:c>
      <x:c r="P15" s="167" t="n">
        <x:f>IF(AND(P$6&lt;=$G15,P$6+6&gt;=$E15),1,"")</x:f>
        <x:v>1</x:v>
      </x:c>
      <x:c r="Q15" s="167" t="n">
        <x:f>IF(AND(Q$6&lt;=$G15,Q$6+6&gt;=$E15),1,"")</x:f>
        <x:v>1</x:v>
      </x:c>
      <x:c r="R15" s="167" t="str">
        <x:f>IF(AND(R$6&lt;=$G15,R$6+6&gt;=$E15),1,"")</x:f>
      </x:c>
      <x:c r="S15" s="167" t="str">
        <x:f>IF(AND(S$6&lt;=$G15,S$6+6&gt;=$E15),1,"")</x:f>
      </x:c>
      <x:c r="T15" s="167" t="str">
        <x:f>IF(AND(T$6&lt;=$G15,T$6+6&gt;=$E15),1,"")</x:f>
      </x:c>
      <x:c r="U15" s="167" t="str">
        <x:f>IF(AND(U$6&lt;=$G15,U$6+6&gt;=$E15),1,"")</x:f>
      </x:c>
      <x:c r="V15" s="167" t="str">
        <x:f>IF(AND(V$6&lt;=$G15,V$6+6&gt;=$E15),1,"")</x:f>
      </x:c>
      <x:c r="W15" s="167" t="str">
        <x:f>IF(AND(W$6&lt;=$G15,W$6+6&gt;=$E15),1,"")</x:f>
      </x:c>
      <x:c r="X15" s="167" t="str">
        <x:f>IF(AND(X$6&lt;=$G15,X$6+6&gt;=$E15),1,"")</x:f>
      </x:c>
      <x:c r="Y15" s="167" t="str">
        <x:f>IF(AND(Y$6&lt;=$G15,Y$6+6&gt;=$E15),1,"")</x:f>
      </x:c>
      <x:c r="Z15" s="167" t="str">
        <x:f>IF(AND(Z$6&lt;=$G15,Z$6+6&gt;=$E15),1,"")</x:f>
      </x:c>
      <x:c r="AA15" s="167" t="str">
        <x:f>IF(AND(AA$6&lt;=$G15,AA$6+6&gt;=$E15),1,"")</x:f>
      </x:c>
      <x:c r="AB15" s="167" t="str">
        <x:f>IF(AND(AB$6&lt;=$G15,AB$6+6&gt;=$E15),1,"")</x:f>
      </x:c>
      <x:c r="AC15" s="167" t="str">
        <x:f>IF(AND(AC$6&lt;=$G15,AC$6+6&gt;=$E15),1,"")</x:f>
      </x:c>
      <x:c r="AD15" s="167" t="str">
        <x:f>IF(AND(AD$6&lt;=$G15,AD$6+6&gt;=$E15),1,"")</x:f>
      </x:c>
      <x:c r="AE15" s="167" t="str">
        <x:f>IF(AND(AE$6&lt;=$G15,AE$6+6&gt;=$E15),1,"")</x:f>
      </x:c>
      <x:c r="AF15" s="167" t="str">
        <x:f>IF(AND(AF$6&lt;=$G15,AF$6+6&gt;=$E15),1,"")</x:f>
      </x:c>
      <x:c r="AG15" s="167" t="str">
        <x:f>IF(AND(AG$6&lt;=$G15,AG$6+6&gt;=$E15),1,"")</x:f>
      </x:c>
      <x:c r="AH15" s="167" t="str">
        <x:f>IF(AND(AH$6&lt;=$G15,AH$6+6&gt;=$E15),1,"")</x:f>
      </x:c>
      <x:c r="AI15" s="167" t="str">
        <x:f>IF(AND(AI$6&lt;=$G15,AI$6+6&gt;=$E15),1,"")</x:f>
      </x:c>
      <x:c r="AJ15" s="167" t="str">
        <x:f>IF(AND(AJ$6&lt;=$G15,AJ$6+6&gt;=$E15),1,"")</x:f>
      </x:c>
      <x:c r="AK15" s="167" t="str">
        <x:f>IF(AND(AK$6&lt;=$G15,AK$6+6&gt;=$E15),1,"")</x:f>
      </x:c>
      <x:c r="AL15" s="167" t="str">
        <x:f>IF(AND(AL$6&lt;=$G15,AL$6+6&gt;=$E15),1,"")</x:f>
      </x:c>
      <x:c r="AM15" s="167" t="str">
        <x:f>IF(AND(AM$6&lt;=$G15,AM$6+6&gt;=$E15),1,"")</x:f>
      </x:c>
      <x:c r="AN15" s="167" t="str">
        <x:f>IF(AND(AN$6&lt;=$G15,AN$6+6&gt;=$E15),1,"")</x:f>
      </x:c>
      <x:c r="AO15" s="167" t="str">
        <x:f>IF(AND(AO$6&lt;=$G15,AO$6+6&gt;=$E15),1,"")</x:f>
      </x:c>
      <x:c r="AP15" s="167" t="str">
        <x:f>IF(AND(AP$6&lt;=$G15,AP$6+6&gt;=$E15),1,"")</x:f>
      </x:c>
      <x:c r="AQ15" s="167" t="str">
        <x:f>IF(AND(AQ$6&lt;=$G15,AQ$6+6&gt;=$E15),1,"")</x:f>
      </x:c>
      <x:c r="AR15" s="167" t="str">
        <x:f>IF(AND(AR$6&lt;=$G15,AR$6+6&gt;=$E15),1,"")</x:f>
      </x:c>
      <x:c r="AS15" s="167" t="str">
        <x:f>IF(AND(AS$6&lt;=$G15,AS$6+6&gt;=$E15),1,"")</x:f>
      </x:c>
      <x:c r="AT15" s="167" t="str">
        <x:f>IF(AND(AT$6&lt;=$G15,AT$6+6&gt;=$E15),1,"")</x:f>
      </x:c>
      <x:c r="AU15" s="167" t="str">
        <x:f>IF(AND(AU$6&lt;=$G15,AU$6+6&gt;=$E15),1,"")</x:f>
      </x:c>
      <x:c r="AV15" s="167" t="str">
        <x:f>IF(AND(AV$6&lt;=$G15,AV$6+6&gt;=$E15),1,"")</x:f>
      </x:c>
      <x:c r="AW15" s="167" t="str">
        <x:f>IF(AND(AW$6&lt;=$G15,AW$6+6&gt;=$E15),1,"")</x:f>
      </x:c>
      <x:c r="AX15" s="167" t="str">
        <x:f>IF(AND(AX$6&lt;=$G15,AX$6+6&gt;=$E15),1,"")</x:f>
      </x:c>
      <x:c r="AY15" s="167" t="str">
        <x:f>IF(AND(AY$6&lt;=$G15,AY$6+6&gt;=$E15),1,"")</x:f>
      </x:c>
      <x:c r="AZ15" s="167" t="str">
        <x:f>IF(AND(AZ$6&lt;=$G15,AZ$6+6&gt;=$E15),1,"")</x:f>
      </x:c>
      <x:c r="BA15" s="167" t="str">
        <x:f>IF(AND(BA$6&lt;=$G15,BA$6+6&gt;=$E15),1,"")</x:f>
      </x:c>
      <x:c r="BB15" s="167" t="str">
        <x:f>IF(AND(BB$6&lt;=$G15,BB$6+6&gt;=$E15),1,"")</x:f>
      </x:c>
      <x:c r="BC15" s="167" t="str">
        <x:f>IF(AND(BC$6&lt;=$G15,BC$6+6&gt;=$E15),1,"")</x:f>
      </x:c>
      <x:c r="BD15" s="167" t="str">
        <x:f>IF(AND(BD$6&lt;=$G15,BD$6+6&gt;=$E15),1,"")</x:f>
      </x:c>
      <x:c r="BE15" s="167" t="str">
        <x:f>IF(AND(BE$6&lt;=$G15,BE$6+6&gt;=$E15),1,"")</x:f>
      </x:c>
      <x:c r="BF15" s="167" t="str">
        <x:f>IF(AND(BF$6&lt;=$G15,BF$6+6&gt;=$E15),1,"")</x:f>
      </x:c>
      <x:c r="BG15" s="167" t="str">
        <x:f>IF(AND(BG$6&lt;=$G15,BG$6+6&gt;=$E15),1,"")</x:f>
      </x:c>
      <x:c r="BH15" s="167" t="str">
        <x:f>IF(AND(BH$6&lt;=$G15,BH$6+6&gt;=$E15),1,"")</x:f>
      </x:c>
      <x:c r="BI15" s="167" t="str">
        <x:f>IF(AND(BI$6&lt;=$G15,BI$6+6&gt;=$E15),1,"")</x:f>
      </x:c>
      <x:c r="BJ15" s="167" t="str">
        <x:f>IF(AND(BJ$6&lt;=$G15,BJ$6+6&gt;=$E15),1,"")</x:f>
      </x:c>
      <x:c r="BK15" s="167" t="str">
        <x:f>IF(AND(BK$6&lt;=$G15,BK$6+6&gt;=$E15),1,"")</x:f>
      </x:c>
      <x:c r="BL15" s="167" t="str">
        <x:f>IF(AND(BL$6&lt;=$G15,BL$6+6&gt;=$E15),1,"")</x:f>
      </x:c>
      <x:c r="BM15" s="167" t="str">
        <x:f>IF(AND(BM$6&lt;=$G15,BM$6+6&gt;=$E15),1,"")</x:f>
      </x:c>
      <x:c r="BN15" s="168" t="str">
        <x:f>IF(AND(BN$6&lt;=$G15,BN$6+6&gt;=$E15),1,"")</x:f>
      </x:c>
    </x:row>
    <x:row r="16" ht="28" customHeight="1">
      <x:c r="A16" s="68" t="str">
        <x:f>'Phase Data'!A14</x:f>
        <x:v>M4-A</x:v>
      </x:c>
      <x:c r="B16" s="68" t="str">
        <x:f>'Phase Data'!B14</x:f>
        <x:v>Simulation</x:v>
      </x:c>
      <x:c r="C16" s="68" t="str">
        <x:f>'Phase Data'!C14</x:f>
        <x:v>Native experimental observatory core</x:v>
      </x:c>
      <x:c r="D16" s="68" t="str">
        <x:f>'Phase Data'!D14</x:f>
        <x:v>S0 schemas</x:v>
      </x:c>
      <x:c r="E16" s="94" t="n">
        <x:f>'Phase Data'!E14</x:f>
        <x:v>46272</x:v>
      </x:c>
      <x:c r="F16" s="92" t="n">
        <x:f>'Phase Data'!F14</x:f>
        <x:v>5</x:v>
      </x:c>
      <x:c r="G16" s="94" t="n">
        <x:f>'Phase Data'!G14</x:f>
        <x:v>46306</x:v>
      </x:c>
      <x:c r="H16" s="166" t="str">
        <x:f>IF(AND(H$6&lt;=$G16,H$6+6&gt;=$E16),1,"")</x:f>
      </x:c>
      <x:c r="I16" s="167" t="str">
        <x:f>IF(AND(I$6&lt;=$G16,I$6+6&gt;=$E16),1,"")</x:f>
      </x:c>
      <x:c r="J16" s="167" t="str">
        <x:f>IF(AND(J$6&lt;=$G16,J$6+6&gt;=$E16),1,"")</x:f>
      </x:c>
      <x:c r="K16" s="167" t="str">
        <x:f>IF(AND(K$6&lt;=$G16,K$6+6&gt;=$E16),1,"")</x:f>
      </x:c>
      <x:c r="L16" s="167" t="str">
        <x:f>IF(AND(L$6&lt;=$G16,L$6+6&gt;=$E16),1,"")</x:f>
      </x:c>
      <x:c r="M16" s="167" t="n">
        <x:f>IF(AND(M$6&lt;=$G16,M$6+6&gt;=$E16),1,"")</x:f>
        <x:v>1</x:v>
      </x:c>
      <x:c r="N16" s="167" t="n">
        <x:f>IF(AND(N$6&lt;=$G16,N$6+6&gt;=$E16),1,"")</x:f>
        <x:v>1</x:v>
      </x:c>
      <x:c r="O16" s="167" t="n">
        <x:f>IF(AND(O$6&lt;=$G16,O$6+6&gt;=$E16),1,"")</x:f>
        <x:v>1</x:v>
      </x:c>
      <x:c r="P16" s="167" t="n">
        <x:f>IF(AND(P$6&lt;=$G16,P$6+6&gt;=$E16),1,"")</x:f>
        <x:v>1</x:v>
      </x:c>
      <x:c r="Q16" s="167" t="n">
        <x:f>IF(AND(Q$6&lt;=$G16,Q$6+6&gt;=$E16),1,"")</x:f>
        <x:v>1</x:v>
      </x:c>
      <x:c r="R16" s="167" t="str">
        <x:f>IF(AND(R$6&lt;=$G16,R$6+6&gt;=$E16),1,"")</x:f>
      </x:c>
      <x:c r="S16" s="167" t="str">
        <x:f>IF(AND(S$6&lt;=$G16,S$6+6&gt;=$E16),1,"")</x:f>
      </x:c>
      <x:c r="T16" s="167" t="str">
        <x:f>IF(AND(T$6&lt;=$G16,T$6+6&gt;=$E16),1,"")</x:f>
      </x:c>
      <x:c r="U16" s="167" t="str">
        <x:f>IF(AND(U$6&lt;=$G16,U$6+6&gt;=$E16),1,"")</x:f>
      </x:c>
      <x:c r="V16" s="167" t="str">
        <x:f>IF(AND(V$6&lt;=$G16,V$6+6&gt;=$E16),1,"")</x:f>
      </x:c>
      <x:c r="W16" s="167" t="str">
        <x:f>IF(AND(W$6&lt;=$G16,W$6+6&gt;=$E16),1,"")</x:f>
      </x:c>
      <x:c r="X16" s="167" t="str">
        <x:f>IF(AND(X$6&lt;=$G16,X$6+6&gt;=$E16),1,"")</x:f>
      </x:c>
      <x:c r="Y16" s="167" t="str">
        <x:f>IF(AND(Y$6&lt;=$G16,Y$6+6&gt;=$E16),1,"")</x:f>
      </x:c>
      <x:c r="Z16" s="167" t="str">
        <x:f>IF(AND(Z$6&lt;=$G16,Z$6+6&gt;=$E16),1,"")</x:f>
      </x:c>
      <x:c r="AA16" s="167" t="str">
        <x:f>IF(AND(AA$6&lt;=$G16,AA$6+6&gt;=$E16),1,"")</x:f>
      </x:c>
      <x:c r="AB16" s="167" t="str">
        <x:f>IF(AND(AB$6&lt;=$G16,AB$6+6&gt;=$E16),1,"")</x:f>
      </x:c>
      <x:c r="AC16" s="167" t="str">
        <x:f>IF(AND(AC$6&lt;=$G16,AC$6+6&gt;=$E16),1,"")</x:f>
      </x:c>
      <x:c r="AD16" s="167" t="str">
        <x:f>IF(AND(AD$6&lt;=$G16,AD$6+6&gt;=$E16),1,"")</x:f>
      </x:c>
      <x:c r="AE16" s="167" t="str">
        <x:f>IF(AND(AE$6&lt;=$G16,AE$6+6&gt;=$E16),1,"")</x:f>
      </x:c>
      <x:c r="AF16" s="167" t="str">
        <x:f>IF(AND(AF$6&lt;=$G16,AF$6+6&gt;=$E16),1,"")</x:f>
      </x:c>
      <x:c r="AG16" s="167" t="str">
        <x:f>IF(AND(AG$6&lt;=$G16,AG$6+6&gt;=$E16),1,"")</x:f>
      </x:c>
      <x:c r="AH16" s="167" t="str">
        <x:f>IF(AND(AH$6&lt;=$G16,AH$6+6&gt;=$E16),1,"")</x:f>
      </x:c>
      <x:c r="AI16" s="167" t="str">
        <x:f>IF(AND(AI$6&lt;=$G16,AI$6+6&gt;=$E16),1,"")</x:f>
      </x:c>
      <x:c r="AJ16" s="167" t="str">
        <x:f>IF(AND(AJ$6&lt;=$G16,AJ$6+6&gt;=$E16),1,"")</x:f>
      </x:c>
      <x:c r="AK16" s="167" t="str">
        <x:f>IF(AND(AK$6&lt;=$G16,AK$6+6&gt;=$E16),1,"")</x:f>
      </x:c>
      <x:c r="AL16" s="167" t="str">
        <x:f>IF(AND(AL$6&lt;=$G16,AL$6+6&gt;=$E16),1,"")</x:f>
      </x:c>
      <x:c r="AM16" s="167" t="str">
        <x:f>IF(AND(AM$6&lt;=$G16,AM$6+6&gt;=$E16),1,"")</x:f>
      </x:c>
      <x:c r="AN16" s="167" t="str">
        <x:f>IF(AND(AN$6&lt;=$G16,AN$6+6&gt;=$E16),1,"")</x:f>
      </x:c>
      <x:c r="AO16" s="167" t="str">
        <x:f>IF(AND(AO$6&lt;=$G16,AO$6+6&gt;=$E16),1,"")</x:f>
      </x:c>
      <x:c r="AP16" s="167" t="str">
        <x:f>IF(AND(AP$6&lt;=$G16,AP$6+6&gt;=$E16),1,"")</x:f>
      </x:c>
      <x:c r="AQ16" s="167" t="str">
        <x:f>IF(AND(AQ$6&lt;=$G16,AQ$6+6&gt;=$E16),1,"")</x:f>
      </x:c>
      <x:c r="AR16" s="167" t="str">
        <x:f>IF(AND(AR$6&lt;=$G16,AR$6+6&gt;=$E16),1,"")</x:f>
      </x:c>
      <x:c r="AS16" s="167" t="str">
        <x:f>IF(AND(AS$6&lt;=$G16,AS$6+6&gt;=$E16),1,"")</x:f>
      </x:c>
      <x:c r="AT16" s="167" t="str">
        <x:f>IF(AND(AT$6&lt;=$G16,AT$6+6&gt;=$E16),1,"")</x:f>
      </x:c>
      <x:c r="AU16" s="167" t="str">
        <x:f>IF(AND(AU$6&lt;=$G16,AU$6+6&gt;=$E16),1,"")</x:f>
      </x:c>
      <x:c r="AV16" s="167" t="str">
        <x:f>IF(AND(AV$6&lt;=$G16,AV$6+6&gt;=$E16),1,"")</x:f>
      </x:c>
      <x:c r="AW16" s="167" t="str">
        <x:f>IF(AND(AW$6&lt;=$G16,AW$6+6&gt;=$E16),1,"")</x:f>
      </x:c>
      <x:c r="AX16" s="167" t="str">
        <x:f>IF(AND(AX$6&lt;=$G16,AX$6+6&gt;=$E16),1,"")</x:f>
      </x:c>
      <x:c r="AY16" s="167" t="str">
        <x:f>IF(AND(AY$6&lt;=$G16,AY$6+6&gt;=$E16),1,"")</x:f>
      </x:c>
      <x:c r="AZ16" s="167" t="str">
        <x:f>IF(AND(AZ$6&lt;=$G16,AZ$6+6&gt;=$E16),1,"")</x:f>
      </x:c>
      <x:c r="BA16" s="167" t="str">
        <x:f>IF(AND(BA$6&lt;=$G16,BA$6+6&gt;=$E16),1,"")</x:f>
      </x:c>
      <x:c r="BB16" s="167" t="str">
        <x:f>IF(AND(BB$6&lt;=$G16,BB$6+6&gt;=$E16),1,"")</x:f>
      </x:c>
      <x:c r="BC16" s="167" t="str">
        <x:f>IF(AND(BC$6&lt;=$G16,BC$6+6&gt;=$E16),1,"")</x:f>
      </x:c>
      <x:c r="BD16" s="167" t="str">
        <x:f>IF(AND(BD$6&lt;=$G16,BD$6+6&gt;=$E16),1,"")</x:f>
      </x:c>
      <x:c r="BE16" s="167" t="str">
        <x:f>IF(AND(BE$6&lt;=$G16,BE$6+6&gt;=$E16),1,"")</x:f>
      </x:c>
      <x:c r="BF16" s="167" t="str">
        <x:f>IF(AND(BF$6&lt;=$G16,BF$6+6&gt;=$E16),1,"")</x:f>
      </x:c>
      <x:c r="BG16" s="167" t="str">
        <x:f>IF(AND(BG$6&lt;=$G16,BG$6+6&gt;=$E16),1,"")</x:f>
      </x:c>
      <x:c r="BH16" s="167" t="str">
        <x:f>IF(AND(BH$6&lt;=$G16,BH$6+6&gt;=$E16),1,"")</x:f>
      </x:c>
      <x:c r="BI16" s="167" t="str">
        <x:f>IF(AND(BI$6&lt;=$G16,BI$6+6&gt;=$E16),1,"")</x:f>
      </x:c>
      <x:c r="BJ16" s="167" t="str">
        <x:f>IF(AND(BJ$6&lt;=$G16,BJ$6+6&gt;=$E16),1,"")</x:f>
      </x:c>
      <x:c r="BK16" s="167" t="str">
        <x:f>IF(AND(BK$6&lt;=$G16,BK$6+6&gt;=$E16),1,"")</x:f>
      </x:c>
      <x:c r="BL16" s="167" t="str">
        <x:f>IF(AND(BL$6&lt;=$G16,BL$6+6&gt;=$E16),1,"")</x:f>
      </x:c>
      <x:c r="BM16" s="167" t="str">
        <x:f>IF(AND(BM$6&lt;=$G16,BM$6+6&gt;=$E16),1,"")</x:f>
      </x:c>
      <x:c r="BN16" s="168" t="str">
        <x:f>IF(AND(BN$6&lt;=$G16,BN$6+6&gt;=$E16),1,"")</x:f>
      </x:c>
    </x:row>
    <x:row r="17" ht="28" customHeight="1">
      <x:c r="A17" s="68" t="str">
        <x:f>'Phase Data'!A15</x:f>
        <x:v>M4-B</x:v>
      </x:c>
      <x:c r="B17" s="68" t="str">
        <x:f>'Phase Data'!B15</x:f>
        <x:v>Simulation</x:v>
      </x:c>
      <x:c r="C17" s="68" t="str">
        <x:f>'Phase Data'!C15</x:f>
        <x:v>MuJoCo parity and observatory gate</x:v>
      </x:c>
      <x:c r="D17" s="68" t="str">
        <x:f>'Phase Data'!D15</x:f>
        <x:v>S2</x:v>
      </x:c>
      <x:c r="E17" s="94" t="n">
        <x:f>'Phase Data'!E15</x:f>
        <x:v>46307</x:v>
      </x:c>
      <x:c r="F17" s="92" t="n">
        <x:f>'Phase Data'!F15</x:f>
        <x:v>3</x:v>
      </x:c>
      <x:c r="G17" s="94" t="n">
        <x:f>'Phase Data'!G15</x:f>
        <x:v>46327</x:v>
      </x:c>
      <x:c r="H17" s="166" t="str">
        <x:f>IF(AND(H$6&lt;=$G17,H$6+6&gt;=$E17),1,"")</x:f>
      </x:c>
      <x:c r="I17" s="167" t="str">
        <x:f>IF(AND(I$6&lt;=$G17,I$6+6&gt;=$E17),1,"")</x:f>
      </x:c>
      <x:c r="J17" s="167" t="str">
        <x:f>IF(AND(J$6&lt;=$G17,J$6+6&gt;=$E17),1,"")</x:f>
      </x:c>
      <x:c r="K17" s="167" t="str">
        <x:f>IF(AND(K$6&lt;=$G17,K$6+6&gt;=$E17),1,"")</x:f>
      </x:c>
      <x:c r="L17" s="167" t="str">
        <x:f>IF(AND(L$6&lt;=$G17,L$6+6&gt;=$E17),1,"")</x:f>
      </x:c>
      <x:c r="M17" s="167" t="str">
        <x:f>IF(AND(M$6&lt;=$G17,M$6+6&gt;=$E17),1,"")</x:f>
      </x:c>
      <x:c r="N17" s="167" t="str">
        <x:f>IF(AND(N$6&lt;=$G17,N$6+6&gt;=$E17),1,"")</x:f>
      </x:c>
      <x:c r="O17" s="167" t="str">
        <x:f>IF(AND(O$6&lt;=$G17,O$6+6&gt;=$E17),1,"")</x:f>
      </x:c>
      <x:c r="P17" s="167" t="str">
        <x:f>IF(AND(P$6&lt;=$G17,P$6+6&gt;=$E17),1,"")</x:f>
      </x:c>
      <x:c r="Q17" s="167" t="str">
        <x:f>IF(AND(Q$6&lt;=$G17,Q$6+6&gt;=$E17),1,"")</x:f>
      </x:c>
      <x:c r="R17" s="167" t="n">
        <x:f>IF(AND(R$6&lt;=$G17,R$6+6&gt;=$E17),1,"")</x:f>
        <x:v>1</x:v>
      </x:c>
      <x:c r="S17" s="167" t="n">
        <x:f>IF(AND(S$6&lt;=$G17,S$6+6&gt;=$E17),1,"")</x:f>
        <x:v>1</x:v>
      </x:c>
      <x:c r="T17" s="167" t="n">
        <x:f>IF(AND(T$6&lt;=$G17,T$6+6&gt;=$E17),1,"")</x:f>
        <x:v>1</x:v>
      </x:c>
      <x:c r="U17" s="167" t="str">
        <x:f>IF(AND(U$6&lt;=$G17,U$6+6&gt;=$E17),1,"")</x:f>
      </x:c>
      <x:c r="V17" s="167" t="str">
        <x:f>IF(AND(V$6&lt;=$G17,V$6+6&gt;=$E17),1,"")</x:f>
      </x:c>
      <x:c r="W17" s="167" t="str">
        <x:f>IF(AND(W$6&lt;=$G17,W$6+6&gt;=$E17),1,"")</x:f>
      </x:c>
      <x:c r="X17" s="167" t="str">
        <x:f>IF(AND(X$6&lt;=$G17,X$6+6&gt;=$E17),1,"")</x:f>
      </x:c>
      <x:c r="Y17" s="167" t="str">
        <x:f>IF(AND(Y$6&lt;=$G17,Y$6+6&gt;=$E17),1,"")</x:f>
      </x:c>
      <x:c r="Z17" s="167" t="str">
        <x:f>IF(AND(Z$6&lt;=$G17,Z$6+6&gt;=$E17),1,"")</x:f>
      </x:c>
      <x:c r="AA17" s="167" t="str">
        <x:f>IF(AND(AA$6&lt;=$G17,AA$6+6&gt;=$E17),1,"")</x:f>
      </x:c>
      <x:c r="AB17" s="167" t="str">
        <x:f>IF(AND(AB$6&lt;=$G17,AB$6+6&gt;=$E17),1,"")</x:f>
      </x:c>
      <x:c r="AC17" s="167" t="str">
        <x:f>IF(AND(AC$6&lt;=$G17,AC$6+6&gt;=$E17),1,"")</x:f>
      </x:c>
      <x:c r="AD17" s="167" t="str">
        <x:f>IF(AND(AD$6&lt;=$G17,AD$6+6&gt;=$E17),1,"")</x:f>
      </x:c>
      <x:c r="AE17" s="167" t="str">
        <x:f>IF(AND(AE$6&lt;=$G17,AE$6+6&gt;=$E17),1,"")</x:f>
      </x:c>
      <x:c r="AF17" s="167" t="str">
        <x:f>IF(AND(AF$6&lt;=$G17,AF$6+6&gt;=$E17),1,"")</x:f>
      </x:c>
      <x:c r="AG17" s="167" t="str">
        <x:f>IF(AND(AG$6&lt;=$G17,AG$6+6&gt;=$E17),1,"")</x:f>
      </x:c>
      <x:c r="AH17" s="167" t="str">
        <x:f>IF(AND(AH$6&lt;=$G17,AH$6+6&gt;=$E17),1,"")</x:f>
      </x:c>
      <x:c r="AI17" s="167" t="str">
        <x:f>IF(AND(AI$6&lt;=$G17,AI$6+6&gt;=$E17),1,"")</x:f>
      </x:c>
      <x:c r="AJ17" s="167" t="str">
        <x:f>IF(AND(AJ$6&lt;=$G17,AJ$6+6&gt;=$E17),1,"")</x:f>
      </x:c>
      <x:c r="AK17" s="167" t="str">
        <x:f>IF(AND(AK$6&lt;=$G17,AK$6+6&gt;=$E17),1,"")</x:f>
      </x:c>
      <x:c r="AL17" s="167" t="str">
        <x:f>IF(AND(AL$6&lt;=$G17,AL$6+6&gt;=$E17),1,"")</x:f>
      </x:c>
      <x:c r="AM17" s="167" t="str">
        <x:f>IF(AND(AM$6&lt;=$G17,AM$6+6&gt;=$E17),1,"")</x:f>
      </x:c>
      <x:c r="AN17" s="167" t="str">
        <x:f>IF(AND(AN$6&lt;=$G17,AN$6+6&gt;=$E17),1,"")</x:f>
      </x:c>
      <x:c r="AO17" s="167" t="str">
        <x:f>IF(AND(AO$6&lt;=$G17,AO$6+6&gt;=$E17),1,"")</x:f>
      </x:c>
      <x:c r="AP17" s="167" t="str">
        <x:f>IF(AND(AP$6&lt;=$G17,AP$6+6&gt;=$E17),1,"")</x:f>
      </x:c>
      <x:c r="AQ17" s="167" t="str">
        <x:f>IF(AND(AQ$6&lt;=$G17,AQ$6+6&gt;=$E17),1,"")</x:f>
      </x:c>
      <x:c r="AR17" s="167" t="str">
        <x:f>IF(AND(AR$6&lt;=$G17,AR$6+6&gt;=$E17),1,"")</x:f>
      </x:c>
      <x:c r="AS17" s="167" t="str">
        <x:f>IF(AND(AS$6&lt;=$G17,AS$6+6&gt;=$E17),1,"")</x:f>
      </x:c>
      <x:c r="AT17" s="167" t="str">
        <x:f>IF(AND(AT$6&lt;=$G17,AT$6+6&gt;=$E17),1,"")</x:f>
      </x:c>
      <x:c r="AU17" s="167" t="str">
        <x:f>IF(AND(AU$6&lt;=$G17,AU$6+6&gt;=$E17),1,"")</x:f>
      </x:c>
      <x:c r="AV17" s="167" t="str">
        <x:f>IF(AND(AV$6&lt;=$G17,AV$6+6&gt;=$E17),1,"")</x:f>
      </x:c>
      <x:c r="AW17" s="167" t="str">
        <x:f>IF(AND(AW$6&lt;=$G17,AW$6+6&gt;=$E17),1,"")</x:f>
      </x:c>
      <x:c r="AX17" s="167" t="str">
        <x:f>IF(AND(AX$6&lt;=$G17,AX$6+6&gt;=$E17),1,"")</x:f>
      </x:c>
      <x:c r="AY17" s="167" t="str">
        <x:f>IF(AND(AY$6&lt;=$G17,AY$6+6&gt;=$E17),1,"")</x:f>
      </x:c>
      <x:c r="AZ17" s="167" t="str">
        <x:f>IF(AND(AZ$6&lt;=$G17,AZ$6+6&gt;=$E17),1,"")</x:f>
      </x:c>
      <x:c r="BA17" s="167" t="str">
        <x:f>IF(AND(BA$6&lt;=$G17,BA$6+6&gt;=$E17),1,"")</x:f>
      </x:c>
      <x:c r="BB17" s="167" t="str">
        <x:f>IF(AND(BB$6&lt;=$G17,BB$6+6&gt;=$E17),1,"")</x:f>
      </x:c>
      <x:c r="BC17" s="167" t="str">
        <x:f>IF(AND(BC$6&lt;=$G17,BC$6+6&gt;=$E17),1,"")</x:f>
      </x:c>
      <x:c r="BD17" s="167" t="str">
        <x:f>IF(AND(BD$6&lt;=$G17,BD$6+6&gt;=$E17),1,"")</x:f>
      </x:c>
      <x:c r="BE17" s="167" t="str">
        <x:f>IF(AND(BE$6&lt;=$G17,BE$6+6&gt;=$E17),1,"")</x:f>
      </x:c>
      <x:c r="BF17" s="167" t="str">
        <x:f>IF(AND(BF$6&lt;=$G17,BF$6+6&gt;=$E17),1,"")</x:f>
      </x:c>
      <x:c r="BG17" s="167" t="str">
        <x:f>IF(AND(BG$6&lt;=$G17,BG$6+6&gt;=$E17),1,"")</x:f>
      </x:c>
      <x:c r="BH17" s="167" t="str">
        <x:f>IF(AND(BH$6&lt;=$G17,BH$6+6&gt;=$E17),1,"")</x:f>
      </x:c>
      <x:c r="BI17" s="167" t="str">
        <x:f>IF(AND(BI$6&lt;=$G17,BI$6+6&gt;=$E17),1,"")</x:f>
      </x:c>
      <x:c r="BJ17" s="167" t="str">
        <x:f>IF(AND(BJ$6&lt;=$G17,BJ$6+6&gt;=$E17),1,"")</x:f>
      </x:c>
      <x:c r="BK17" s="167" t="str">
        <x:f>IF(AND(BK$6&lt;=$G17,BK$6+6&gt;=$E17),1,"")</x:f>
      </x:c>
      <x:c r="BL17" s="167" t="str">
        <x:f>IF(AND(BL$6&lt;=$G17,BL$6+6&gt;=$E17),1,"")</x:f>
      </x:c>
      <x:c r="BM17" s="167" t="str">
        <x:f>IF(AND(BM$6&lt;=$G17,BM$6+6&gt;=$E17),1,"")</x:f>
      </x:c>
      <x:c r="BN17" s="168" t="str">
        <x:f>IF(AND(BN$6&lt;=$G17,BN$6+6&gt;=$E17),1,"")</x:f>
      </x:c>
    </x:row>
    <x:row r="18" ht="28" customHeight="1">
      <x:c r="A18" s="68" t="str">
        <x:f>'Phase Data'!A16</x:f>
        <x:v>M5</x:v>
      </x:c>
      <x:c r="B18" s="68" t="str">
        <x:f>'Phase Data'!B16</x:f>
        <x:v>Mechanical</x:v>
      </x:c>
      <x:c r="C18" s="68" t="str">
        <x:f>'Phase Data'!C16</x:f>
        <x:v>Versioned geometry, actuation, and calibration</x:v>
      </x:c>
      <x:c r="D18" s="68" t="str">
        <x:f>'Phase Data'!D16</x:f>
        <x:v>S0 interfaces</x:v>
      </x:c>
      <x:c r="E18" s="94" t="n">
        <x:f>'Phase Data'!E16</x:f>
        <x:v>46279</x:v>
      </x:c>
      <x:c r="F18" s="92" t="n">
        <x:f>'Phase Data'!F16</x:f>
        <x:v>7</x:v>
      </x:c>
      <x:c r="G18" s="94" t="n">
        <x:f>'Phase Data'!G16</x:f>
        <x:v>46327</x:v>
      </x:c>
      <x:c r="H18" s="166" t="str">
        <x:f>IF(AND(H$6&lt;=$G18,H$6+6&gt;=$E18),1,"")</x:f>
      </x:c>
      <x:c r="I18" s="167" t="str">
        <x:f>IF(AND(I$6&lt;=$G18,I$6+6&gt;=$E18),1,"")</x:f>
      </x:c>
      <x:c r="J18" s="167" t="str">
        <x:f>IF(AND(J$6&lt;=$G18,J$6+6&gt;=$E18),1,"")</x:f>
      </x:c>
      <x:c r="K18" s="167" t="str">
        <x:f>IF(AND(K$6&lt;=$G18,K$6+6&gt;=$E18),1,"")</x:f>
      </x:c>
      <x:c r="L18" s="167" t="str">
        <x:f>IF(AND(L$6&lt;=$G18,L$6+6&gt;=$E18),1,"")</x:f>
      </x:c>
      <x:c r="M18" s="167" t="str">
        <x:f>IF(AND(M$6&lt;=$G18,M$6+6&gt;=$E18),1,"")</x:f>
      </x:c>
      <x:c r="N18" s="167" t="n">
        <x:f>IF(AND(N$6&lt;=$G18,N$6+6&gt;=$E18),1,"")</x:f>
        <x:v>1</x:v>
      </x:c>
      <x:c r="O18" s="167" t="n">
        <x:f>IF(AND(O$6&lt;=$G18,O$6+6&gt;=$E18),1,"")</x:f>
        <x:v>1</x:v>
      </x:c>
      <x:c r="P18" s="167" t="n">
        <x:f>IF(AND(P$6&lt;=$G18,P$6+6&gt;=$E18),1,"")</x:f>
        <x:v>1</x:v>
      </x:c>
      <x:c r="Q18" s="167" t="n">
        <x:f>IF(AND(Q$6&lt;=$G18,Q$6+6&gt;=$E18),1,"")</x:f>
        <x:v>1</x:v>
      </x:c>
      <x:c r="R18" s="167" t="n">
        <x:f>IF(AND(R$6&lt;=$G18,R$6+6&gt;=$E18),1,"")</x:f>
        <x:v>1</x:v>
      </x:c>
      <x:c r="S18" s="167" t="n">
        <x:f>IF(AND(S$6&lt;=$G18,S$6+6&gt;=$E18),1,"")</x:f>
        <x:v>1</x:v>
      </x:c>
      <x:c r="T18" s="167" t="n">
        <x:f>IF(AND(T$6&lt;=$G18,T$6+6&gt;=$E18),1,"")</x:f>
        <x:v>1</x:v>
      </x:c>
      <x:c r="U18" s="167" t="str">
        <x:f>IF(AND(U$6&lt;=$G18,U$6+6&gt;=$E18),1,"")</x:f>
      </x:c>
      <x:c r="V18" s="167" t="str">
        <x:f>IF(AND(V$6&lt;=$G18,V$6+6&gt;=$E18),1,"")</x:f>
      </x:c>
      <x:c r="W18" s="167" t="str">
        <x:f>IF(AND(W$6&lt;=$G18,W$6+6&gt;=$E18),1,"")</x:f>
      </x:c>
      <x:c r="X18" s="167" t="str">
        <x:f>IF(AND(X$6&lt;=$G18,X$6+6&gt;=$E18),1,"")</x:f>
      </x:c>
      <x:c r="Y18" s="167" t="str">
        <x:f>IF(AND(Y$6&lt;=$G18,Y$6+6&gt;=$E18),1,"")</x:f>
      </x:c>
      <x:c r="Z18" s="167" t="str">
        <x:f>IF(AND(Z$6&lt;=$G18,Z$6+6&gt;=$E18),1,"")</x:f>
      </x:c>
      <x:c r="AA18" s="167" t="str">
        <x:f>IF(AND(AA$6&lt;=$G18,AA$6+6&gt;=$E18),1,"")</x:f>
      </x:c>
      <x:c r="AB18" s="167" t="str">
        <x:f>IF(AND(AB$6&lt;=$G18,AB$6+6&gt;=$E18),1,"")</x:f>
      </x:c>
      <x:c r="AC18" s="167" t="str">
        <x:f>IF(AND(AC$6&lt;=$G18,AC$6+6&gt;=$E18),1,"")</x:f>
      </x:c>
      <x:c r="AD18" s="167" t="str">
        <x:f>IF(AND(AD$6&lt;=$G18,AD$6+6&gt;=$E18),1,"")</x:f>
      </x:c>
      <x:c r="AE18" s="167" t="str">
        <x:f>IF(AND(AE$6&lt;=$G18,AE$6+6&gt;=$E18),1,"")</x:f>
      </x:c>
      <x:c r="AF18" s="167" t="str">
        <x:f>IF(AND(AF$6&lt;=$G18,AF$6+6&gt;=$E18),1,"")</x:f>
      </x:c>
      <x:c r="AG18" s="167" t="str">
        <x:f>IF(AND(AG$6&lt;=$G18,AG$6+6&gt;=$E18),1,"")</x:f>
      </x:c>
      <x:c r="AH18" s="167" t="str">
        <x:f>IF(AND(AH$6&lt;=$G18,AH$6+6&gt;=$E18),1,"")</x:f>
      </x:c>
      <x:c r="AI18" s="167" t="str">
        <x:f>IF(AND(AI$6&lt;=$G18,AI$6+6&gt;=$E18),1,"")</x:f>
      </x:c>
      <x:c r="AJ18" s="167" t="str">
        <x:f>IF(AND(AJ$6&lt;=$G18,AJ$6+6&gt;=$E18),1,"")</x:f>
      </x:c>
      <x:c r="AK18" s="167" t="str">
        <x:f>IF(AND(AK$6&lt;=$G18,AK$6+6&gt;=$E18),1,"")</x:f>
      </x:c>
      <x:c r="AL18" s="167" t="str">
        <x:f>IF(AND(AL$6&lt;=$G18,AL$6+6&gt;=$E18),1,"")</x:f>
      </x:c>
      <x:c r="AM18" s="167" t="str">
        <x:f>IF(AND(AM$6&lt;=$G18,AM$6+6&gt;=$E18),1,"")</x:f>
      </x:c>
      <x:c r="AN18" s="167" t="str">
        <x:f>IF(AND(AN$6&lt;=$G18,AN$6+6&gt;=$E18),1,"")</x:f>
      </x:c>
      <x:c r="AO18" s="167" t="str">
        <x:f>IF(AND(AO$6&lt;=$G18,AO$6+6&gt;=$E18),1,"")</x:f>
      </x:c>
      <x:c r="AP18" s="167" t="str">
        <x:f>IF(AND(AP$6&lt;=$G18,AP$6+6&gt;=$E18),1,"")</x:f>
      </x:c>
      <x:c r="AQ18" s="167" t="str">
        <x:f>IF(AND(AQ$6&lt;=$G18,AQ$6+6&gt;=$E18),1,"")</x:f>
      </x:c>
      <x:c r="AR18" s="167" t="str">
        <x:f>IF(AND(AR$6&lt;=$G18,AR$6+6&gt;=$E18),1,"")</x:f>
      </x:c>
      <x:c r="AS18" s="167" t="str">
        <x:f>IF(AND(AS$6&lt;=$G18,AS$6+6&gt;=$E18),1,"")</x:f>
      </x:c>
      <x:c r="AT18" s="167" t="str">
        <x:f>IF(AND(AT$6&lt;=$G18,AT$6+6&gt;=$E18),1,"")</x:f>
      </x:c>
      <x:c r="AU18" s="167" t="str">
        <x:f>IF(AND(AU$6&lt;=$G18,AU$6+6&gt;=$E18),1,"")</x:f>
      </x:c>
      <x:c r="AV18" s="167" t="str">
        <x:f>IF(AND(AV$6&lt;=$G18,AV$6+6&gt;=$E18),1,"")</x:f>
      </x:c>
      <x:c r="AW18" s="167" t="str">
        <x:f>IF(AND(AW$6&lt;=$G18,AW$6+6&gt;=$E18),1,"")</x:f>
      </x:c>
      <x:c r="AX18" s="167" t="str">
        <x:f>IF(AND(AX$6&lt;=$G18,AX$6+6&gt;=$E18),1,"")</x:f>
      </x:c>
      <x:c r="AY18" s="167" t="str">
        <x:f>IF(AND(AY$6&lt;=$G18,AY$6+6&gt;=$E18),1,"")</x:f>
      </x:c>
      <x:c r="AZ18" s="167" t="str">
        <x:f>IF(AND(AZ$6&lt;=$G18,AZ$6+6&gt;=$E18),1,"")</x:f>
      </x:c>
      <x:c r="BA18" s="167" t="str">
        <x:f>IF(AND(BA$6&lt;=$G18,BA$6+6&gt;=$E18),1,"")</x:f>
      </x:c>
      <x:c r="BB18" s="167" t="str">
        <x:f>IF(AND(BB$6&lt;=$G18,BB$6+6&gt;=$E18),1,"")</x:f>
      </x:c>
      <x:c r="BC18" s="167" t="str">
        <x:f>IF(AND(BC$6&lt;=$G18,BC$6+6&gt;=$E18),1,"")</x:f>
      </x:c>
      <x:c r="BD18" s="167" t="str">
        <x:f>IF(AND(BD$6&lt;=$G18,BD$6+6&gt;=$E18),1,"")</x:f>
      </x:c>
      <x:c r="BE18" s="167" t="str">
        <x:f>IF(AND(BE$6&lt;=$G18,BE$6+6&gt;=$E18),1,"")</x:f>
      </x:c>
      <x:c r="BF18" s="167" t="str">
        <x:f>IF(AND(BF$6&lt;=$G18,BF$6+6&gt;=$E18),1,"")</x:f>
      </x:c>
      <x:c r="BG18" s="167" t="str">
        <x:f>IF(AND(BG$6&lt;=$G18,BG$6+6&gt;=$E18),1,"")</x:f>
      </x:c>
      <x:c r="BH18" s="167" t="str">
        <x:f>IF(AND(BH$6&lt;=$G18,BH$6+6&gt;=$E18),1,"")</x:f>
      </x:c>
      <x:c r="BI18" s="167" t="str">
        <x:f>IF(AND(BI$6&lt;=$G18,BI$6+6&gt;=$E18),1,"")</x:f>
      </x:c>
      <x:c r="BJ18" s="167" t="str">
        <x:f>IF(AND(BJ$6&lt;=$G18,BJ$6+6&gt;=$E18),1,"")</x:f>
      </x:c>
      <x:c r="BK18" s="167" t="str">
        <x:f>IF(AND(BK$6&lt;=$G18,BK$6+6&gt;=$E18),1,"")</x:f>
      </x:c>
      <x:c r="BL18" s="167" t="str">
        <x:f>IF(AND(BL$6&lt;=$G18,BL$6+6&gt;=$E18),1,"")</x:f>
      </x:c>
      <x:c r="BM18" s="167" t="str">
        <x:f>IF(AND(BM$6&lt;=$G18,BM$6+6&gt;=$E18),1,"")</x:f>
      </x:c>
      <x:c r="BN18" s="168" t="str">
        <x:f>IF(AND(BN$6&lt;=$G18,BN$6+6&gt;=$E18),1,"")</x:f>
      </x:c>
    </x:row>
    <x:row r="19" ht="28" customHeight="1">
      <x:c r="A19" s="68" t="str">
        <x:f>'Phase Data'!A17</x:f>
        <x:v>M6</x:v>
      </x:c>
      <x:c r="B19" s="68" t="str">
        <x:f>'Phase Data'!B17</x:f>
        <x:v>Mechanical</x:v>
      </x:c>
      <x:c r="C19" s="68" t="str">
        <x:f>'Phase Data'!C17</x:f>
        <x:v>CAD and risk-reduction prototypes</x:v>
      </x:c>
      <x:c r="D19" s="68" t="str">
        <x:f>'Phase Data'!D17</x:f>
        <x:v>M5 partial artifacts</x:v>
      </x:c>
      <x:c r="E19" s="94" t="n">
        <x:f>'Phase Data'!E17</x:f>
        <x:v>46328</x:v>
      </x:c>
      <x:c r="F19" s="92" t="n">
        <x:f>'Phase Data'!F17</x:f>
        <x:v>16</x:v>
      </x:c>
      <x:c r="G19" s="94" t="n">
        <x:f>'Phase Data'!G17</x:f>
        <x:v>46439</x:v>
      </x:c>
      <x:c r="H19" s="166" t="str">
        <x:f>IF(AND(H$6&lt;=$G19,H$6+6&gt;=$E19),1,"")</x:f>
      </x:c>
      <x:c r="I19" s="167" t="str">
        <x:f>IF(AND(I$6&lt;=$G19,I$6+6&gt;=$E19),1,"")</x:f>
      </x:c>
      <x:c r="J19" s="167" t="str">
        <x:f>IF(AND(J$6&lt;=$G19,J$6+6&gt;=$E19),1,"")</x:f>
      </x:c>
      <x:c r="K19" s="167" t="str">
        <x:f>IF(AND(K$6&lt;=$G19,K$6+6&gt;=$E19),1,"")</x:f>
      </x:c>
      <x:c r="L19" s="167" t="str">
        <x:f>IF(AND(L$6&lt;=$G19,L$6+6&gt;=$E19),1,"")</x:f>
      </x:c>
      <x:c r="M19" s="167" t="str">
        <x:f>IF(AND(M$6&lt;=$G19,M$6+6&gt;=$E19),1,"")</x:f>
      </x:c>
      <x:c r="N19" s="167" t="str">
        <x:f>IF(AND(N$6&lt;=$G19,N$6+6&gt;=$E19),1,"")</x:f>
      </x:c>
      <x:c r="O19" s="167" t="str">
        <x:f>IF(AND(O$6&lt;=$G19,O$6+6&gt;=$E19),1,"")</x:f>
      </x:c>
      <x:c r="P19" s="167" t="str">
        <x:f>IF(AND(P$6&lt;=$G19,P$6+6&gt;=$E19),1,"")</x:f>
      </x:c>
      <x:c r="Q19" s="167" t="str">
        <x:f>IF(AND(Q$6&lt;=$G19,Q$6+6&gt;=$E19),1,"")</x:f>
      </x:c>
      <x:c r="R19" s="167" t="str">
        <x:f>IF(AND(R$6&lt;=$G19,R$6+6&gt;=$E19),1,"")</x:f>
      </x:c>
      <x:c r="S19" s="167" t="str">
        <x:f>IF(AND(S$6&lt;=$G19,S$6+6&gt;=$E19),1,"")</x:f>
      </x:c>
      <x:c r="T19" s="167" t="str">
        <x:f>IF(AND(T$6&lt;=$G19,T$6+6&gt;=$E19),1,"")</x:f>
      </x:c>
      <x:c r="U19" s="167" t="n">
        <x:f>IF(AND(U$6&lt;=$G19,U$6+6&gt;=$E19),1,"")</x:f>
        <x:v>1</x:v>
      </x:c>
      <x:c r="V19" s="167" t="n">
        <x:f>IF(AND(V$6&lt;=$G19,V$6+6&gt;=$E19),1,"")</x:f>
        <x:v>1</x:v>
      </x:c>
      <x:c r="W19" s="167" t="n">
        <x:f>IF(AND(W$6&lt;=$G19,W$6+6&gt;=$E19),1,"")</x:f>
        <x:v>1</x:v>
      </x:c>
      <x:c r="X19" s="167" t="n">
        <x:f>IF(AND(X$6&lt;=$G19,X$6+6&gt;=$E19),1,"")</x:f>
        <x:v>1</x:v>
      </x:c>
      <x:c r="Y19" s="167" t="n">
        <x:f>IF(AND(Y$6&lt;=$G19,Y$6+6&gt;=$E19),1,"")</x:f>
        <x:v>1</x:v>
      </x:c>
      <x:c r="Z19" s="167" t="n">
        <x:f>IF(AND(Z$6&lt;=$G19,Z$6+6&gt;=$E19),1,"")</x:f>
        <x:v>1</x:v>
      </x:c>
      <x:c r="AA19" s="167" t="n">
        <x:f>IF(AND(AA$6&lt;=$G19,AA$6+6&gt;=$E19),1,"")</x:f>
        <x:v>1</x:v>
      </x:c>
      <x:c r="AB19" s="167" t="n">
        <x:f>IF(AND(AB$6&lt;=$G19,AB$6+6&gt;=$E19),1,"")</x:f>
        <x:v>1</x:v>
      </x:c>
      <x:c r="AC19" s="167" t="n">
        <x:f>IF(AND(AC$6&lt;=$G19,AC$6+6&gt;=$E19),1,"")</x:f>
        <x:v>1</x:v>
      </x:c>
      <x:c r="AD19" s="167" t="n">
        <x:f>IF(AND(AD$6&lt;=$G19,AD$6+6&gt;=$E19),1,"")</x:f>
        <x:v>1</x:v>
      </x:c>
      <x:c r="AE19" s="167" t="n">
        <x:f>IF(AND(AE$6&lt;=$G19,AE$6+6&gt;=$E19),1,"")</x:f>
        <x:v>1</x:v>
      </x:c>
      <x:c r="AF19" s="167" t="n">
        <x:f>IF(AND(AF$6&lt;=$G19,AF$6+6&gt;=$E19),1,"")</x:f>
        <x:v>1</x:v>
      </x:c>
      <x:c r="AG19" s="167" t="n">
        <x:f>IF(AND(AG$6&lt;=$G19,AG$6+6&gt;=$E19),1,"")</x:f>
        <x:v>1</x:v>
      </x:c>
      <x:c r="AH19" s="167" t="n">
        <x:f>IF(AND(AH$6&lt;=$G19,AH$6+6&gt;=$E19),1,"")</x:f>
        <x:v>1</x:v>
      </x:c>
      <x:c r="AI19" s="167" t="n">
        <x:f>IF(AND(AI$6&lt;=$G19,AI$6+6&gt;=$E19),1,"")</x:f>
        <x:v>1</x:v>
      </x:c>
      <x:c r="AJ19" s="167" t="n">
        <x:f>IF(AND(AJ$6&lt;=$G19,AJ$6+6&gt;=$E19),1,"")</x:f>
        <x:v>1</x:v>
      </x:c>
      <x:c r="AK19" s="167" t="str">
        <x:f>IF(AND(AK$6&lt;=$G19,AK$6+6&gt;=$E19),1,"")</x:f>
      </x:c>
      <x:c r="AL19" s="167" t="str">
        <x:f>IF(AND(AL$6&lt;=$G19,AL$6+6&gt;=$E19),1,"")</x:f>
      </x:c>
      <x:c r="AM19" s="167" t="str">
        <x:f>IF(AND(AM$6&lt;=$G19,AM$6+6&gt;=$E19),1,"")</x:f>
      </x:c>
      <x:c r="AN19" s="167" t="str">
        <x:f>IF(AND(AN$6&lt;=$G19,AN$6+6&gt;=$E19),1,"")</x:f>
      </x:c>
      <x:c r="AO19" s="167" t="str">
        <x:f>IF(AND(AO$6&lt;=$G19,AO$6+6&gt;=$E19),1,"")</x:f>
      </x:c>
      <x:c r="AP19" s="167" t="str">
        <x:f>IF(AND(AP$6&lt;=$G19,AP$6+6&gt;=$E19),1,"")</x:f>
      </x:c>
      <x:c r="AQ19" s="167" t="str">
        <x:f>IF(AND(AQ$6&lt;=$G19,AQ$6+6&gt;=$E19),1,"")</x:f>
      </x:c>
      <x:c r="AR19" s="167" t="str">
        <x:f>IF(AND(AR$6&lt;=$G19,AR$6+6&gt;=$E19),1,"")</x:f>
      </x:c>
      <x:c r="AS19" s="167" t="str">
        <x:f>IF(AND(AS$6&lt;=$G19,AS$6+6&gt;=$E19),1,"")</x:f>
      </x:c>
      <x:c r="AT19" s="167" t="str">
        <x:f>IF(AND(AT$6&lt;=$G19,AT$6+6&gt;=$E19),1,"")</x:f>
      </x:c>
      <x:c r="AU19" s="167" t="str">
        <x:f>IF(AND(AU$6&lt;=$G19,AU$6+6&gt;=$E19),1,"")</x:f>
      </x:c>
      <x:c r="AV19" s="167" t="str">
        <x:f>IF(AND(AV$6&lt;=$G19,AV$6+6&gt;=$E19),1,"")</x:f>
      </x:c>
      <x:c r="AW19" s="167" t="str">
        <x:f>IF(AND(AW$6&lt;=$G19,AW$6+6&gt;=$E19),1,"")</x:f>
      </x:c>
      <x:c r="AX19" s="167" t="str">
        <x:f>IF(AND(AX$6&lt;=$G19,AX$6+6&gt;=$E19),1,"")</x:f>
      </x:c>
      <x:c r="AY19" s="167" t="str">
        <x:f>IF(AND(AY$6&lt;=$G19,AY$6+6&gt;=$E19),1,"")</x:f>
      </x:c>
      <x:c r="AZ19" s="167" t="str">
        <x:f>IF(AND(AZ$6&lt;=$G19,AZ$6+6&gt;=$E19),1,"")</x:f>
      </x:c>
      <x:c r="BA19" s="167" t="str">
        <x:f>IF(AND(BA$6&lt;=$G19,BA$6+6&gt;=$E19),1,"")</x:f>
      </x:c>
      <x:c r="BB19" s="167" t="str">
        <x:f>IF(AND(BB$6&lt;=$G19,BB$6+6&gt;=$E19),1,"")</x:f>
      </x:c>
      <x:c r="BC19" s="167" t="str">
        <x:f>IF(AND(BC$6&lt;=$G19,BC$6+6&gt;=$E19),1,"")</x:f>
      </x:c>
      <x:c r="BD19" s="167" t="str">
        <x:f>IF(AND(BD$6&lt;=$G19,BD$6+6&gt;=$E19),1,"")</x:f>
      </x:c>
      <x:c r="BE19" s="167" t="str">
        <x:f>IF(AND(BE$6&lt;=$G19,BE$6+6&gt;=$E19),1,"")</x:f>
      </x:c>
      <x:c r="BF19" s="167" t="str">
        <x:f>IF(AND(BF$6&lt;=$G19,BF$6+6&gt;=$E19),1,"")</x:f>
      </x:c>
      <x:c r="BG19" s="167" t="str">
        <x:f>IF(AND(BG$6&lt;=$G19,BG$6+6&gt;=$E19),1,"")</x:f>
      </x:c>
      <x:c r="BH19" s="167" t="str">
        <x:f>IF(AND(BH$6&lt;=$G19,BH$6+6&gt;=$E19),1,"")</x:f>
      </x:c>
      <x:c r="BI19" s="167" t="str">
        <x:f>IF(AND(BI$6&lt;=$G19,BI$6+6&gt;=$E19),1,"")</x:f>
      </x:c>
      <x:c r="BJ19" s="167" t="str">
        <x:f>IF(AND(BJ$6&lt;=$G19,BJ$6+6&gt;=$E19),1,"")</x:f>
      </x:c>
      <x:c r="BK19" s="167" t="str">
        <x:f>IF(AND(BK$6&lt;=$G19,BK$6+6&gt;=$E19),1,"")</x:f>
      </x:c>
      <x:c r="BL19" s="167" t="str">
        <x:f>IF(AND(BL$6&lt;=$G19,BL$6+6&gt;=$E19),1,"")</x:f>
      </x:c>
      <x:c r="BM19" s="167" t="str">
        <x:f>IF(AND(BM$6&lt;=$G19,BM$6+6&gt;=$E19),1,"")</x:f>
      </x:c>
      <x:c r="BN19" s="168" t="str">
        <x:f>IF(AND(BN$6&lt;=$G19,BN$6+6&gt;=$E19),1,"")</x:f>
      </x:c>
    </x:row>
    <x:row r="20" ht="28" customHeight="1">
      <x:c r="A20" s="68" t="str">
        <x:f>'Phase Data'!A18</x:f>
        <x:v>M7-A</x:v>
      </x:c>
      <x:c r="B20" s="68" t="str">
        <x:f>'Phase Data'!B18</x:f>
        <x:v>Mechanical</x:v>
      </x:c>
      <x:c r="C20" s="68" t="str">
        <x:f>'Phase Data'!C18</x:f>
        <x:v>Safety architecture and procedures</x:v>
      </x:c>
      <x:c r="D20" s="68" t="str">
        <x:f>'Phase Data'!D18</x:f>
        <x:v>M5 partial artifacts</x:v>
      </x:c>
      <x:c r="E20" s="94" t="n">
        <x:f>'Phase Data'!E18</x:f>
        <x:v>46300</x:v>
      </x:c>
      <x:c r="F20" s="92" t="n">
        <x:f>'Phase Data'!F18</x:f>
        <x:v>6</x:v>
      </x:c>
      <x:c r="G20" s="94" t="n">
        <x:f>'Phase Data'!G18</x:f>
        <x:v>46341</x:v>
      </x:c>
      <x:c r="H20" s="166" t="str">
        <x:f>IF(AND(H$6&lt;=$G20,H$6+6&gt;=$E20),1,"")</x:f>
      </x:c>
      <x:c r="I20" s="167" t="str">
        <x:f>IF(AND(I$6&lt;=$G20,I$6+6&gt;=$E20),1,"")</x:f>
      </x:c>
      <x:c r="J20" s="167" t="str">
        <x:f>IF(AND(J$6&lt;=$G20,J$6+6&gt;=$E20),1,"")</x:f>
      </x:c>
      <x:c r="K20" s="167" t="str">
        <x:f>IF(AND(K$6&lt;=$G20,K$6+6&gt;=$E20),1,"")</x:f>
      </x:c>
      <x:c r="L20" s="167" t="str">
        <x:f>IF(AND(L$6&lt;=$G20,L$6+6&gt;=$E20),1,"")</x:f>
      </x:c>
      <x:c r="M20" s="167" t="str">
        <x:f>IF(AND(M$6&lt;=$G20,M$6+6&gt;=$E20),1,"")</x:f>
      </x:c>
      <x:c r="N20" s="167" t="str">
        <x:f>IF(AND(N$6&lt;=$G20,N$6+6&gt;=$E20),1,"")</x:f>
      </x:c>
      <x:c r="O20" s="167" t="str">
        <x:f>IF(AND(O$6&lt;=$G20,O$6+6&gt;=$E20),1,"")</x:f>
      </x:c>
      <x:c r="P20" s="167" t="str">
        <x:f>IF(AND(P$6&lt;=$G20,P$6+6&gt;=$E20),1,"")</x:f>
      </x:c>
      <x:c r="Q20" s="167" t="n">
        <x:f>IF(AND(Q$6&lt;=$G20,Q$6+6&gt;=$E20),1,"")</x:f>
        <x:v>1</x:v>
      </x:c>
      <x:c r="R20" s="167" t="n">
        <x:f>IF(AND(R$6&lt;=$G20,R$6+6&gt;=$E20),1,"")</x:f>
        <x:v>1</x:v>
      </x:c>
      <x:c r="S20" s="167" t="n">
        <x:f>IF(AND(S$6&lt;=$G20,S$6+6&gt;=$E20),1,"")</x:f>
        <x:v>1</x:v>
      </x:c>
      <x:c r="T20" s="167" t="n">
        <x:f>IF(AND(T$6&lt;=$G20,T$6+6&gt;=$E20),1,"")</x:f>
        <x:v>1</x:v>
      </x:c>
      <x:c r="U20" s="167" t="n">
        <x:f>IF(AND(U$6&lt;=$G20,U$6+6&gt;=$E20),1,"")</x:f>
        <x:v>1</x:v>
      </x:c>
      <x:c r="V20" s="167" t="n">
        <x:f>IF(AND(V$6&lt;=$G20,V$6+6&gt;=$E20),1,"")</x:f>
        <x:v>1</x:v>
      </x:c>
      <x:c r="W20" s="167" t="str">
        <x:f>IF(AND(W$6&lt;=$G20,W$6+6&gt;=$E20),1,"")</x:f>
      </x:c>
      <x:c r="X20" s="167" t="str">
        <x:f>IF(AND(X$6&lt;=$G20,X$6+6&gt;=$E20),1,"")</x:f>
      </x:c>
      <x:c r="Y20" s="167" t="str">
        <x:f>IF(AND(Y$6&lt;=$G20,Y$6+6&gt;=$E20),1,"")</x:f>
      </x:c>
      <x:c r="Z20" s="167" t="str">
        <x:f>IF(AND(Z$6&lt;=$G20,Z$6+6&gt;=$E20),1,"")</x:f>
      </x:c>
      <x:c r="AA20" s="167" t="str">
        <x:f>IF(AND(AA$6&lt;=$G20,AA$6+6&gt;=$E20),1,"")</x:f>
      </x:c>
      <x:c r="AB20" s="167" t="str">
        <x:f>IF(AND(AB$6&lt;=$G20,AB$6+6&gt;=$E20),1,"")</x:f>
      </x:c>
      <x:c r="AC20" s="167" t="str">
        <x:f>IF(AND(AC$6&lt;=$G20,AC$6+6&gt;=$E20),1,"")</x:f>
      </x:c>
      <x:c r="AD20" s="167" t="str">
        <x:f>IF(AND(AD$6&lt;=$G20,AD$6+6&gt;=$E20),1,"")</x:f>
      </x:c>
      <x:c r="AE20" s="167" t="str">
        <x:f>IF(AND(AE$6&lt;=$G20,AE$6+6&gt;=$E20),1,"")</x:f>
      </x:c>
      <x:c r="AF20" s="167" t="str">
        <x:f>IF(AND(AF$6&lt;=$G20,AF$6+6&gt;=$E20),1,"")</x:f>
      </x:c>
      <x:c r="AG20" s="167" t="str">
        <x:f>IF(AND(AG$6&lt;=$G20,AG$6+6&gt;=$E20),1,"")</x:f>
      </x:c>
      <x:c r="AH20" s="167" t="str">
        <x:f>IF(AND(AH$6&lt;=$G20,AH$6+6&gt;=$E20),1,"")</x:f>
      </x:c>
      <x:c r="AI20" s="167" t="str">
        <x:f>IF(AND(AI$6&lt;=$G20,AI$6+6&gt;=$E20),1,"")</x:f>
      </x:c>
      <x:c r="AJ20" s="167" t="str">
        <x:f>IF(AND(AJ$6&lt;=$G20,AJ$6+6&gt;=$E20),1,"")</x:f>
      </x:c>
      <x:c r="AK20" s="167" t="str">
        <x:f>IF(AND(AK$6&lt;=$G20,AK$6+6&gt;=$E20),1,"")</x:f>
      </x:c>
      <x:c r="AL20" s="167" t="str">
        <x:f>IF(AND(AL$6&lt;=$G20,AL$6+6&gt;=$E20),1,"")</x:f>
      </x:c>
      <x:c r="AM20" s="167" t="str">
        <x:f>IF(AND(AM$6&lt;=$G20,AM$6+6&gt;=$E20),1,"")</x:f>
      </x:c>
      <x:c r="AN20" s="167" t="str">
        <x:f>IF(AND(AN$6&lt;=$G20,AN$6+6&gt;=$E20),1,"")</x:f>
      </x:c>
      <x:c r="AO20" s="167" t="str">
        <x:f>IF(AND(AO$6&lt;=$G20,AO$6+6&gt;=$E20),1,"")</x:f>
      </x:c>
      <x:c r="AP20" s="167" t="str">
        <x:f>IF(AND(AP$6&lt;=$G20,AP$6+6&gt;=$E20),1,"")</x:f>
      </x:c>
      <x:c r="AQ20" s="167" t="str">
        <x:f>IF(AND(AQ$6&lt;=$G20,AQ$6+6&gt;=$E20),1,"")</x:f>
      </x:c>
      <x:c r="AR20" s="167" t="str">
        <x:f>IF(AND(AR$6&lt;=$G20,AR$6+6&gt;=$E20),1,"")</x:f>
      </x:c>
      <x:c r="AS20" s="167" t="str">
        <x:f>IF(AND(AS$6&lt;=$G20,AS$6+6&gt;=$E20),1,"")</x:f>
      </x:c>
      <x:c r="AT20" s="167" t="str">
        <x:f>IF(AND(AT$6&lt;=$G20,AT$6+6&gt;=$E20),1,"")</x:f>
      </x:c>
      <x:c r="AU20" s="167" t="str">
        <x:f>IF(AND(AU$6&lt;=$G20,AU$6+6&gt;=$E20),1,"")</x:f>
      </x:c>
      <x:c r="AV20" s="167" t="str">
        <x:f>IF(AND(AV$6&lt;=$G20,AV$6+6&gt;=$E20),1,"")</x:f>
      </x:c>
      <x:c r="AW20" s="167" t="str">
        <x:f>IF(AND(AW$6&lt;=$G20,AW$6+6&gt;=$E20),1,"")</x:f>
      </x:c>
      <x:c r="AX20" s="167" t="str">
        <x:f>IF(AND(AX$6&lt;=$G20,AX$6+6&gt;=$E20),1,"")</x:f>
      </x:c>
      <x:c r="AY20" s="167" t="str">
        <x:f>IF(AND(AY$6&lt;=$G20,AY$6+6&gt;=$E20),1,"")</x:f>
      </x:c>
      <x:c r="AZ20" s="167" t="str">
        <x:f>IF(AND(AZ$6&lt;=$G20,AZ$6+6&gt;=$E20),1,"")</x:f>
      </x:c>
      <x:c r="BA20" s="167" t="str">
        <x:f>IF(AND(BA$6&lt;=$G20,BA$6+6&gt;=$E20),1,"")</x:f>
      </x:c>
      <x:c r="BB20" s="167" t="str">
        <x:f>IF(AND(BB$6&lt;=$G20,BB$6+6&gt;=$E20),1,"")</x:f>
      </x:c>
      <x:c r="BC20" s="167" t="str">
        <x:f>IF(AND(BC$6&lt;=$G20,BC$6+6&gt;=$E20),1,"")</x:f>
      </x:c>
      <x:c r="BD20" s="167" t="str">
        <x:f>IF(AND(BD$6&lt;=$G20,BD$6+6&gt;=$E20),1,"")</x:f>
      </x:c>
      <x:c r="BE20" s="167" t="str">
        <x:f>IF(AND(BE$6&lt;=$G20,BE$6+6&gt;=$E20),1,"")</x:f>
      </x:c>
      <x:c r="BF20" s="167" t="str">
        <x:f>IF(AND(BF$6&lt;=$G20,BF$6+6&gt;=$E20),1,"")</x:f>
      </x:c>
      <x:c r="BG20" s="167" t="str">
        <x:f>IF(AND(BG$6&lt;=$G20,BG$6+6&gt;=$E20),1,"")</x:f>
      </x:c>
      <x:c r="BH20" s="167" t="str">
        <x:f>IF(AND(BH$6&lt;=$G20,BH$6+6&gt;=$E20),1,"")</x:f>
      </x:c>
      <x:c r="BI20" s="167" t="str">
        <x:f>IF(AND(BI$6&lt;=$G20,BI$6+6&gt;=$E20),1,"")</x:f>
      </x:c>
      <x:c r="BJ20" s="167" t="str">
        <x:f>IF(AND(BJ$6&lt;=$G20,BJ$6+6&gt;=$E20),1,"")</x:f>
      </x:c>
      <x:c r="BK20" s="167" t="str">
        <x:f>IF(AND(BK$6&lt;=$G20,BK$6+6&gt;=$E20),1,"")</x:f>
      </x:c>
      <x:c r="BL20" s="167" t="str">
        <x:f>IF(AND(BL$6&lt;=$G20,BL$6+6&gt;=$E20),1,"")</x:f>
      </x:c>
      <x:c r="BM20" s="167" t="str">
        <x:f>IF(AND(BM$6&lt;=$G20,BM$6+6&gt;=$E20),1,"")</x:f>
      </x:c>
      <x:c r="BN20" s="168" t="str">
        <x:f>IF(AND(BN$6&lt;=$G20,BN$6+6&gt;=$E20),1,"")</x:f>
      </x:c>
    </x:row>
    <x:row r="21" ht="28" customHeight="1">
      <x:c r="A21" s="68" t="str">
        <x:f>'Phase Data'!A19</x:f>
        <x:v>M7-B</x:v>
      </x:c>
      <x:c r="B21" s="68" t="str">
        <x:f>'Phase Data'!B19</x:f>
        <x:v>Mechanical</x:v>
      </x:c>
      <x:c r="C21" s="68" t="str">
        <x:f>'Phase Data'!C19</x:f>
        <x:v>Staged physical hardware bring-up</x:v>
      </x:c>
      <x:c r="D21" s="68" t="str">
        <x:f>'Phase Data'!D19</x:f>
        <x:v>M6 release</x:v>
      </x:c>
      <x:c r="E21" s="94" t="n">
        <x:f>'Phase Data'!E19</x:f>
        <x:v>46440</x:v>
      </x:c>
      <x:c r="F21" s="92" t="n">
        <x:f>'Phase Data'!F19</x:f>
        <x:v>20</x:v>
      </x:c>
      <x:c r="G21" s="94" t="n">
        <x:f>'Phase Data'!G19</x:f>
        <x:v>46579</x:v>
      </x:c>
      <x:c r="H21" s="166" t="str">
        <x:f>IF(AND(H$6&lt;=$G21,H$6+6&gt;=$E21),1,"")</x:f>
      </x:c>
      <x:c r="I21" s="167" t="str">
        <x:f>IF(AND(I$6&lt;=$G21,I$6+6&gt;=$E21),1,"")</x:f>
      </x:c>
      <x:c r="J21" s="167" t="str">
        <x:f>IF(AND(J$6&lt;=$G21,J$6+6&gt;=$E21),1,"")</x:f>
      </x:c>
      <x:c r="K21" s="167" t="str">
        <x:f>IF(AND(K$6&lt;=$G21,K$6+6&gt;=$E21),1,"")</x:f>
      </x:c>
      <x:c r="L21" s="167" t="str">
        <x:f>IF(AND(L$6&lt;=$G21,L$6+6&gt;=$E21),1,"")</x:f>
      </x:c>
      <x:c r="M21" s="167" t="str">
        <x:f>IF(AND(M$6&lt;=$G21,M$6+6&gt;=$E21),1,"")</x:f>
      </x:c>
      <x:c r="N21" s="167" t="str">
        <x:f>IF(AND(N$6&lt;=$G21,N$6+6&gt;=$E21),1,"")</x:f>
      </x:c>
      <x:c r="O21" s="167" t="str">
        <x:f>IF(AND(O$6&lt;=$G21,O$6+6&gt;=$E21),1,"")</x:f>
      </x:c>
      <x:c r="P21" s="167" t="str">
        <x:f>IF(AND(P$6&lt;=$G21,P$6+6&gt;=$E21),1,"")</x:f>
      </x:c>
      <x:c r="Q21" s="167" t="str">
        <x:f>IF(AND(Q$6&lt;=$G21,Q$6+6&gt;=$E21),1,"")</x:f>
      </x:c>
      <x:c r="R21" s="167" t="str">
        <x:f>IF(AND(R$6&lt;=$G21,R$6+6&gt;=$E21),1,"")</x:f>
      </x:c>
      <x:c r="S21" s="167" t="str">
        <x:f>IF(AND(S$6&lt;=$G21,S$6+6&gt;=$E21),1,"")</x:f>
      </x:c>
      <x:c r="T21" s="167" t="str">
        <x:f>IF(AND(T$6&lt;=$G21,T$6+6&gt;=$E21),1,"")</x:f>
      </x:c>
      <x:c r="U21" s="167" t="str">
        <x:f>IF(AND(U$6&lt;=$G21,U$6+6&gt;=$E21),1,"")</x:f>
      </x:c>
      <x:c r="V21" s="167" t="str">
        <x:f>IF(AND(V$6&lt;=$G21,V$6+6&gt;=$E21),1,"")</x:f>
      </x:c>
      <x:c r="W21" s="167" t="str">
        <x:f>IF(AND(W$6&lt;=$G21,W$6+6&gt;=$E21),1,"")</x:f>
      </x:c>
      <x:c r="X21" s="167" t="str">
        <x:f>IF(AND(X$6&lt;=$G21,X$6+6&gt;=$E21),1,"")</x:f>
      </x:c>
      <x:c r="Y21" s="167" t="str">
        <x:f>IF(AND(Y$6&lt;=$G21,Y$6+6&gt;=$E21),1,"")</x:f>
      </x:c>
      <x:c r="Z21" s="167" t="str">
        <x:f>IF(AND(Z$6&lt;=$G21,Z$6+6&gt;=$E21),1,"")</x:f>
      </x:c>
      <x:c r="AA21" s="167" t="str">
        <x:f>IF(AND(AA$6&lt;=$G21,AA$6+6&gt;=$E21),1,"")</x:f>
      </x:c>
      <x:c r="AB21" s="167" t="str">
        <x:f>IF(AND(AB$6&lt;=$G21,AB$6+6&gt;=$E21),1,"")</x:f>
      </x:c>
      <x:c r="AC21" s="167" t="str">
        <x:f>IF(AND(AC$6&lt;=$G21,AC$6+6&gt;=$E21),1,"")</x:f>
      </x:c>
      <x:c r="AD21" s="167" t="str">
        <x:f>IF(AND(AD$6&lt;=$G21,AD$6+6&gt;=$E21),1,"")</x:f>
      </x:c>
      <x:c r="AE21" s="167" t="str">
        <x:f>IF(AND(AE$6&lt;=$G21,AE$6+6&gt;=$E21),1,"")</x:f>
      </x:c>
      <x:c r="AF21" s="167" t="str">
        <x:f>IF(AND(AF$6&lt;=$G21,AF$6+6&gt;=$E21),1,"")</x:f>
      </x:c>
      <x:c r="AG21" s="167" t="str">
        <x:f>IF(AND(AG$6&lt;=$G21,AG$6+6&gt;=$E21),1,"")</x:f>
      </x:c>
      <x:c r="AH21" s="167" t="str">
        <x:f>IF(AND(AH$6&lt;=$G21,AH$6+6&gt;=$E21),1,"")</x:f>
      </x:c>
      <x:c r="AI21" s="167" t="str">
        <x:f>IF(AND(AI$6&lt;=$G21,AI$6+6&gt;=$E21),1,"")</x:f>
      </x:c>
      <x:c r="AJ21" s="167" t="str">
        <x:f>IF(AND(AJ$6&lt;=$G21,AJ$6+6&gt;=$E21),1,"")</x:f>
      </x:c>
      <x:c r="AK21" s="167" t="n">
        <x:f>IF(AND(AK$6&lt;=$G21,AK$6+6&gt;=$E21),1,"")</x:f>
        <x:v>1</x:v>
      </x:c>
      <x:c r="AL21" s="167" t="n">
        <x:f>IF(AND(AL$6&lt;=$G21,AL$6+6&gt;=$E21),1,"")</x:f>
        <x:v>1</x:v>
      </x:c>
      <x:c r="AM21" s="167" t="n">
        <x:f>IF(AND(AM$6&lt;=$G21,AM$6+6&gt;=$E21),1,"")</x:f>
        <x:v>1</x:v>
      </x:c>
      <x:c r="AN21" s="167" t="n">
        <x:f>IF(AND(AN$6&lt;=$G21,AN$6+6&gt;=$E21),1,"")</x:f>
        <x:v>1</x:v>
      </x:c>
      <x:c r="AO21" s="167" t="n">
        <x:f>IF(AND(AO$6&lt;=$G21,AO$6+6&gt;=$E21),1,"")</x:f>
        <x:v>1</x:v>
      </x:c>
      <x:c r="AP21" s="167" t="n">
        <x:f>IF(AND(AP$6&lt;=$G21,AP$6+6&gt;=$E21),1,"")</x:f>
        <x:v>1</x:v>
      </x:c>
      <x:c r="AQ21" s="167" t="n">
        <x:f>IF(AND(AQ$6&lt;=$G21,AQ$6+6&gt;=$E21),1,"")</x:f>
        <x:v>1</x:v>
      </x:c>
      <x:c r="AR21" s="167" t="n">
        <x:f>IF(AND(AR$6&lt;=$G21,AR$6+6&gt;=$E21),1,"")</x:f>
        <x:v>1</x:v>
      </x:c>
      <x:c r="AS21" s="167" t="n">
        <x:f>IF(AND(AS$6&lt;=$G21,AS$6+6&gt;=$E21),1,"")</x:f>
        <x:v>1</x:v>
      </x:c>
      <x:c r="AT21" s="167" t="n">
        <x:f>IF(AND(AT$6&lt;=$G21,AT$6+6&gt;=$E21),1,"")</x:f>
        <x:v>1</x:v>
      </x:c>
      <x:c r="AU21" s="167" t="n">
        <x:f>IF(AND(AU$6&lt;=$G21,AU$6+6&gt;=$E21),1,"")</x:f>
        <x:v>1</x:v>
      </x:c>
      <x:c r="AV21" s="167" t="n">
        <x:f>IF(AND(AV$6&lt;=$G21,AV$6+6&gt;=$E21),1,"")</x:f>
        <x:v>1</x:v>
      </x:c>
      <x:c r="AW21" s="167" t="n">
        <x:f>IF(AND(AW$6&lt;=$G21,AW$6+6&gt;=$E21),1,"")</x:f>
        <x:v>1</x:v>
      </x:c>
      <x:c r="AX21" s="167" t="n">
        <x:f>IF(AND(AX$6&lt;=$G21,AX$6+6&gt;=$E21),1,"")</x:f>
        <x:v>1</x:v>
      </x:c>
      <x:c r="AY21" s="167" t="n">
        <x:f>IF(AND(AY$6&lt;=$G21,AY$6+6&gt;=$E21),1,"")</x:f>
        <x:v>1</x:v>
      </x:c>
      <x:c r="AZ21" s="167" t="n">
        <x:f>IF(AND(AZ$6&lt;=$G21,AZ$6+6&gt;=$E21),1,"")</x:f>
        <x:v>1</x:v>
      </x:c>
      <x:c r="BA21" s="167" t="n">
        <x:f>IF(AND(BA$6&lt;=$G21,BA$6+6&gt;=$E21),1,"")</x:f>
        <x:v>1</x:v>
      </x:c>
      <x:c r="BB21" s="167" t="n">
        <x:f>IF(AND(BB$6&lt;=$G21,BB$6+6&gt;=$E21),1,"")</x:f>
        <x:v>1</x:v>
      </x:c>
      <x:c r="BC21" s="167" t="n">
        <x:f>IF(AND(BC$6&lt;=$G21,BC$6+6&gt;=$E21),1,"")</x:f>
        <x:v>1</x:v>
      </x:c>
      <x:c r="BD21" s="167" t="n">
        <x:f>IF(AND(BD$6&lt;=$G21,BD$6+6&gt;=$E21),1,"")</x:f>
        <x:v>1</x:v>
      </x:c>
      <x:c r="BE21" s="167" t="str">
        <x:f>IF(AND(BE$6&lt;=$G21,BE$6+6&gt;=$E21),1,"")</x:f>
      </x:c>
      <x:c r="BF21" s="167" t="str">
        <x:f>IF(AND(BF$6&lt;=$G21,BF$6+6&gt;=$E21),1,"")</x:f>
      </x:c>
      <x:c r="BG21" s="167" t="str">
        <x:f>IF(AND(BG$6&lt;=$G21,BG$6+6&gt;=$E21),1,"")</x:f>
      </x:c>
      <x:c r="BH21" s="167" t="str">
        <x:f>IF(AND(BH$6&lt;=$G21,BH$6+6&gt;=$E21),1,"")</x:f>
      </x:c>
      <x:c r="BI21" s="167" t="str">
        <x:f>IF(AND(BI$6&lt;=$G21,BI$6+6&gt;=$E21),1,"")</x:f>
      </x:c>
      <x:c r="BJ21" s="167" t="str">
        <x:f>IF(AND(BJ$6&lt;=$G21,BJ$6+6&gt;=$E21),1,"")</x:f>
      </x:c>
      <x:c r="BK21" s="167" t="str">
        <x:f>IF(AND(BK$6&lt;=$G21,BK$6+6&gt;=$E21),1,"")</x:f>
      </x:c>
      <x:c r="BL21" s="167" t="str">
        <x:f>IF(AND(BL$6&lt;=$G21,BL$6+6&gt;=$E21),1,"")</x:f>
      </x:c>
      <x:c r="BM21" s="167" t="str">
        <x:f>IF(AND(BM$6&lt;=$G21,BM$6+6&gt;=$E21),1,"")</x:f>
      </x:c>
      <x:c r="BN21" s="168" t="str">
        <x:f>IF(AND(BN$6&lt;=$G21,BN$6+6&gt;=$E21),1,"")</x:f>
      </x:c>
    </x:row>
    <x:row r="22" ht="28" customHeight="1">
      <x:c r="A22" s="68" t="str">
        <x:f>'Phase Data'!A20</x:f>
        <x:v>R2</x:v>
      </x:c>
      <x:c r="B22" s="68" t="str">
        <x:f>'Phase Data'!B20</x:f>
        <x:v>Transfer</x:v>
      </x:c>
      <x:c r="C22" s="68" t="str">
        <x:f>'Phase Data'!C20</x:f>
        <x:v>Fixed-camera sim-to-real protocol</x:v>
      </x:c>
      <x:c r="D22" s="68" t="str">
        <x:f>'Phase Data'!D20</x:f>
        <x:v>M2</x:v>
      </x:c>
      <x:c r="E22" s="94" t="n">
        <x:f>'Phase Data'!E20</x:f>
        <x:v>46370</x:v>
      </x:c>
      <x:c r="F22" s="92" t="n">
        <x:f>'Phase Data'!F20</x:f>
        <x:v>6</x:v>
      </x:c>
      <x:c r="G22" s="94" t="n">
        <x:f>'Phase Data'!G20</x:f>
        <x:v>46411</x:v>
      </x:c>
      <x:c r="H22" s="166" t="str">
        <x:f>IF(AND(H$6&lt;=$G22,H$6+6&gt;=$E22),1,"")</x:f>
      </x:c>
      <x:c r="I22" s="167" t="str">
        <x:f>IF(AND(I$6&lt;=$G22,I$6+6&gt;=$E22),1,"")</x:f>
      </x:c>
      <x:c r="J22" s="167" t="str">
        <x:f>IF(AND(J$6&lt;=$G22,J$6+6&gt;=$E22),1,"")</x:f>
      </x:c>
      <x:c r="K22" s="167" t="str">
        <x:f>IF(AND(K$6&lt;=$G22,K$6+6&gt;=$E22),1,"")</x:f>
      </x:c>
      <x:c r="L22" s="167" t="str">
        <x:f>IF(AND(L$6&lt;=$G22,L$6+6&gt;=$E22),1,"")</x:f>
      </x:c>
      <x:c r="M22" s="167" t="str">
        <x:f>IF(AND(M$6&lt;=$G22,M$6+6&gt;=$E22),1,"")</x:f>
      </x:c>
      <x:c r="N22" s="167" t="str">
        <x:f>IF(AND(N$6&lt;=$G22,N$6+6&gt;=$E22),1,"")</x:f>
      </x:c>
      <x:c r="O22" s="167" t="str">
        <x:f>IF(AND(O$6&lt;=$G22,O$6+6&gt;=$E22),1,"")</x:f>
      </x:c>
      <x:c r="P22" s="167" t="str">
        <x:f>IF(AND(P$6&lt;=$G22,P$6+6&gt;=$E22),1,"")</x:f>
      </x:c>
      <x:c r="Q22" s="167" t="str">
        <x:f>IF(AND(Q$6&lt;=$G22,Q$6+6&gt;=$E22),1,"")</x:f>
      </x:c>
      <x:c r="R22" s="167" t="str">
        <x:f>IF(AND(R$6&lt;=$G22,R$6+6&gt;=$E22),1,"")</x:f>
      </x:c>
      <x:c r="S22" s="167" t="str">
        <x:f>IF(AND(S$6&lt;=$G22,S$6+6&gt;=$E22),1,"")</x:f>
      </x:c>
      <x:c r="T22" s="167" t="str">
        <x:f>IF(AND(T$6&lt;=$G22,T$6+6&gt;=$E22),1,"")</x:f>
      </x:c>
      <x:c r="U22" s="167" t="str">
        <x:f>IF(AND(U$6&lt;=$G22,U$6+6&gt;=$E22),1,"")</x:f>
      </x:c>
      <x:c r="V22" s="167" t="str">
        <x:f>IF(AND(V$6&lt;=$G22,V$6+6&gt;=$E22),1,"")</x:f>
      </x:c>
      <x:c r="W22" s="167" t="str">
        <x:f>IF(AND(W$6&lt;=$G22,W$6+6&gt;=$E22),1,"")</x:f>
      </x:c>
      <x:c r="X22" s="167" t="str">
        <x:f>IF(AND(X$6&lt;=$G22,X$6+6&gt;=$E22),1,"")</x:f>
      </x:c>
      <x:c r="Y22" s="167" t="str">
        <x:f>IF(AND(Y$6&lt;=$G22,Y$6+6&gt;=$E22),1,"")</x:f>
      </x:c>
      <x:c r="Z22" s="167" t="str">
        <x:f>IF(AND(Z$6&lt;=$G22,Z$6+6&gt;=$E22),1,"")</x:f>
      </x:c>
      <x:c r="AA22" s="167" t="n">
        <x:f>IF(AND(AA$6&lt;=$G22,AA$6+6&gt;=$E22),1,"")</x:f>
        <x:v>1</x:v>
      </x:c>
      <x:c r="AB22" s="167" t="n">
        <x:f>IF(AND(AB$6&lt;=$G22,AB$6+6&gt;=$E22),1,"")</x:f>
        <x:v>1</x:v>
      </x:c>
      <x:c r="AC22" s="167" t="n">
        <x:f>IF(AND(AC$6&lt;=$G22,AC$6+6&gt;=$E22),1,"")</x:f>
        <x:v>1</x:v>
      </x:c>
      <x:c r="AD22" s="167" t="n">
        <x:f>IF(AND(AD$6&lt;=$G22,AD$6+6&gt;=$E22),1,"")</x:f>
        <x:v>1</x:v>
      </x:c>
      <x:c r="AE22" s="167" t="n">
        <x:f>IF(AND(AE$6&lt;=$G22,AE$6+6&gt;=$E22),1,"")</x:f>
        <x:v>1</x:v>
      </x:c>
      <x:c r="AF22" s="167" t="n">
        <x:f>IF(AND(AF$6&lt;=$G22,AF$6+6&gt;=$E22),1,"")</x:f>
        <x:v>1</x:v>
      </x:c>
      <x:c r="AG22" s="167" t="str">
        <x:f>IF(AND(AG$6&lt;=$G22,AG$6+6&gt;=$E22),1,"")</x:f>
      </x:c>
      <x:c r="AH22" s="167" t="str">
        <x:f>IF(AND(AH$6&lt;=$G22,AH$6+6&gt;=$E22),1,"")</x:f>
      </x:c>
      <x:c r="AI22" s="167" t="str">
        <x:f>IF(AND(AI$6&lt;=$G22,AI$6+6&gt;=$E22),1,"")</x:f>
      </x:c>
      <x:c r="AJ22" s="167" t="str">
        <x:f>IF(AND(AJ$6&lt;=$G22,AJ$6+6&gt;=$E22),1,"")</x:f>
      </x:c>
      <x:c r="AK22" s="167" t="str">
        <x:f>IF(AND(AK$6&lt;=$G22,AK$6+6&gt;=$E22),1,"")</x:f>
      </x:c>
      <x:c r="AL22" s="167" t="str">
        <x:f>IF(AND(AL$6&lt;=$G22,AL$6+6&gt;=$E22),1,"")</x:f>
      </x:c>
      <x:c r="AM22" s="167" t="str">
        <x:f>IF(AND(AM$6&lt;=$G22,AM$6+6&gt;=$E22),1,"")</x:f>
      </x:c>
      <x:c r="AN22" s="167" t="str">
        <x:f>IF(AND(AN$6&lt;=$G22,AN$6+6&gt;=$E22),1,"")</x:f>
      </x:c>
      <x:c r="AO22" s="167" t="str">
        <x:f>IF(AND(AO$6&lt;=$G22,AO$6+6&gt;=$E22),1,"")</x:f>
      </x:c>
      <x:c r="AP22" s="167" t="str">
        <x:f>IF(AND(AP$6&lt;=$G22,AP$6+6&gt;=$E22),1,"")</x:f>
      </x:c>
      <x:c r="AQ22" s="167" t="str">
        <x:f>IF(AND(AQ$6&lt;=$G22,AQ$6+6&gt;=$E22),1,"")</x:f>
      </x:c>
      <x:c r="AR22" s="167" t="str">
        <x:f>IF(AND(AR$6&lt;=$G22,AR$6+6&gt;=$E22),1,"")</x:f>
      </x:c>
      <x:c r="AS22" s="167" t="str">
        <x:f>IF(AND(AS$6&lt;=$G22,AS$6+6&gt;=$E22),1,"")</x:f>
      </x:c>
      <x:c r="AT22" s="167" t="str">
        <x:f>IF(AND(AT$6&lt;=$G22,AT$6+6&gt;=$E22),1,"")</x:f>
      </x:c>
      <x:c r="AU22" s="167" t="str">
        <x:f>IF(AND(AU$6&lt;=$G22,AU$6+6&gt;=$E22),1,"")</x:f>
      </x:c>
      <x:c r="AV22" s="167" t="str">
        <x:f>IF(AND(AV$6&lt;=$G22,AV$6+6&gt;=$E22),1,"")</x:f>
      </x:c>
      <x:c r="AW22" s="167" t="str">
        <x:f>IF(AND(AW$6&lt;=$G22,AW$6+6&gt;=$E22),1,"")</x:f>
      </x:c>
      <x:c r="AX22" s="167" t="str">
        <x:f>IF(AND(AX$6&lt;=$G22,AX$6+6&gt;=$E22),1,"")</x:f>
      </x:c>
      <x:c r="AY22" s="167" t="str">
        <x:f>IF(AND(AY$6&lt;=$G22,AY$6+6&gt;=$E22),1,"")</x:f>
      </x:c>
      <x:c r="AZ22" s="167" t="str">
        <x:f>IF(AND(AZ$6&lt;=$G22,AZ$6+6&gt;=$E22),1,"")</x:f>
      </x:c>
      <x:c r="BA22" s="167" t="str">
        <x:f>IF(AND(BA$6&lt;=$G22,BA$6+6&gt;=$E22),1,"")</x:f>
      </x:c>
      <x:c r="BB22" s="167" t="str">
        <x:f>IF(AND(BB$6&lt;=$G22,BB$6+6&gt;=$E22),1,"")</x:f>
      </x:c>
      <x:c r="BC22" s="167" t="str">
        <x:f>IF(AND(BC$6&lt;=$G22,BC$6+6&gt;=$E22),1,"")</x:f>
      </x:c>
      <x:c r="BD22" s="167" t="str">
        <x:f>IF(AND(BD$6&lt;=$G22,BD$6+6&gt;=$E22),1,"")</x:f>
      </x:c>
      <x:c r="BE22" s="167" t="str">
        <x:f>IF(AND(BE$6&lt;=$G22,BE$6+6&gt;=$E22),1,"")</x:f>
      </x:c>
      <x:c r="BF22" s="167" t="str">
        <x:f>IF(AND(BF$6&lt;=$G22,BF$6+6&gt;=$E22),1,"")</x:f>
      </x:c>
      <x:c r="BG22" s="167" t="str">
        <x:f>IF(AND(BG$6&lt;=$G22,BG$6+6&gt;=$E22),1,"")</x:f>
      </x:c>
      <x:c r="BH22" s="167" t="str">
        <x:f>IF(AND(BH$6&lt;=$G22,BH$6+6&gt;=$E22),1,"")</x:f>
      </x:c>
      <x:c r="BI22" s="167" t="str">
        <x:f>IF(AND(BI$6&lt;=$G22,BI$6+6&gt;=$E22),1,"")</x:f>
      </x:c>
      <x:c r="BJ22" s="167" t="str">
        <x:f>IF(AND(BJ$6&lt;=$G22,BJ$6+6&gt;=$E22),1,"")</x:f>
      </x:c>
      <x:c r="BK22" s="167" t="str">
        <x:f>IF(AND(BK$6&lt;=$G22,BK$6+6&gt;=$E22),1,"")</x:f>
      </x:c>
      <x:c r="BL22" s="167" t="str">
        <x:f>IF(AND(BL$6&lt;=$G22,BL$6+6&gt;=$E22),1,"")</x:f>
      </x:c>
      <x:c r="BM22" s="167" t="str">
        <x:f>IF(AND(BM$6&lt;=$G22,BM$6+6&gt;=$E22),1,"")</x:f>
      </x:c>
      <x:c r="BN22" s="168" t="str">
        <x:f>IF(AND(BN$6&lt;=$G22,BN$6+6&gt;=$E22),1,"")</x:f>
      </x:c>
    </x:row>
    <x:row r="23" ht="28" customHeight="1">
      <x:c r="A23" s="68" t="str">
        <x:f>'Phase Data'!A21</x:f>
        <x:v>R3</x:v>
      </x:c>
      <x:c r="B23" s="68" t="str">
        <x:f>'Phase Data'!B21</x:f>
        <x:v>Transfer</x:v>
      </x:c>
      <x:c r="C23" s="68" t="str">
        <x:f>'Phase Data'!C21</x:f>
        <x:v>Foveated camera transfer</x:v>
      </x:c>
      <x:c r="D23" s="68" t="str">
        <x:f>'Phase Data'!D21</x:f>
        <x:v>M3</x:v>
      </x:c>
      <x:c r="E23" s="94" t="n">
        <x:f>'Phase Data'!E21</x:f>
        <x:v>46496</x:v>
      </x:c>
      <x:c r="F23" s="92" t="n">
        <x:f>'Phase Data'!F21</x:f>
        <x:v>8</x:v>
      </x:c>
      <x:c r="G23" s="94" t="n">
        <x:f>'Phase Data'!G21</x:f>
        <x:v>46551</x:v>
      </x:c>
      <x:c r="H23" s="166" t="str">
        <x:f>IF(AND(H$6&lt;=$G23,H$6+6&gt;=$E23),1,"")</x:f>
      </x:c>
      <x:c r="I23" s="167" t="str">
        <x:f>IF(AND(I$6&lt;=$G23,I$6+6&gt;=$E23),1,"")</x:f>
      </x:c>
      <x:c r="J23" s="167" t="str">
        <x:f>IF(AND(J$6&lt;=$G23,J$6+6&gt;=$E23),1,"")</x:f>
      </x:c>
      <x:c r="K23" s="167" t="str">
        <x:f>IF(AND(K$6&lt;=$G23,K$6+6&gt;=$E23),1,"")</x:f>
      </x:c>
      <x:c r="L23" s="167" t="str">
        <x:f>IF(AND(L$6&lt;=$G23,L$6+6&gt;=$E23),1,"")</x:f>
      </x:c>
      <x:c r="M23" s="167" t="str">
        <x:f>IF(AND(M$6&lt;=$G23,M$6+6&gt;=$E23),1,"")</x:f>
      </x:c>
      <x:c r="N23" s="167" t="str">
        <x:f>IF(AND(N$6&lt;=$G23,N$6+6&gt;=$E23),1,"")</x:f>
      </x:c>
      <x:c r="O23" s="167" t="str">
        <x:f>IF(AND(O$6&lt;=$G23,O$6+6&gt;=$E23),1,"")</x:f>
      </x:c>
      <x:c r="P23" s="167" t="str">
        <x:f>IF(AND(P$6&lt;=$G23,P$6+6&gt;=$E23),1,"")</x:f>
      </x:c>
      <x:c r="Q23" s="167" t="str">
        <x:f>IF(AND(Q$6&lt;=$G23,Q$6+6&gt;=$E23),1,"")</x:f>
      </x:c>
      <x:c r="R23" s="167" t="str">
        <x:f>IF(AND(R$6&lt;=$G23,R$6+6&gt;=$E23),1,"")</x:f>
      </x:c>
      <x:c r="S23" s="167" t="str">
        <x:f>IF(AND(S$6&lt;=$G23,S$6+6&gt;=$E23),1,"")</x:f>
      </x:c>
      <x:c r="T23" s="167" t="str">
        <x:f>IF(AND(T$6&lt;=$G23,T$6+6&gt;=$E23),1,"")</x:f>
      </x:c>
      <x:c r="U23" s="167" t="str">
        <x:f>IF(AND(U$6&lt;=$G23,U$6+6&gt;=$E23),1,"")</x:f>
      </x:c>
      <x:c r="V23" s="167" t="str">
        <x:f>IF(AND(V$6&lt;=$G23,V$6+6&gt;=$E23),1,"")</x:f>
      </x:c>
      <x:c r="W23" s="167" t="str">
        <x:f>IF(AND(W$6&lt;=$G23,W$6+6&gt;=$E23),1,"")</x:f>
      </x:c>
      <x:c r="X23" s="167" t="str">
        <x:f>IF(AND(X$6&lt;=$G23,X$6+6&gt;=$E23),1,"")</x:f>
      </x:c>
      <x:c r="Y23" s="167" t="str">
        <x:f>IF(AND(Y$6&lt;=$G23,Y$6+6&gt;=$E23),1,"")</x:f>
      </x:c>
      <x:c r="Z23" s="167" t="str">
        <x:f>IF(AND(Z$6&lt;=$G23,Z$6+6&gt;=$E23),1,"")</x:f>
      </x:c>
      <x:c r="AA23" s="167" t="str">
        <x:f>IF(AND(AA$6&lt;=$G23,AA$6+6&gt;=$E23),1,"")</x:f>
      </x:c>
      <x:c r="AB23" s="167" t="str">
        <x:f>IF(AND(AB$6&lt;=$G23,AB$6+6&gt;=$E23),1,"")</x:f>
      </x:c>
      <x:c r="AC23" s="167" t="str">
        <x:f>IF(AND(AC$6&lt;=$G23,AC$6+6&gt;=$E23),1,"")</x:f>
      </x:c>
      <x:c r="AD23" s="167" t="str">
        <x:f>IF(AND(AD$6&lt;=$G23,AD$6+6&gt;=$E23),1,"")</x:f>
      </x:c>
      <x:c r="AE23" s="167" t="str">
        <x:f>IF(AND(AE$6&lt;=$G23,AE$6+6&gt;=$E23),1,"")</x:f>
      </x:c>
      <x:c r="AF23" s="167" t="str">
        <x:f>IF(AND(AF$6&lt;=$G23,AF$6+6&gt;=$E23),1,"")</x:f>
      </x:c>
      <x:c r="AG23" s="167" t="str">
        <x:f>IF(AND(AG$6&lt;=$G23,AG$6+6&gt;=$E23),1,"")</x:f>
      </x:c>
      <x:c r="AH23" s="167" t="str">
        <x:f>IF(AND(AH$6&lt;=$G23,AH$6+6&gt;=$E23),1,"")</x:f>
      </x:c>
      <x:c r="AI23" s="167" t="str">
        <x:f>IF(AND(AI$6&lt;=$G23,AI$6+6&gt;=$E23),1,"")</x:f>
      </x:c>
      <x:c r="AJ23" s="167" t="str">
        <x:f>IF(AND(AJ$6&lt;=$G23,AJ$6+6&gt;=$E23),1,"")</x:f>
      </x:c>
      <x:c r="AK23" s="167" t="str">
        <x:f>IF(AND(AK$6&lt;=$G23,AK$6+6&gt;=$E23),1,"")</x:f>
      </x:c>
      <x:c r="AL23" s="167" t="str">
        <x:f>IF(AND(AL$6&lt;=$G23,AL$6+6&gt;=$E23),1,"")</x:f>
      </x:c>
      <x:c r="AM23" s="167" t="str">
        <x:f>IF(AND(AM$6&lt;=$G23,AM$6+6&gt;=$E23),1,"")</x:f>
      </x:c>
      <x:c r="AN23" s="167" t="str">
        <x:f>IF(AND(AN$6&lt;=$G23,AN$6+6&gt;=$E23),1,"")</x:f>
      </x:c>
      <x:c r="AO23" s="167" t="str">
        <x:f>IF(AND(AO$6&lt;=$G23,AO$6+6&gt;=$E23),1,"")</x:f>
      </x:c>
      <x:c r="AP23" s="167" t="str">
        <x:f>IF(AND(AP$6&lt;=$G23,AP$6+6&gt;=$E23),1,"")</x:f>
      </x:c>
      <x:c r="AQ23" s="167" t="str">
        <x:f>IF(AND(AQ$6&lt;=$G23,AQ$6+6&gt;=$E23),1,"")</x:f>
      </x:c>
      <x:c r="AR23" s="167" t="str">
        <x:f>IF(AND(AR$6&lt;=$G23,AR$6+6&gt;=$E23),1,"")</x:f>
      </x:c>
      <x:c r="AS23" s="167" t="n">
        <x:f>IF(AND(AS$6&lt;=$G23,AS$6+6&gt;=$E23),1,"")</x:f>
        <x:v>1</x:v>
      </x:c>
      <x:c r="AT23" s="167" t="n">
        <x:f>IF(AND(AT$6&lt;=$G23,AT$6+6&gt;=$E23),1,"")</x:f>
        <x:v>1</x:v>
      </x:c>
      <x:c r="AU23" s="167" t="n">
        <x:f>IF(AND(AU$6&lt;=$G23,AU$6+6&gt;=$E23),1,"")</x:f>
        <x:v>1</x:v>
      </x:c>
      <x:c r="AV23" s="167" t="n">
        <x:f>IF(AND(AV$6&lt;=$G23,AV$6+6&gt;=$E23),1,"")</x:f>
        <x:v>1</x:v>
      </x:c>
      <x:c r="AW23" s="167" t="n">
        <x:f>IF(AND(AW$6&lt;=$G23,AW$6+6&gt;=$E23),1,"")</x:f>
        <x:v>1</x:v>
      </x:c>
      <x:c r="AX23" s="167" t="n">
        <x:f>IF(AND(AX$6&lt;=$G23,AX$6+6&gt;=$E23),1,"")</x:f>
        <x:v>1</x:v>
      </x:c>
      <x:c r="AY23" s="167" t="n">
        <x:f>IF(AND(AY$6&lt;=$G23,AY$6+6&gt;=$E23),1,"")</x:f>
        <x:v>1</x:v>
      </x:c>
      <x:c r="AZ23" s="167" t="n">
        <x:f>IF(AND(AZ$6&lt;=$G23,AZ$6+6&gt;=$E23),1,"")</x:f>
        <x:v>1</x:v>
      </x:c>
      <x:c r="BA23" s="167" t="str">
        <x:f>IF(AND(BA$6&lt;=$G23,BA$6+6&gt;=$E23),1,"")</x:f>
      </x:c>
      <x:c r="BB23" s="167" t="str">
        <x:f>IF(AND(BB$6&lt;=$G23,BB$6+6&gt;=$E23),1,"")</x:f>
      </x:c>
      <x:c r="BC23" s="167" t="str">
        <x:f>IF(AND(BC$6&lt;=$G23,BC$6+6&gt;=$E23),1,"")</x:f>
      </x:c>
      <x:c r="BD23" s="167" t="str">
        <x:f>IF(AND(BD$6&lt;=$G23,BD$6+6&gt;=$E23),1,"")</x:f>
      </x:c>
      <x:c r="BE23" s="167" t="str">
        <x:f>IF(AND(BE$6&lt;=$G23,BE$6+6&gt;=$E23),1,"")</x:f>
      </x:c>
      <x:c r="BF23" s="167" t="str">
        <x:f>IF(AND(BF$6&lt;=$G23,BF$6+6&gt;=$E23),1,"")</x:f>
      </x:c>
      <x:c r="BG23" s="167" t="str">
        <x:f>IF(AND(BG$6&lt;=$G23,BG$6+6&gt;=$E23),1,"")</x:f>
      </x:c>
      <x:c r="BH23" s="167" t="str">
        <x:f>IF(AND(BH$6&lt;=$G23,BH$6+6&gt;=$E23),1,"")</x:f>
      </x:c>
      <x:c r="BI23" s="167" t="str">
        <x:f>IF(AND(BI$6&lt;=$G23,BI$6+6&gt;=$E23),1,"")</x:f>
      </x:c>
      <x:c r="BJ23" s="167" t="str">
        <x:f>IF(AND(BJ$6&lt;=$G23,BJ$6+6&gt;=$E23),1,"")</x:f>
      </x:c>
      <x:c r="BK23" s="167" t="str">
        <x:f>IF(AND(BK$6&lt;=$G23,BK$6+6&gt;=$E23),1,"")</x:f>
      </x:c>
      <x:c r="BL23" s="167" t="str">
        <x:f>IF(AND(BL$6&lt;=$G23,BL$6+6&gt;=$E23),1,"")</x:f>
      </x:c>
      <x:c r="BM23" s="167" t="str">
        <x:f>IF(AND(BM$6&lt;=$G23,BM$6+6&gt;=$E23),1,"")</x:f>
      </x:c>
      <x:c r="BN23" s="168" t="str">
        <x:f>IF(AND(BN$6&lt;=$G23,BN$6+6&gt;=$E23),1,"")</x:f>
      </x:c>
    </x:row>
    <x:row r="24" ht="28" customHeight="1">
      <x:c r="A24" s="68" t="str">
        <x:f>'Phase Data'!A22</x:f>
        <x:v>R4</x:v>
      </x:c>
      <x:c r="B24" s="68" t="str">
        <x:f>'Phase Data'!B22</x:f>
        <x:v>Transfer</x:v>
      </x:c>
      <x:c r="C24" s="68" t="str">
        <x:f>'Phase Data'!C22</x:f>
        <x:v>Hardware research runs</x:v>
      </x:c>
      <x:c r="D24" s="68" t="str">
        <x:f>'Phase Data'!D22</x:f>
        <x:v>M7-B</x:v>
      </x:c>
      <x:c r="E24" s="94" t="n">
        <x:f>'Phase Data'!E22</x:f>
        <x:v>46580</x:v>
      </x:c>
      <x:c r="F24" s="92" t="n">
        <x:f>'Phase Data'!F22</x:f>
        <x:v>10</x:v>
      </x:c>
      <x:c r="G24" s="94" t="n">
        <x:f>'Phase Data'!G22</x:f>
        <x:v>46649</x:v>
      </x:c>
      <x:c r="H24" s="169" t="str">
        <x:f>IF(AND(H$6&lt;=$G24,H$6+6&gt;=$E24),1,"")</x:f>
      </x:c>
      <x:c r="I24" s="170" t="str">
        <x:f>IF(AND(I$6&lt;=$G24,I$6+6&gt;=$E24),1,"")</x:f>
      </x:c>
      <x:c r="J24" s="170" t="str">
        <x:f>IF(AND(J$6&lt;=$G24,J$6+6&gt;=$E24),1,"")</x:f>
      </x:c>
      <x:c r="K24" s="170" t="str">
        <x:f>IF(AND(K$6&lt;=$G24,K$6+6&gt;=$E24),1,"")</x:f>
      </x:c>
      <x:c r="L24" s="170" t="str">
        <x:f>IF(AND(L$6&lt;=$G24,L$6+6&gt;=$E24),1,"")</x:f>
      </x:c>
      <x:c r="M24" s="170" t="str">
        <x:f>IF(AND(M$6&lt;=$G24,M$6+6&gt;=$E24),1,"")</x:f>
      </x:c>
      <x:c r="N24" s="170" t="str">
        <x:f>IF(AND(N$6&lt;=$G24,N$6+6&gt;=$E24),1,"")</x:f>
      </x:c>
      <x:c r="O24" s="170" t="str">
        <x:f>IF(AND(O$6&lt;=$G24,O$6+6&gt;=$E24),1,"")</x:f>
      </x:c>
      <x:c r="P24" s="170" t="str">
        <x:f>IF(AND(P$6&lt;=$G24,P$6+6&gt;=$E24),1,"")</x:f>
      </x:c>
      <x:c r="Q24" s="170" t="str">
        <x:f>IF(AND(Q$6&lt;=$G24,Q$6+6&gt;=$E24),1,"")</x:f>
      </x:c>
      <x:c r="R24" s="170" t="str">
        <x:f>IF(AND(R$6&lt;=$G24,R$6+6&gt;=$E24),1,"")</x:f>
      </x:c>
      <x:c r="S24" s="170" t="str">
        <x:f>IF(AND(S$6&lt;=$G24,S$6+6&gt;=$E24),1,"")</x:f>
      </x:c>
      <x:c r="T24" s="170" t="str">
        <x:f>IF(AND(T$6&lt;=$G24,T$6+6&gt;=$E24),1,"")</x:f>
      </x:c>
      <x:c r="U24" s="170" t="str">
        <x:f>IF(AND(U$6&lt;=$G24,U$6+6&gt;=$E24),1,"")</x:f>
      </x:c>
      <x:c r="V24" s="170" t="str">
        <x:f>IF(AND(V$6&lt;=$G24,V$6+6&gt;=$E24),1,"")</x:f>
      </x:c>
      <x:c r="W24" s="170" t="str">
        <x:f>IF(AND(W$6&lt;=$G24,W$6+6&gt;=$E24),1,"")</x:f>
      </x:c>
      <x:c r="X24" s="170" t="str">
        <x:f>IF(AND(X$6&lt;=$G24,X$6+6&gt;=$E24),1,"")</x:f>
      </x:c>
      <x:c r="Y24" s="170" t="str">
        <x:f>IF(AND(Y$6&lt;=$G24,Y$6+6&gt;=$E24),1,"")</x:f>
      </x:c>
      <x:c r="Z24" s="170" t="str">
        <x:f>IF(AND(Z$6&lt;=$G24,Z$6+6&gt;=$E24),1,"")</x:f>
      </x:c>
      <x:c r="AA24" s="170" t="str">
        <x:f>IF(AND(AA$6&lt;=$G24,AA$6+6&gt;=$E24),1,"")</x:f>
      </x:c>
      <x:c r="AB24" s="170" t="str">
        <x:f>IF(AND(AB$6&lt;=$G24,AB$6+6&gt;=$E24),1,"")</x:f>
      </x:c>
      <x:c r="AC24" s="170" t="str">
        <x:f>IF(AND(AC$6&lt;=$G24,AC$6+6&gt;=$E24),1,"")</x:f>
      </x:c>
      <x:c r="AD24" s="170" t="str">
        <x:f>IF(AND(AD$6&lt;=$G24,AD$6+6&gt;=$E24),1,"")</x:f>
      </x:c>
      <x:c r="AE24" s="170" t="str">
        <x:f>IF(AND(AE$6&lt;=$G24,AE$6+6&gt;=$E24),1,"")</x:f>
      </x:c>
      <x:c r="AF24" s="170" t="str">
        <x:f>IF(AND(AF$6&lt;=$G24,AF$6+6&gt;=$E24),1,"")</x:f>
      </x:c>
      <x:c r="AG24" s="170" t="str">
        <x:f>IF(AND(AG$6&lt;=$G24,AG$6+6&gt;=$E24),1,"")</x:f>
      </x:c>
      <x:c r="AH24" s="170" t="str">
        <x:f>IF(AND(AH$6&lt;=$G24,AH$6+6&gt;=$E24),1,"")</x:f>
      </x:c>
      <x:c r="AI24" s="170" t="str">
        <x:f>IF(AND(AI$6&lt;=$G24,AI$6+6&gt;=$E24),1,"")</x:f>
      </x:c>
      <x:c r="AJ24" s="170" t="str">
        <x:f>IF(AND(AJ$6&lt;=$G24,AJ$6+6&gt;=$E24),1,"")</x:f>
      </x:c>
      <x:c r="AK24" s="170" t="str">
        <x:f>IF(AND(AK$6&lt;=$G24,AK$6+6&gt;=$E24),1,"")</x:f>
      </x:c>
      <x:c r="AL24" s="170" t="str">
        <x:f>IF(AND(AL$6&lt;=$G24,AL$6+6&gt;=$E24),1,"")</x:f>
      </x:c>
      <x:c r="AM24" s="170" t="str">
        <x:f>IF(AND(AM$6&lt;=$G24,AM$6+6&gt;=$E24),1,"")</x:f>
      </x:c>
      <x:c r="AN24" s="170" t="str">
        <x:f>IF(AND(AN$6&lt;=$G24,AN$6+6&gt;=$E24),1,"")</x:f>
      </x:c>
      <x:c r="AO24" s="170" t="str">
        <x:f>IF(AND(AO$6&lt;=$G24,AO$6+6&gt;=$E24),1,"")</x:f>
      </x:c>
      <x:c r="AP24" s="170" t="str">
        <x:f>IF(AND(AP$6&lt;=$G24,AP$6+6&gt;=$E24),1,"")</x:f>
      </x:c>
      <x:c r="AQ24" s="170" t="str">
        <x:f>IF(AND(AQ$6&lt;=$G24,AQ$6+6&gt;=$E24),1,"")</x:f>
      </x:c>
      <x:c r="AR24" s="170" t="str">
        <x:f>IF(AND(AR$6&lt;=$G24,AR$6+6&gt;=$E24),1,"")</x:f>
      </x:c>
      <x:c r="AS24" s="170" t="str">
        <x:f>IF(AND(AS$6&lt;=$G24,AS$6+6&gt;=$E24),1,"")</x:f>
      </x:c>
      <x:c r="AT24" s="170" t="str">
        <x:f>IF(AND(AT$6&lt;=$G24,AT$6+6&gt;=$E24),1,"")</x:f>
      </x:c>
      <x:c r="AU24" s="170" t="str">
        <x:f>IF(AND(AU$6&lt;=$G24,AU$6+6&gt;=$E24),1,"")</x:f>
      </x:c>
      <x:c r="AV24" s="170" t="str">
        <x:f>IF(AND(AV$6&lt;=$G24,AV$6+6&gt;=$E24),1,"")</x:f>
      </x:c>
      <x:c r="AW24" s="170" t="str">
        <x:f>IF(AND(AW$6&lt;=$G24,AW$6+6&gt;=$E24),1,"")</x:f>
      </x:c>
      <x:c r="AX24" s="170" t="str">
        <x:f>IF(AND(AX$6&lt;=$G24,AX$6+6&gt;=$E24),1,"")</x:f>
      </x:c>
      <x:c r="AY24" s="170" t="str">
        <x:f>IF(AND(AY$6&lt;=$G24,AY$6+6&gt;=$E24),1,"")</x:f>
      </x:c>
      <x:c r="AZ24" s="170" t="str">
        <x:f>IF(AND(AZ$6&lt;=$G24,AZ$6+6&gt;=$E24),1,"")</x:f>
      </x:c>
      <x:c r="BA24" s="170" t="str">
        <x:f>IF(AND(BA$6&lt;=$G24,BA$6+6&gt;=$E24),1,"")</x:f>
      </x:c>
      <x:c r="BB24" s="170" t="str">
        <x:f>IF(AND(BB$6&lt;=$G24,BB$6+6&gt;=$E24),1,"")</x:f>
      </x:c>
      <x:c r="BC24" s="170" t="str">
        <x:f>IF(AND(BC$6&lt;=$G24,BC$6+6&gt;=$E24),1,"")</x:f>
      </x:c>
      <x:c r="BD24" s="170" t="str">
        <x:f>IF(AND(BD$6&lt;=$G24,BD$6+6&gt;=$E24),1,"")</x:f>
      </x:c>
      <x:c r="BE24" s="170" t="n">
        <x:f>IF(AND(BE$6&lt;=$G24,BE$6+6&gt;=$E24),1,"")</x:f>
        <x:v>1</x:v>
      </x:c>
      <x:c r="BF24" s="170" t="n">
        <x:f>IF(AND(BF$6&lt;=$G24,BF$6+6&gt;=$E24),1,"")</x:f>
        <x:v>1</x:v>
      </x:c>
      <x:c r="BG24" s="170" t="n">
        <x:f>IF(AND(BG$6&lt;=$G24,BG$6+6&gt;=$E24),1,"")</x:f>
        <x:v>1</x:v>
      </x:c>
      <x:c r="BH24" s="170" t="n">
        <x:f>IF(AND(BH$6&lt;=$G24,BH$6+6&gt;=$E24),1,"")</x:f>
        <x:v>1</x:v>
      </x:c>
      <x:c r="BI24" s="170" t="n">
        <x:f>IF(AND(BI$6&lt;=$G24,BI$6+6&gt;=$E24),1,"")</x:f>
        <x:v>1</x:v>
      </x:c>
      <x:c r="BJ24" s="170" t="n">
        <x:f>IF(AND(BJ$6&lt;=$G24,BJ$6+6&gt;=$E24),1,"")</x:f>
        <x:v>1</x:v>
      </x:c>
      <x:c r="BK24" s="170" t="n">
        <x:f>IF(AND(BK$6&lt;=$G24,BK$6+6&gt;=$E24),1,"")</x:f>
        <x:v>1</x:v>
      </x:c>
      <x:c r="BL24" s="170" t="n">
        <x:f>IF(AND(BL$6&lt;=$G24,BL$6+6&gt;=$E24),1,"")</x:f>
        <x:v>1</x:v>
      </x:c>
      <x:c r="BM24" s="170" t="n">
        <x:f>IF(AND(BM$6&lt;=$G24,BM$6+6&gt;=$E24),1,"")</x:f>
        <x:v>1</x:v>
      </x:c>
      <x:c r="BN24" s="171" t="n">
        <x:f>IF(AND(BN$6&lt;=$G24,BN$6+6&gt;=$E24),1,"")</x:f>
        <x:v>1</x:v>
      </x:c>
    </x:row>
  </x:sheetData>
  <x:mergeCells>
    <x:mergeCell ref="A1:BN1"/>
    <x:mergeCell ref="A2:BN2"/>
    <x:mergeCell ref="A4:A6"/>
    <x:mergeCell ref="B4:B6"/>
    <x:mergeCell ref="C4:C6"/>
    <x:mergeCell ref="D4:D6"/>
    <x:mergeCell ref="E4:E6"/>
    <x:mergeCell ref="F4:F6"/>
    <x:mergeCell ref="G4:G6"/>
    <x:mergeCell ref="H4:L4"/>
    <x:mergeCell ref="M4:P4"/>
    <x:mergeCell ref="Q4:T4"/>
    <x:mergeCell ref="U4:Y4"/>
    <x:mergeCell ref="Z4:AC4"/>
    <x:mergeCell ref="AD4:AG4"/>
    <x:mergeCell ref="AH4:AK4"/>
    <x:mergeCell ref="AL4:AP4"/>
    <x:mergeCell ref="AQ4:AT4"/>
    <x:mergeCell ref="AU4:AY4"/>
    <x:mergeCell ref="AZ4:BC4"/>
    <x:mergeCell ref="BD4:BG4"/>
    <x:mergeCell ref="BH4:BL4"/>
    <x:mergeCell ref="BM4:BN4"/>
    <x:mergeCell ref="H5:BN5"/>
  </x:mergeCells>
  <x:conditionalFormatting sqref="H7:BN7">
    <x:cfRule type="cellIs" dxfId="318" priority="1" operator="equal">
      <x:formula>1</x:formula>
    </x:cfRule>
  </x:conditionalFormatting>
  <x:conditionalFormatting sqref="H8:BN8">
    <x:cfRule type="cellIs" dxfId="319" priority="2" operator="equal">
      <x:formula>1</x:formula>
    </x:cfRule>
  </x:conditionalFormatting>
  <x:conditionalFormatting sqref="H9:BN9">
    <x:cfRule type="cellIs" dxfId="320" priority="3" operator="equal">
      <x:formula>1</x:formula>
    </x:cfRule>
  </x:conditionalFormatting>
  <x:conditionalFormatting sqref="H10:BN10">
    <x:cfRule type="cellIs" dxfId="321" priority="4" operator="equal">
      <x:formula>1</x:formula>
    </x:cfRule>
  </x:conditionalFormatting>
  <x:conditionalFormatting sqref="H11:BN11">
    <x:cfRule type="cellIs" dxfId="322" priority="5" operator="equal">
      <x:formula>1</x:formula>
    </x:cfRule>
  </x:conditionalFormatting>
  <x:conditionalFormatting sqref="H12:BN12">
    <x:cfRule type="cellIs" dxfId="323" priority="6" operator="equal">
      <x:formula>1</x:formula>
    </x:cfRule>
  </x:conditionalFormatting>
  <x:conditionalFormatting sqref="H13:BN13">
    <x:cfRule type="cellIs" dxfId="324" priority="7" operator="equal">
      <x:formula>1</x:formula>
    </x:cfRule>
  </x:conditionalFormatting>
  <x:conditionalFormatting sqref="H14:BN14">
    <x:cfRule type="cellIs" dxfId="325" priority="8" operator="equal">
      <x:formula>1</x:formula>
    </x:cfRule>
  </x:conditionalFormatting>
  <x:conditionalFormatting sqref="H15:BN15">
    <x:cfRule type="cellIs" dxfId="326" priority="9" operator="equal">
      <x:formula>1</x:formula>
    </x:cfRule>
  </x:conditionalFormatting>
  <x:conditionalFormatting sqref="H16:BN16">
    <x:cfRule type="cellIs" dxfId="327" priority="10" operator="equal">
      <x:formula>1</x:formula>
    </x:cfRule>
  </x:conditionalFormatting>
  <x:conditionalFormatting sqref="H17:BN17">
    <x:cfRule type="cellIs" dxfId="328" priority="11" operator="equal">
      <x:formula>1</x:formula>
    </x:cfRule>
  </x:conditionalFormatting>
  <x:conditionalFormatting sqref="H18:BN18">
    <x:cfRule type="cellIs" dxfId="329" priority="12" operator="equal">
      <x:formula>1</x:formula>
    </x:cfRule>
  </x:conditionalFormatting>
  <x:conditionalFormatting sqref="H19:BN19">
    <x:cfRule type="cellIs" dxfId="330" priority="13" operator="equal">
      <x:formula>1</x:formula>
    </x:cfRule>
  </x:conditionalFormatting>
  <x:conditionalFormatting sqref="H20:BN20">
    <x:cfRule type="cellIs" dxfId="331" priority="14" operator="equal">
      <x:formula>1</x:formula>
    </x:cfRule>
  </x:conditionalFormatting>
  <x:conditionalFormatting sqref="H21:BN21">
    <x:cfRule type="cellIs" dxfId="332" priority="15" operator="equal">
      <x:formula>1</x:formula>
    </x:cfRule>
  </x:conditionalFormatting>
  <x:conditionalFormatting sqref="H22:BN22">
    <x:cfRule type="cellIs" dxfId="333" priority="16" operator="equal">
      <x:formula>1</x:formula>
    </x:cfRule>
  </x:conditionalFormatting>
  <x:conditionalFormatting sqref="H23:BN23">
    <x:cfRule type="cellIs" dxfId="334" priority="17" operator="equal">
      <x:formula>1</x:formula>
    </x:cfRule>
  </x:conditionalFormatting>
  <x:conditionalFormatting sqref="H24:BN24">
    <x:cfRule type="cellIs" dxfId="335" priority="18" operator="equal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4" hidden="0" customWidth="1"/>
    <x:col min="4" max="4" width="40" hidden="0" customWidth="1"/>
    <x:col min="5" max="5" width="24" hidden="0" customWidth="1"/>
    <x:col min="6" max="6" width="11" hidden="0" customWidth="1"/>
    <x:col min="7" max="7" width="13" hidden="0" customWidth="1"/>
    <x:col min="8" max="8" width="13" hidden="0" customWidth="1"/>
    <x:col min="9" max="9" width="4.599999904632568" hidden="0" customWidth="1"/>
    <x:col min="10" max="10" width="4.599999904632568" hidden="0" customWidth="1"/>
    <x:col min="11" max="11" width="4.599999904632568" hidden="0" customWidth="1"/>
    <x:col min="12" max="12" width="4.599999904632568" hidden="0" customWidth="1"/>
    <x:col min="13" max="13" width="4.599999904632568" hidden="0" customWidth="1"/>
    <x:col min="14" max="14" width="4.599999904632568" hidden="0" customWidth="1"/>
    <x:col min="15" max="15" width="4.599999904632568" hidden="0" customWidth="1"/>
    <x:col min="16" max="16" width="4.599999904632568" hidden="0" customWidth="1"/>
    <x:col min="17" max="17" width="4.599999904632568" hidden="0" customWidth="1"/>
    <x:col min="18" max="18" width="4.599999904632568" hidden="0" customWidth="1"/>
    <x:col min="19" max="19" width="4.599999904632568" hidden="0" customWidth="1"/>
    <x:col min="20" max="20" width="4.599999904632568" hidden="0" customWidth="1"/>
    <x:col min="21" max="21" width="4.599999904632568" hidden="0" customWidth="1"/>
    <x:col min="22" max="22" width="4.599999904632568" hidden="0" customWidth="1"/>
    <x:col min="23" max="23" width="4.599999904632568" hidden="0" customWidth="1"/>
    <x:col min="24" max="24" width="4.599999904632568" hidden="0" customWidth="1"/>
    <x:col min="25" max="25" width="4.599999904632568" hidden="0" customWidth="1"/>
    <x:col min="26" max="26" width="4.599999904632568" hidden="0" customWidth="1"/>
    <x:col min="27" max="27" width="4.599999904632568" hidden="0" customWidth="1"/>
    <x:col min="28" max="28" width="4.599999904632568" hidden="0" customWidth="1"/>
    <x:col min="29" max="29" width="4.599999904632568" hidden="0" customWidth="1"/>
    <x:col min="30" max="30" width="4.599999904632568" hidden="0" customWidth="1"/>
    <x:col min="31" max="31" width="4.599999904632568" hidden="0" customWidth="1"/>
    <x:col min="32" max="32" width="4.599999904632568" hidden="0" customWidth="1"/>
    <x:col min="33" max="33" width="4.599999904632568" hidden="0" customWidth="1"/>
    <x:col min="34" max="34" width="4.599999904632568" hidden="0" customWidth="1"/>
    <x:col min="35" max="35" width="4.599999904632568" hidden="0" customWidth="1"/>
    <x:col min="36" max="36" width="4.599999904632568" hidden="0" customWidth="1"/>
    <x:col min="37" max="37" width="4.599999904632568" hidden="0" customWidth="1"/>
    <x:col min="38" max="38" width="4.599999904632568" hidden="0" customWidth="1"/>
    <x:col min="39" max="39" width="4.599999904632568" hidden="0" customWidth="1"/>
    <x:col min="40" max="40" width="4.599999904632568" hidden="0" customWidth="1"/>
    <x:col min="41" max="41" width="4.599999904632568" hidden="0" customWidth="1"/>
    <x:col min="42" max="42" width="4.599999904632568" hidden="0" customWidth="1"/>
    <x:col min="43" max="43" width="4.599999904632568" hidden="0" customWidth="1"/>
    <x:col min="44" max="44" width="4.599999904632568" hidden="0" customWidth="1"/>
    <x:col min="45" max="45" width="4.599999904632568" hidden="0" customWidth="1"/>
    <x:col min="46" max="46" width="4.599999904632568" hidden="0" customWidth="1"/>
    <x:col min="47" max="47" width="4.599999904632568" hidden="0" customWidth="1"/>
    <x:col min="48" max="48" width="4.599999904632568" hidden="0" customWidth="1"/>
    <x:col min="49" max="49" width="4.599999904632568" hidden="0" customWidth="1"/>
    <x:col min="50" max="50" width="4.599999904632568" hidden="0" customWidth="1"/>
    <x:col min="51" max="51" width="4.599999904632568" hidden="0" customWidth="1"/>
    <x:col min="52" max="52" width="4.599999904632568" hidden="0" customWidth="1"/>
    <x:col min="53" max="53" width="4.599999904632568" hidden="0" customWidth="1"/>
    <x:col min="54" max="54" width="4.599999904632568" hidden="0" customWidth="1"/>
    <x:col min="55" max="55" width="4.599999904632568" hidden="0" customWidth="1"/>
    <x:col min="56" max="56" width="4.599999904632568" hidden="0" customWidth="1"/>
    <x:col min="57" max="57" width="4.599999904632568" hidden="0" customWidth="1"/>
    <x:col min="58" max="58" width="4.599999904632568" hidden="0" customWidth="1"/>
    <x:col min="59" max="59" width="4.599999904632568" hidden="0" customWidth="1"/>
    <x:col min="60" max="60" width="4.599999904632568" hidden="0" customWidth="1"/>
    <x:col min="61" max="61" width="4.599999904632568" hidden="0" customWidth="1"/>
    <x:col min="62" max="62" width="4.599999904632568" hidden="0" customWidth="1"/>
    <x:col min="63" max="63" width="4.599999904632568" hidden="0" customWidth="1"/>
    <x:col min="64" max="64" width="4.599999904632568" hidden="0" customWidth="1"/>
    <x:col min="65" max="65" width="4.599999904632568" hidden="0" customWidth="1"/>
    <x:col min="66" max="66" width="4.599999904632568" hidden="0" customWidth="1"/>
    <x:col min="67" max="67" width="4.599999904632568" hidden="0" customWidth="1"/>
  </x:cols>
  <x:sheetData>
    <x:row r="1" ht="34" customHeight="1">
      <x:c r="A1" s="3" t="str">
        <x:v>Complete Project Task Gantt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</x:row>
    <x:row r="2" ht="30" customHeight="1">
      <x:c r="A2" s="6" t="str">
        <x:v>Consolidated task view. Overlapping bars are gate-dependent interleaving envelopes for one investigator.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</x:row>
    <x:row r="4">
      <x:c r="A4" s="121" t="str">
        <x:v>ID</x:v>
      </x:c>
      <x:c r="B4" s="122" t="str">
        <x:v>Milestone</x:v>
      </x:c>
      <x:c r="C4" s="122" t="str">
        <x:v>Track</x:v>
      </x:c>
      <x:c r="D4" s="122" t="str">
        <x:v>Task</x:v>
      </x:c>
      <x:c r="E4" s="122" t="str">
        <x:v>Dependencies</x:v>
      </x:c>
      <x:c r="F4" s="122" t="str">
        <x:v>Status</x:v>
      </x:c>
      <x:c r="G4" s="122" t="str">
        <x:v>Start</x:v>
      </x:c>
      <x:c r="H4" s="123" t="str">
        <x:v>Finish</x:v>
      </x:c>
      <x:c r="I4" s="133" t="str">
        <x:v>Aug 2026</x:v>
      </x:c>
      <x:c r="J4" s="134"/>
      <x:c r="K4" s="134"/>
      <x:c r="L4" s="134"/>
      <x:c r="M4" s="135"/>
      <x:c r="N4" s="133" t="str">
        <x:v>Sep 2026</x:v>
      </x:c>
      <x:c r="O4" s="134"/>
      <x:c r="P4" s="134"/>
      <x:c r="Q4" s="135"/>
      <x:c r="R4" s="133" t="str">
        <x:v>Oct 2026</x:v>
      </x:c>
      <x:c r="S4" s="134"/>
      <x:c r="T4" s="134"/>
      <x:c r="U4" s="135"/>
      <x:c r="V4" s="144" t="str">
        <x:v>Nov 2026</x:v>
      </x:c>
      <x:c r="W4" s="145"/>
      <x:c r="X4" s="145"/>
      <x:c r="Y4" s="145"/>
      <x:c r="Z4" s="146"/>
      <x:c r="AA4" s="144" t="str">
        <x:v>Dec 2026</x:v>
      </x:c>
      <x:c r="AB4" s="145"/>
      <x:c r="AC4" s="145"/>
      <x:c r="AD4" s="146"/>
      <x:c r="AE4" s="144" t="str">
        <x:v>Jan 2027</x:v>
      </x:c>
      <x:c r="AF4" s="145"/>
      <x:c r="AG4" s="145"/>
      <x:c r="AH4" s="146"/>
      <x:c r="AI4" s="144" t="str">
        <x:v>Feb 2027</x:v>
      </x:c>
      <x:c r="AJ4" s="145"/>
      <x:c r="AK4" s="145"/>
      <x:c r="AL4" s="146"/>
      <x:c r="AM4" s="133" t="str">
        <x:v>Mar 2027</x:v>
      </x:c>
      <x:c r="AN4" s="134"/>
      <x:c r="AO4" s="134"/>
      <x:c r="AP4" s="134"/>
      <x:c r="AQ4" s="135"/>
      <x:c r="AR4" s="133" t="str">
        <x:v>Apr 2027</x:v>
      </x:c>
      <x:c r="AS4" s="134"/>
      <x:c r="AT4" s="134"/>
      <x:c r="AU4" s="135"/>
      <x:c r="AV4" s="144" t="str">
        <x:v>May 2027</x:v>
      </x:c>
      <x:c r="AW4" s="145"/>
      <x:c r="AX4" s="145"/>
      <x:c r="AY4" s="145"/>
      <x:c r="AZ4" s="146"/>
      <x:c r="BA4" s="144" t="str">
        <x:v>Jun 2027</x:v>
      </x:c>
      <x:c r="BB4" s="145"/>
      <x:c r="BC4" s="145"/>
      <x:c r="BD4" s="146"/>
      <x:c r="BE4" s="144" t="str">
        <x:v>Jul 2027</x:v>
      </x:c>
      <x:c r="BF4" s="145"/>
      <x:c r="BG4" s="145"/>
      <x:c r="BH4" s="146"/>
      <x:c r="BI4" s="133" t="str">
        <x:v>Aug 2027</x:v>
      </x:c>
      <x:c r="BJ4" s="134"/>
      <x:c r="BK4" s="134"/>
      <x:c r="BL4" s="134"/>
      <x:c r="BM4" s="135"/>
      <x:c r="BN4" s="133" t="str">
        <x:v>Sep 2027</x:v>
      </x:c>
      <x:c r="BO4" s="135"/>
    </x:row>
    <x:row r="5">
      <x:c r="A5" s="124"/>
      <x:c r="B5" s="125"/>
      <x:c r="C5" s="125"/>
      <x:c r="D5" s="125"/>
      <x:c r="E5" s="125"/>
      <x:c r="F5" s="125"/>
      <x:c r="G5" s="125"/>
      <x:c r="H5" s="126"/>
      <x:c r="I5" s="148" t="str">
        <x:v>Week commencing</x:v>
      </x:c>
      <x:c r="J5" s="148"/>
      <x:c r="K5" s="148"/>
      <x:c r="L5" s="148"/>
      <x:c r="M5" s="148"/>
      <x:c r="N5" s="148"/>
      <x:c r="O5" s="148"/>
      <x:c r="P5" s="148"/>
      <x:c r="Q5" s="148"/>
      <x:c r="R5" s="148"/>
      <x:c r="S5" s="148"/>
      <x:c r="T5" s="148"/>
      <x:c r="U5" s="148"/>
      <x:c r="V5" s="148"/>
      <x:c r="W5" s="148"/>
      <x:c r="X5" s="148"/>
      <x:c r="Y5" s="148"/>
      <x:c r="Z5" s="148"/>
      <x:c r="AA5" s="148"/>
      <x:c r="AB5" s="148"/>
      <x:c r="AC5" s="148"/>
      <x:c r="AD5" s="148"/>
      <x:c r="AE5" s="148"/>
      <x:c r="AF5" s="148"/>
      <x:c r="AG5" s="148"/>
      <x:c r="AH5" s="148"/>
      <x:c r="AI5" s="148"/>
      <x:c r="AJ5" s="148"/>
      <x:c r="AK5" s="148"/>
      <x:c r="AL5" s="148"/>
      <x:c r="AM5" s="148"/>
      <x:c r="AN5" s="148"/>
      <x:c r="AO5" s="148"/>
      <x:c r="AP5" s="148"/>
      <x:c r="AQ5" s="148"/>
      <x:c r="AR5" s="148"/>
      <x:c r="AS5" s="148"/>
      <x:c r="AT5" s="148"/>
      <x:c r="AU5" s="148"/>
      <x:c r="AV5" s="148"/>
      <x:c r="AW5" s="148"/>
      <x:c r="AX5" s="148"/>
      <x:c r="AY5" s="148"/>
      <x:c r="AZ5" s="148"/>
      <x:c r="BA5" s="148"/>
      <x:c r="BB5" s="148"/>
      <x:c r="BC5" s="148"/>
      <x:c r="BD5" s="148"/>
      <x:c r="BE5" s="148"/>
      <x:c r="BF5" s="148"/>
      <x:c r="BG5" s="148"/>
      <x:c r="BH5" s="148"/>
      <x:c r="BI5" s="148"/>
      <x:c r="BJ5" s="148"/>
      <x:c r="BK5" s="148"/>
      <x:c r="BL5" s="148"/>
      <x:c r="BM5" s="148"/>
      <x:c r="BN5" s="148"/>
      <x:c r="BO5" s="148"/>
    </x:row>
    <x:row r="6">
      <x:c r="A6" s="127"/>
      <x:c r="B6" s="128"/>
      <x:c r="C6" s="128"/>
      <x:c r="D6" s="128"/>
      <x:c r="E6" s="128"/>
      <x:c r="F6" s="128"/>
      <x:c r="G6" s="128"/>
      <x:c r="H6" s="129"/>
      <x:c r="I6" s="153" t="n">
        <x:v>46237</x:v>
      </x:c>
      <x:c r="J6" s="153" t="n">
        <x:v>46244</x:v>
      </x:c>
      <x:c r="K6" s="153" t="n">
        <x:v>46251</x:v>
      </x:c>
      <x:c r="L6" s="153" t="n">
        <x:v>46258</x:v>
      </x:c>
      <x:c r="M6" s="153" t="n">
        <x:v>46265</x:v>
      </x:c>
      <x:c r="N6" s="153" t="n">
        <x:v>46272</x:v>
      </x:c>
      <x:c r="O6" s="153" t="n">
        <x:v>46279</x:v>
      </x:c>
      <x:c r="P6" s="153" t="n">
        <x:v>46286</x:v>
      </x:c>
      <x:c r="Q6" s="153" t="n">
        <x:v>46293</x:v>
      </x:c>
      <x:c r="R6" s="153" t="n">
        <x:v>46300</x:v>
      </x:c>
      <x:c r="S6" s="153" t="n">
        <x:v>46307</x:v>
      </x:c>
      <x:c r="T6" s="153" t="n">
        <x:v>46314</x:v>
      </x:c>
      <x:c r="U6" s="153" t="n">
        <x:v>46321</x:v>
      </x:c>
      <x:c r="V6" s="153" t="n">
        <x:v>46328</x:v>
      </x:c>
      <x:c r="W6" s="153" t="n">
        <x:v>46335</x:v>
      </x:c>
      <x:c r="X6" s="153" t="n">
        <x:v>46342</x:v>
      </x:c>
      <x:c r="Y6" s="153" t="n">
        <x:v>46349</x:v>
      </x:c>
      <x:c r="Z6" s="153" t="n">
        <x:v>46356</x:v>
      </x:c>
      <x:c r="AA6" s="153" t="n">
        <x:v>46363</x:v>
      </x:c>
      <x:c r="AB6" s="153" t="n">
        <x:v>46370</x:v>
      </x:c>
      <x:c r="AC6" s="153" t="n">
        <x:v>46377</x:v>
      </x:c>
      <x:c r="AD6" s="153" t="n">
        <x:v>46384</x:v>
      </x:c>
      <x:c r="AE6" s="153" t="n">
        <x:v>46391</x:v>
      </x:c>
      <x:c r="AF6" s="153" t="n">
        <x:v>46398</x:v>
      </x:c>
      <x:c r="AG6" s="153" t="n">
        <x:v>46405</x:v>
      </x:c>
      <x:c r="AH6" s="153" t="n">
        <x:v>46412</x:v>
      </x:c>
      <x:c r="AI6" s="153" t="n">
        <x:v>46419</x:v>
      </x:c>
      <x:c r="AJ6" s="153" t="n">
        <x:v>46426</x:v>
      </x:c>
      <x:c r="AK6" s="153" t="n">
        <x:v>46433</x:v>
      </x:c>
      <x:c r="AL6" s="153" t="n">
        <x:v>46440</x:v>
      </x:c>
      <x:c r="AM6" s="153" t="n">
        <x:v>46447</x:v>
      </x:c>
      <x:c r="AN6" s="153" t="n">
        <x:v>46454</x:v>
      </x:c>
      <x:c r="AO6" s="153" t="n">
        <x:v>46461</x:v>
      </x:c>
      <x:c r="AP6" s="153" t="n">
        <x:v>46468</x:v>
      </x:c>
      <x:c r="AQ6" s="153" t="n">
        <x:v>46475</x:v>
      </x:c>
      <x:c r="AR6" s="153" t="n">
        <x:v>46482</x:v>
      </x:c>
      <x:c r="AS6" s="153" t="n">
        <x:v>46489</x:v>
      </x:c>
      <x:c r="AT6" s="153" t="n">
        <x:v>46496</x:v>
      </x:c>
      <x:c r="AU6" s="153" t="n">
        <x:v>46503</x:v>
      </x:c>
      <x:c r="AV6" s="153" t="n">
        <x:v>46510</x:v>
      </x:c>
      <x:c r="AW6" s="153" t="n">
        <x:v>46517</x:v>
      </x:c>
      <x:c r="AX6" s="153" t="n">
        <x:v>46524</x:v>
      </x:c>
      <x:c r="AY6" s="153" t="n">
        <x:v>46531</x:v>
      </x:c>
      <x:c r="AZ6" s="153" t="n">
        <x:v>46538</x:v>
      </x:c>
      <x:c r="BA6" s="153" t="n">
        <x:v>46545</x:v>
      </x:c>
      <x:c r="BB6" s="153" t="n">
        <x:v>46552</x:v>
      </x:c>
      <x:c r="BC6" s="153" t="n">
        <x:v>46559</x:v>
      </x:c>
      <x:c r="BD6" s="153" t="n">
        <x:v>46566</x:v>
      </x:c>
      <x:c r="BE6" s="153" t="n">
        <x:v>46573</x:v>
      </x:c>
      <x:c r="BF6" s="153" t="n">
        <x:v>46580</x:v>
      </x:c>
      <x:c r="BG6" s="153" t="n">
        <x:v>46587</x:v>
      </x:c>
      <x:c r="BH6" s="153" t="n">
        <x:v>46594</x:v>
      </x:c>
      <x:c r="BI6" s="153" t="n">
        <x:v>46601</x:v>
      </x:c>
      <x:c r="BJ6" s="153" t="n">
        <x:v>46608</x:v>
      </x:c>
      <x:c r="BK6" s="153" t="n">
        <x:v>46615</x:v>
      </x:c>
      <x:c r="BL6" s="153" t="n">
        <x:v>46622</x:v>
      </x:c>
      <x:c r="BM6" s="153" t="n">
        <x:v>46629</x:v>
      </x:c>
      <x:c r="BN6" s="153" t="n">
        <x:v>46636</x:v>
      </x:c>
      <x:c r="BO6" s="153" t="n">
        <x:v>46643</x:v>
      </x:c>
    </x:row>
    <x:row r="7" ht="24" customHeight="1">
      <x:c r="A7" s="65" t="str">
        <x:f>'Task Register'!A5</x:f>
        <x:v>T-001</x:v>
      </x:c>
      <x:c r="B7" s="65" t="str">
        <x:f>'Task Register'!B5</x:f>
        <x:v>M0</x:v>
      </x:c>
      <x:c r="C7" s="65" t="str">
        <x:f>'Task Register'!C5</x:f>
        <x:v>Operations</x:v>
      </x:c>
      <x:c r="D7" s="65" t="str">
        <x:f>'Task Register'!D5</x:f>
        <x:v>Define tracker conventions</x:v>
      </x:c>
      <x:c r="E7" s="65" t="str">
        <x:f>'Task Register'!E5</x:f>
        <x:v>none</x:v>
      </x:c>
      <x:c r="F7" s="65" t="str">
        <x:f>'Task Register'!F5</x:f>
        <x:v>Done</x:v>
      </x:c>
      <x:c r="G7" s="93" t="n">
        <x:f>'Task Register'!I5</x:f>
        <x:v>46237</x:v>
      </x:c>
      <x:c r="H7" s="93" t="n">
        <x:f>'Task Register'!J5</x:f>
        <x:v>46237</x:v>
      </x:c>
      <x:c r="I7" s="163" t="n">
        <x:f>IF(AND(I$6&lt;=$H7,I$6+6&gt;=$G7),1,"")</x:f>
        <x:v>1</x:v>
      </x:c>
      <x:c r="J7" s="164" t="str">
        <x:f>IF(AND(J$6&lt;=$H7,J$6+6&gt;=$G7),1,"")</x:f>
      </x:c>
      <x:c r="K7" s="164" t="str">
        <x:f>IF(AND(K$6&lt;=$H7,K$6+6&gt;=$G7),1,"")</x:f>
      </x:c>
      <x:c r="L7" s="164" t="str">
        <x:f>IF(AND(L$6&lt;=$H7,L$6+6&gt;=$G7),1,"")</x:f>
      </x:c>
      <x:c r="M7" s="164" t="str">
        <x:f>IF(AND(M$6&lt;=$H7,M$6+6&gt;=$G7),1,"")</x:f>
      </x:c>
      <x:c r="N7" s="164" t="str">
        <x:f>IF(AND(N$6&lt;=$H7,N$6+6&gt;=$G7),1,"")</x:f>
      </x:c>
      <x:c r="O7" s="164" t="str">
        <x:f>IF(AND(O$6&lt;=$H7,O$6+6&gt;=$G7),1,"")</x:f>
      </x:c>
      <x:c r="P7" s="164" t="str">
        <x:f>IF(AND(P$6&lt;=$H7,P$6+6&gt;=$G7),1,"")</x:f>
      </x:c>
      <x:c r="Q7" s="164" t="str">
        <x:f>IF(AND(Q$6&lt;=$H7,Q$6+6&gt;=$G7),1,"")</x:f>
      </x:c>
      <x:c r="R7" s="164" t="str">
        <x:f>IF(AND(R$6&lt;=$H7,R$6+6&gt;=$G7),1,"")</x:f>
      </x:c>
      <x:c r="S7" s="164" t="str">
        <x:f>IF(AND(S$6&lt;=$H7,S$6+6&gt;=$G7),1,"")</x:f>
      </x:c>
      <x:c r="T7" s="164" t="str">
        <x:f>IF(AND(T$6&lt;=$H7,T$6+6&gt;=$G7),1,"")</x:f>
      </x:c>
      <x:c r="U7" s="164" t="str">
        <x:f>IF(AND(U$6&lt;=$H7,U$6+6&gt;=$G7),1,"")</x:f>
      </x:c>
      <x:c r="V7" s="164" t="str">
        <x:f>IF(AND(V$6&lt;=$H7,V$6+6&gt;=$G7),1,"")</x:f>
      </x:c>
      <x:c r="W7" s="164" t="str">
        <x:f>IF(AND(W$6&lt;=$H7,W$6+6&gt;=$G7),1,"")</x:f>
      </x:c>
      <x:c r="X7" s="164" t="str">
        <x:f>IF(AND(X$6&lt;=$H7,X$6+6&gt;=$G7),1,"")</x:f>
      </x:c>
      <x:c r="Y7" s="164" t="str">
        <x:f>IF(AND(Y$6&lt;=$H7,Y$6+6&gt;=$G7),1,"")</x:f>
      </x:c>
      <x:c r="Z7" s="164" t="str">
        <x:f>IF(AND(Z$6&lt;=$H7,Z$6+6&gt;=$G7),1,"")</x:f>
      </x:c>
      <x:c r="AA7" s="164" t="str">
        <x:f>IF(AND(AA$6&lt;=$H7,AA$6+6&gt;=$G7),1,"")</x:f>
      </x:c>
      <x:c r="AB7" s="164" t="str">
        <x:f>IF(AND(AB$6&lt;=$H7,AB$6+6&gt;=$G7),1,"")</x:f>
      </x:c>
      <x:c r="AC7" s="164" t="str">
        <x:f>IF(AND(AC$6&lt;=$H7,AC$6+6&gt;=$G7),1,"")</x:f>
      </x:c>
      <x:c r="AD7" s="164" t="str">
        <x:f>IF(AND(AD$6&lt;=$H7,AD$6+6&gt;=$G7),1,"")</x:f>
      </x:c>
      <x:c r="AE7" s="164" t="str">
        <x:f>IF(AND(AE$6&lt;=$H7,AE$6+6&gt;=$G7),1,"")</x:f>
      </x:c>
      <x:c r="AF7" s="164" t="str">
        <x:f>IF(AND(AF$6&lt;=$H7,AF$6+6&gt;=$G7),1,"")</x:f>
      </x:c>
      <x:c r="AG7" s="164" t="str">
        <x:f>IF(AND(AG$6&lt;=$H7,AG$6+6&gt;=$G7),1,"")</x:f>
      </x:c>
      <x:c r="AH7" s="164" t="str">
        <x:f>IF(AND(AH$6&lt;=$H7,AH$6+6&gt;=$G7),1,"")</x:f>
      </x:c>
      <x:c r="AI7" s="164" t="str">
        <x:f>IF(AND(AI$6&lt;=$H7,AI$6+6&gt;=$G7),1,"")</x:f>
      </x:c>
      <x:c r="AJ7" s="164" t="str">
        <x:f>IF(AND(AJ$6&lt;=$H7,AJ$6+6&gt;=$G7),1,"")</x:f>
      </x:c>
      <x:c r="AK7" s="164" t="str">
        <x:f>IF(AND(AK$6&lt;=$H7,AK$6+6&gt;=$G7),1,"")</x:f>
      </x:c>
      <x:c r="AL7" s="164" t="str">
        <x:f>IF(AND(AL$6&lt;=$H7,AL$6+6&gt;=$G7),1,"")</x:f>
      </x:c>
      <x:c r="AM7" s="164" t="str">
        <x:f>IF(AND(AM$6&lt;=$H7,AM$6+6&gt;=$G7),1,"")</x:f>
      </x:c>
      <x:c r="AN7" s="164" t="str">
        <x:f>IF(AND(AN$6&lt;=$H7,AN$6+6&gt;=$G7),1,"")</x:f>
      </x:c>
      <x:c r="AO7" s="164" t="str">
        <x:f>IF(AND(AO$6&lt;=$H7,AO$6+6&gt;=$G7),1,"")</x:f>
      </x:c>
      <x:c r="AP7" s="164" t="str">
        <x:f>IF(AND(AP$6&lt;=$H7,AP$6+6&gt;=$G7),1,"")</x:f>
      </x:c>
      <x:c r="AQ7" s="164" t="str">
        <x:f>IF(AND(AQ$6&lt;=$H7,AQ$6+6&gt;=$G7),1,"")</x:f>
      </x:c>
      <x:c r="AR7" s="164" t="str">
        <x:f>IF(AND(AR$6&lt;=$H7,AR$6+6&gt;=$G7),1,"")</x:f>
      </x:c>
      <x:c r="AS7" s="164" t="str">
        <x:f>IF(AND(AS$6&lt;=$H7,AS$6+6&gt;=$G7),1,"")</x:f>
      </x:c>
      <x:c r="AT7" s="164" t="str">
        <x:f>IF(AND(AT$6&lt;=$H7,AT$6+6&gt;=$G7),1,"")</x:f>
      </x:c>
      <x:c r="AU7" s="164" t="str">
        <x:f>IF(AND(AU$6&lt;=$H7,AU$6+6&gt;=$G7),1,"")</x:f>
      </x:c>
      <x:c r="AV7" s="164" t="str">
        <x:f>IF(AND(AV$6&lt;=$H7,AV$6+6&gt;=$G7),1,"")</x:f>
      </x:c>
      <x:c r="AW7" s="164" t="str">
        <x:f>IF(AND(AW$6&lt;=$H7,AW$6+6&gt;=$G7),1,"")</x:f>
      </x:c>
      <x:c r="AX7" s="164" t="str">
        <x:f>IF(AND(AX$6&lt;=$H7,AX$6+6&gt;=$G7),1,"")</x:f>
      </x:c>
      <x:c r="AY7" s="164" t="str">
        <x:f>IF(AND(AY$6&lt;=$H7,AY$6+6&gt;=$G7),1,"")</x:f>
      </x:c>
      <x:c r="AZ7" s="164" t="str">
        <x:f>IF(AND(AZ$6&lt;=$H7,AZ$6+6&gt;=$G7),1,"")</x:f>
      </x:c>
      <x:c r="BA7" s="164" t="str">
        <x:f>IF(AND(BA$6&lt;=$H7,BA$6+6&gt;=$G7),1,"")</x:f>
      </x:c>
      <x:c r="BB7" s="164" t="str">
        <x:f>IF(AND(BB$6&lt;=$H7,BB$6+6&gt;=$G7),1,"")</x:f>
      </x:c>
      <x:c r="BC7" s="164" t="str">
        <x:f>IF(AND(BC$6&lt;=$H7,BC$6+6&gt;=$G7),1,"")</x:f>
      </x:c>
      <x:c r="BD7" s="164" t="str">
        <x:f>IF(AND(BD$6&lt;=$H7,BD$6+6&gt;=$G7),1,"")</x:f>
      </x:c>
      <x:c r="BE7" s="164" t="str">
        <x:f>IF(AND(BE$6&lt;=$H7,BE$6+6&gt;=$G7),1,"")</x:f>
      </x:c>
      <x:c r="BF7" s="164" t="str">
        <x:f>IF(AND(BF$6&lt;=$H7,BF$6+6&gt;=$G7),1,"")</x:f>
      </x:c>
      <x:c r="BG7" s="164" t="str">
        <x:f>IF(AND(BG$6&lt;=$H7,BG$6+6&gt;=$G7),1,"")</x:f>
      </x:c>
      <x:c r="BH7" s="164" t="str">
        <x:f>IF(AND(BH$6&lt;=$H7,BH$6+6&gt;=$G7),1,"")</x:f>
      </x:c>
      <x:c r="BI7" s="164" t="str">
        <x:f>IF(AND(BI$6&lt;=$H7,BI$6+6&gt;=$G7),1,"")</x:f>
      </x:c>
      <x:c r="BJ7" s="164" t="str">
        <x:f>IF(AND(BJ$6&lt;=$H7,BJ$6+6&gt;=$G7),1,"")</x:f>
      </x:c>
      <x:c r="BK7" s="164" t="str">
        <x:f>IF(AND(BK$6&lt;=$H7,BK$6+6&gt;=$G7),1,"")</x:f>
      </x:c>
      <x:c r="BL7" s="164" t="str">
        <x:f>IF(AND(BL$6&lt;=$H7,BL$6+6&gt;=$G7),1,"")</x:f>
      </x:c>
      <x:c r="BM7" s="164" t="str">
        <x:f>IF(AND(BM$6&lt;=$H7,BM$6+6&gt;=$G7),1,"")</x:f>
      </x:c>
      <x:c r="BN7" s="164" t="str">
        <x:f>IF(AND(BN$6&lt;=$H7,BN$6+6&gt;=$G7),1,"")</x:f>
      </x:c>
      <x:c r="BO7" s="165" t="str">
        <x:f>IF(AND(BO$6&lt;=$H7,BO$6+6&gt;=$G7),1,"")</x:f>
      </x:c>
    </x:row>
    <x:row r="8" ht="24" customHeight="1">
      <x:c r="A8" s="68" t="str">
        <x:f>'Task Register'!A6</x:f>
        <x:v>T-002</x:v>
      </x:c>
      <x:c r="B8" s="68" t="str">
        <x:f>'Task Register'!B6</x:f>
        <x:v>M0</x:v>
      </x:c>
      <x:c r="C8" s="68" t="str">
        <x:f>'Task Register'!C6</x:f>
        <x:v>Operations</x:v>
      </x:c>
      <x:c r="D8" s="68" t="str">
        <x:f>'Task Register'!D6</x:f>
        <x:v>Define versioning scheme</x:v>
      </x:c>
      <x:c r="E8" s="68" t="str">
        <x:f>'Task Register'!E6</x:f>
        <x:v>T-001</x:v>
      </x:c>
      <x:c r="F8" s="68" t="str">
        <x:f>'Task Register'!F6</x:f>
        <x:v>Done</x:v>
      </x:c>
      <x:c r="G8" s="94" t="n">
        <x:f>'Task Register'!I6</x:f>
        <x:v>46238</x:v>
      </x:c>
      <x:c r="H8" s="94" t="n">
        <x:f>'Task Register'!J6</x:f>
        <x:v>46238</x:v>
      </x:c>
      <x:c r="I8" s="166" t="n">
        <x:f>IF(AND(I$6&lt;=$H8,I$6+6&gt;=$G8),1,"")</x:f>
        <x:v>1</x:v>
      </x:c>
      <x:c r="J8" s="167" t="str">
        <x:f>IF(AND(J$6&lt;=$H8,J$6+6&gt;=$G8),1,"")</x:f>
      </x:c>
      <x:c r="K8" s="167" t="str">
        <x:f>IF(AND(K$6&lt;=$H8,K$6+6&gt;=$G8),1,"")</x:f>
      </x:c>
      <x:c r="L8" s="167" t="str">
        <x:f>IF(AND(L$6&lt;=$H8,L$6+6&gt;=$G8),1,"")</x:f>
      </x:c>
      <x:c r="M8" s="167" t="str">
        <x:f>IF(AND(M$6&lt;=$H8,M$6+6&gt;=$G8),1,"")</x:f>
      </x:c>
      <x:c r="N8" s="167" t="str">
        <x:f>IF(AND(N$6&lt;=$H8,N$6+6&gt;=$G8),1,"")</x:f>
      </x:c>
      <x:c r="O8" s="167" t="str">
        <x:f>IF(AND(O$6&lt;=$H8,O$6+6&gt;=$G8),1,"")</x:f>
      </x:c>
      <x:c r="P8" s="167" t="str">
        <x:f>IF(AND(P$6&lt;=$H8,P$6+6&gt;=$G8),1,"")</x:f>
      </x:c>
      <x:c r="Q8" s="167" t="str">
        <x:f>IF(AND(Q$6&lt;=$H8,Q$6+6&gt;=$G8),1,"")</x:f>
      </x:c>
      <x:c r="R8" s="167" t="str">
        <x:f>IF(AND(R$6&lt;=$H8,R$6+6&gt;=$G8),1,"")</x:f>
      </x:c>
      <x:c r="S8" s="167" t="str">
        <x:f>IF(AND(S$6&lt;=$H8,S$6+6&gt;=$G8),1,"")</x:f>
      </x:c>
      <x:c r="T8" s="167" t="str">
        <x:f>IF(AND(T$6&lt;=$H8,T$6+6&gt;=$G8),1,"")</x:f>
      </x:c>
      <x:c r="U8" s="167" t="str">
        <x:f>IF(AND(U$6&lt;=$H8,U$6+6&gt;=$G8),1,"")</x:f>
      </x:c>
      <x:c r="V8" s="167" t="str">
        <x:f>IF(AND(V$6&lt;=$H8,V$6+6&gt;=$G8),1,"")</x:f>
      </x:c>
      <x:c r="W8" s="167" t="str">
        <x:f>IF(AND(W$6&lt;=$H8,W$6+6&gt;=$G8),1,"")</x:f>
      </x:c>
      <x:c r="X8" s="167" t="str">
        <x:f>IF(AND(X$6&lt;=$H8,X$6+6&gt;=$G8),1,"")</x:f>
      </x:c>
      <x:c r="Y8" s="167" t="str">
        <x:f>IF(AND(Y$6&lt;=$H8,Y$6+6&gt;=$G8),1,"")</x:f>
      </x:c>
      <x:c r="Z8" s="167" t="str">
        <x:f>IF(AND(Z$6&lt;=$H8,Z$6+6&gt;=$G8),1,"")</x:f>
      </x:c>
      <x:c r="AA8" s="167" t="str">
        <x:f>IF(AND(AA$6&lt;=$H8,AA$6+6&gt;=$G8),1,"")</x:f>
      </x:c>
      <x:c r="AB8" s="167" t="str">
        <x:f>IF(AND(AB$6&lt;=$H8,AB$6+6&gt;=$G8),1,"")</x:f>
      </x:c>
      <x:c r="AC8" s="167" t="str">
        <x:f>IF(AND(AC$6&lt;=$H8,AC$6+6&gt;=$G8),1,"")</x:f>
      </x:c>
      <x:c r="AD8" s="167" t="str">
        <x:f>IF(AND(AD$6&lt;=$H8,AD$6+6&gt;=$G8),1,"")</x:f>
      </x:c>
      <x:c r="AE8" s="167" t="str">
        <x:f>IF(AND(AE$6&lt;=$H8,AE$6+6&gt;=$G8),1,"")</x:f>
      </x:c>
      <x:c r="AF8" s="167" t="str">
        <x:f>IF(AND(AF$6&lt;=$H8,AF$6+6&gt;=$G8),1,"")</x:f>
      </x:c>
      <x:c r="AG8" s="167" t="str">
        <x:f>IF(AND(AG$6&lt;=$H8,AG$6+6&gt;=$G8),1,"")</x:f>
      </x:c>
      <x:c r="AH8" s="167" t="str">
        <x:f>IF(AND(AH$6&lt;=$H8,AH$6+6&gt;=$G8),1,"")</x:f>
      </x:c>
      <x:c r="AI8" s="167" t="str">
        <x:f>IF(AND(AI$6&lt;=$H8,AI$6+6&gt;=$G8),1,"")</x:f>
      </x:c>
      <x:c r="AJ8" s="167" t="str">
        <x:f>IF(AND(AJ$6&lt;=$H8,AJ$6+6&gt;=$G8),1,"")</x:f>
      </x:c>
      <x:c r="AK8" s="167" t="str">
        <x:f>IF(AND(AK$6&lt;=$H8,AK$6+6&gt;=$G8),1,"")</x:f>
      </x:c>
      <x:c r="AL8" s="167" t="str">
        <x:f>IF(AND(AL$6&lt;=$H8,AL$6+6&gt;=$G8),1,"")</x:f>
      </x:c>
      <x:c r="AM8" s="167" t="str">
        <x:f>IF(AND(AM$6&lt;=$H8,AM$6+6&gt;=$G8),1,"")</x:f>
      </x:c>
      <x:c r="AN8" s="167" t="str">
        <x:f>IF(AND(AN$6&lt;=$H8,AN$6+6&gt;=$G8),1,"")</x:f>
      </x:c>
      <x:c r="AO8" s="167" t="str">
        <x:f>IF(AND(AO$6&lt;=$H8,AO$6+6&gt;=$G8),1,"")</x:f>
      </x:c>
      <x:c r="AP8" s="167" t="str">
        <x:f>IF(AND(AP$6&lt;=$H8,AP$6+6&gt;=$G8),1,"")</x:f>
      </x:c>
      <x:c r="AQ8" s="167" t="str">
        <x:f>IF(AND(AQ$6&lt;=$H8,AQ$6+6&gt;=$G8),1,"")</x:f>
      </x:c>
      <x:c r="AR8" s="167" t="str">
        <x:f>IF(AND(AR$6&lt;=$H8,AR$6+6&gt;=$G8),1,"")</x:f>
      </x:c>
      <x:c r="AS8" s="167" t="str">
        <x:f>IF(AND(AS$6&lt;=$H8,AS$6+6&gt;=$G8),1,"")</x:f>
      </x:c>
      <x:c r="AT8" s="167" t="str">
        <x:f>IF(AND(AT$6&lt;=$H8,AT$6+6&gt;=$G8),1,"")</x:f>
      </x:c>
      <x:c r="AU8" s="167" t="str">
        <x:f>IF(AND(AU$6&lt;=$H8,AU$6+6&gt;=$G8),1,"")</x:f>
      </x:c>
      <x:c r="AV8" s="167" t="str">
        <x:f>IF(AND(AV$6&lt;=$H8,AV$6+6&gt;=$G8),1,"")</x:f>
      </x:c>
      <x:c r="AW8" s="167" t="str">
        <x:f>IF(AND(AW$6&lt;=$H8,AW$6+6&gt;=$G8),1,"")</x:f>
      </x:c>
      <x:c r="AX8" s="167" t="str">
        <x:f>IF(AND(AX$6&lt;=$H8,AX$6+6&gt;=$G8),1,"")</x:f>
      </x:c>
      <x:c r="AY8" s="167" t="str">
        <x:f>IF(AND(AY$6&lt;=$H8,AY$6+6&gt;=$G8),1,"")</x:f>
      </x:c>
      <x:c r="AZ8" s="167" t="str">
        <x:f>IF(AND(AZ$6&lt;=$H8,AZ$6+6&gt;=$G8),1,"")</x:f>
      </x:c>
      <x:c r="BA8" s="167" t="str">
        <x:f>IF(AND(BA$6&lt;=$H8,BA$6+6&gt;=$G8),1,"")</x:f>
      </x:c>
      <x:c r="BB8" s="167" t="str">
        <x:f>IF(AND(BB$6&lt;=$H8,BB$6+6&gt;=$G8),1,"")</x:f>
      </x:c>
      <x:c r="BC8" s="167" t="str">
        <x:f>IF(AND(BC$6&lt;=$H8,BC$6+6&gt;=$G8),1,"")</x:f>
      </x:c>
      <x:c r="BD8" s="167" t="str">
        <x:f>IF(AND(BD$6&lt;=$H8,BD$6+6&gt;=$G8),1,"")</x:f>
      </x:c>
      <x:c r="BE8" s="167" t="str">
        <x:f>IF(AND(BE$6&lt;=$H8,BE$6+6&gt;=$G8),1,"")</x:f>
      </x:c>
      <x:c r="BF8" s="167" t="str">
        <x:f>IF(AND(BF$6&lt;=$H8,BF$6+6&gt;=$G8),1,"")</x:f>
      </x:c>
      <x:c r="BG8" s="167" t="str">
        <x:f>IF(AND(BG$6&lt;=$H8,BG$6+6&gt;=$G8),1,"")</x:f>
      </x:c>
      <x:c r="BH8" s="167" t="str">
        <x:f>IF(AND(BH$6&lt;=$H8,BH$6+6&gt;=$G8),1,"")</x:f>
      </x:c>
      <x:c r="BI8" s="167" t="str">
        <x:f>IF(AND(BI$6&lt;=$H8,BI$6+6&gt;=$G8),1,"")</x:f>
      </x:c>
      <x:c r="BJ8" s="167" t="str">
        <x:f>IF(AND(BJ$6&lt;=$H8,BJ$6+6&gt;=$G8),1,"")</x:f>
      </x:c>
      <x:c r="BK8" s="167" t="str">
        <x:f>IF(AND(BK$6&lt;=$H8,BK$6+6&gt;=$G8),1,"")</x:f>
      </x:c>
      <x:c r="BL8" s="167" t="str">
        <x:f>IF(AND(BL$6&lt;=$H8,BL$6+6&gt;=$G8),1,"")</x:f>
      </x:c>
      <x:c r="BM8" s="167" t="str">
        <x:f>IF(AND(BM$6&lt;=$H8,BM$6+6&gt;=$G8),1,"")</x:f>
      </x:c>
      <x:c r="BN8" s="167" t="str">
        <x:f>IF(AND(BN$6&lt;=$H8,BN$6+6&gt;=$G8),1,"")</x:f>
      </x:c>
      <x:c r="BO8" s="168" t="str">
        <x:f>IF(AND(BO$6&lt;=$H8,BO$6+6&gt;=$G8),1,"")</x:f>
      </x:c>
    </x:row>
    <x:row r="9" ht="24" customHeight="1">
      <x:c r="A9" s="68" t="str">
        <x:f>'Task Register'!A7</x:f>
        <x:v>T-003</x:v>
      </x:c>
      <x:c r="B9" s="68" t="str">
        <x:f>'Task Register'!B7</x:f>
        <x:v>M0</x:v>
      </x:c>
      <x:c r="C9" s="68" t="str">
        <x:f>'Task Register'!C7</x:f>
        <x:v>Research Ops</x:v>
      </x:c>
      <x:c r="D9" s="68" t="str">
        <x:f>'Task Register'!D7</x:f>
        <x:v>Define experiment manifest requirements</x:v>
      </x:c>
      <x:c r="E9" s="68" t="str">
        <x:f>'Task Register'!E7</x:f>
        <x:v>T-001, T-002</x:v>
      </x:c>
      <x:c r="F9" s="68" t="str">
        <x:f>'Task Register'!F7</x:f>
        <x:v>Done</x:v>
      </x:c>
      <x:c r="G9" s="94" t="n">
        <x:f>'Task Register'!I7</x:f>
        <x:v>46239</x:v>
      </x:c>
      <x:c r="H9" s="94" t="n">
        <x:f>'Task Register'!J7</x:f>
        <x:v>46239</x:v>
      </x:c>
      <x:c r="I9" s="166" t="n">
        <x:f>IF(AND(I$6&lt;=$H9,I$6+6&gt;=$G9),1,"")</x:f>
        <x:v>1</x:v>
      </x:c>
      <x:c r="J9" s="167" t="str">
        <x:f>IF(AND(J$6&lt;=$H9,J$6+6&gt;=$G9),1,"")</x:f>
      </x:c>
      <x:c r="K9" s="167" t="str">
        <x:f>IF(AND(K$6&lt;=$H9,K$6+6&gt;=$G9),1,"")</x:f>
      </x:c>
      <x:c r="L9" s="167" t="str">
        <x:f>IF(AND(L$6&lt;=$H9,L$6+6&gt;=$G9),1,"")</x:f>
      </x:c>
      <x:c r="M9" s="167" t="str">
        <x:f>IF(AND(M$6&lt;=$H9,M$6+6&gt;=$G9),1,"")</x:f>
      </x:c>
      <x:c r="N9" s="167" t="str">
        <x:f>IF(AND(N$6&lt;=$H9,N$6+6&gt;=$G9),1,"")</x:f>
      </x:c>
      <x:c r="O9" s="167" t="str">
        <x:f>IF(AND(O$6&lt;=$H9,O$6+6&gt;=$G9),1,"")</x:f>
      </x:c>
      <x:c r="P9" s="167" t="str">
        <x:f>IF(AND(P$6&lt;=$H9,P$6+6&gt;=$G9),1,"")</x:f>
      </x:c>
      <x:c r="Q9" s="167" t="str">
        <x:f>IF(AND(Q$6&lt;=$H9,Q$6+6&gt;=$G9),1,"")</x:f>
      </x:c>
      <x:c r="R9" s="167" t="str">
        <x:f>IF(AND(R$6&lt;=$H9,R$6+6&gt;=$G9),1,"")</x:f>
      </x:c>
      <x:c r="S9" s="167" t="str">
        <x:f>IF(AND(S$6&lt;=$H9,S$6+6&gt;=$G9),1,"")</x:f>
      </x:c>
      <x:c r="T9" s="167" t="str">
        <x:f>IF(AND(T$6&lt;=$H9,T$6+6&gt;=$G9),1,"")</x:f>
      </x:c>
      <x:c r="U9" s="167" t="str">
        <x:f>IF(AND(U$6&lt;=$H9,U$6+6&gt;=$G9),1,"")</x:f>
      </x:c>
      <x:c r="V9" s="167" t="str">
        <x:f>IF(AND(V$6&lt;=$H9,V$6+6&gt;=$G9),1,"")</x:f>
      </x:c>
      <x:c r="W9" s="167" t="str">
        <x:f>IF(AND(W$6&lt;=$H9,W$6+6&gt;=$G9),1,"")</x:f>
      </x:c>
      <x:c r="X9" s="167" t="str">
        <x:f>IF(AND(X$6&lt;=$H9,X$6+6&gt;=$G9),1,"")</x:f>
      </x:c>
      <x:c r="Y9" s="167" t="str">
        <x:f>IF(AND(Y$6&lt;=$H9,Y$6+6&gt;=$G9),1,"")</x:f>
      </x:c>
      <x:c r="Z9" s="167" t="str">
        <x:f>IF(AND(Z$6&lt;=$H9,Z$6+6&gt;=$G9),1,"")</x:f>
      </x:c>
      <x:c r="AA9" s="167" t="str">
        <x:f>IF(AND(AA$6&lt;=$H9,AA$6+6&gt;=$G9),1,"")</x:f>
      </x:c>
      <x:c r="AB9" s="167" t="str">
        <x:f>IF(AND(AB$6&lt;=$H9,AB$6+6&gt;=$G9),1,"")</x:f>
      </x:c>
      <x:c r="AC9" s="167" t="str">
        <x:f>IF(AND(AC$6&lt;=$H9,AC$6+6&gt;=$G9),1,"")</x:f>
      </x:c>
      <x:c r="AD9" s="167" t="str">
        <x:f>IF(AND(AD$6&lt;=$H9,AD$6+6&gt;=$G9),1,"")</x:f>
      </x:c>
      <x:c r="AE9" s="167" t="str">
        <x:f>IF(AND(AE$6&lt;=$H9,AE$6+6&gt;=$G9),1,"")</x:f>
      </x:c>
      <x:c r="AF9" s="167" t="str">
        <x:f>IF(AND(AF$6&lt;=$H9,AF$6+6&gt;=$G9),1,"")</x:f>
      </x:c>
      <x:c r="AG9" s="167" t="str">
        <x:f>IF(AND(AG$6&lt;=$H9,AG$6+6&gt;=$G9),1,"")</x:f>
      </x:c>
      <x:c r="AH9" s="167" t="str">
        <x:f>IF(AND(AH$6&lt;=$H9,AH$6+6&gt;=$G9),1,"")</x:f>
      </x:c>
      <x:c r="AI9" s="167" t="str">
        <x:f>IF(AND(AI$6&lt;=$H9,AI$6+6&gt;=$G9),1,"")</x:f>
      </x:c>
      <x:c r="AJ9" s="167" t="str">
        <x:f>IF(AND(AJ$6&lt;=$H9,AJ$6+6&gt;=$G9),1,"")</x:f>
      </x:c>
      <x:c r="AK9" s="167" t="str">
        <x:f>IF(AND(AK$6&lt;=$H9,AK$6+6&gt;=$G9),1,"")</x:f>
      </x:c>
      <x:c r="AL9" s="167" t="str">
        <x:f>IF(AND(AL$6&lt;=$H9,AL$6+6&gt;=$G9),1,"")</x:f>
      </x:c>
      <x:c r="AM9" s="167" t="str">
        <x:f>IF(AND(AM$6&lt;=$H9,AM$6+6&gt;=$G9),1,"")</x:f>
      </x:c>
      <x:c r="AN9" s="167" t="str">
        <x:f>IF(AND(AN$6&lt;=$H9,AN$6+6&gt;=$G9),1,"")</x:f>
      </x:c>
      <x:c r="AO9" s="167" t="str">
        <x:f>IF(AND(AO$6&lt;=$H9,AO$6+6&gt;=$G9),1,"")</x:f>
      </x:c>
      <x:c r="AP9" s="167" t="str">
        <x:f>IF(AND(AP$6&lt;=$H9,AP$6+6&gt;=$G9),1,"")</x:f>
      </x:c>
      <x:c r="AQ9" s="167" t="str">
        <x:f>IF(AND(AQ$6&lt;=$H9,AQ$6+6&gt;=$G9),1,"")</x:f>
      </x:c>
      <x:c r="AR9" s="167" t="str">
        <x:f>IF(AND(AR$6&lt;=$H9,AR$6+6&gt;=$G9),1,"")</x:f>
      </x:c>
      <x:c r="AS9" s="167" t="str">
        <x:f>IF(AND(AS$6&lt;=$H9,AS$6+6&gt;=$G9),1,"")</x:f>
      </x:c>
      <x:c r="AT9" s="167" t="str">
        <x:f>IF(AND(AT$6&lt;=$H9,AT$6+6&gt;=$G9),1,"")</x:f>
      </x:c>
      <x:c r="AU9" s="167" t="str">
        <x:f>IF(AND(AU$6&lt;=$H9,AU$6+6&gt;=$G9),1,"")</x:f>
      </x:c>
      <x:c r="AV9" s="167" t="str">
        <x:f>IF(AND(AV$6&lt;=$H9,AV$6+6&gt;=$G9),1,"")</x:f>
      </x:c>
      <x:c r="AW9" s="167" t="str">
        <x:f>IF(AND(AW$6&lt;=$H9,AW$6+6&gt;=$G9),1,"")</x:f>
      </x:c>
      <x:c r="AX9" s="167" t="str">
        <x:f>IF(AND(AX$6&lt;=$H9,AX$6+6&gt;=$G9),1,"")</x:f>
      </x:c>
      <x:c r="AY9" s="167" t="str">
        <x:f>IF(AND(AY$6&lt;=$H9,AY$6+6&gt;=$G9),1,"")</x:f>
      </x:c>
      <x:c r="AZ9" s="167" t="str">
        <x:f>IF(AND(AZ$6&lt;=$H9,AZ$6+6&gt;=$G9),1,"")</x:f>
      </x:c>
      <x:c r="BA9" s="167" t="str">
        <x:f>IF(AND(BA$6&lt;=$H9,BA$6+6&gt;=$G9),1,"")</x:f>
      </x:c>
      <x:c r="BB9" s="167" t="str">
        <x:f>IF(AND(BB$6&lt;=$H9,BB$6+6&gt;=$G9),1,"")</x:f>
      </x:c>
      <x:c r="BC9" s="167" t="str">
        <x:f>IF(AND(BC$6&lt;=$H9,BC$6+6&gt;=$G9),1,"")</x:f>
      </x:c>
      <x:c r="BD9" s="167" t="str">
        <x:f>IF(AND(BD$6&lt;=$H9,BD$6+6&gt;=$G9),1,"")</x:f>
      </x:c>
      <x:c r="BE9" s="167" t="str">
        <x:f>IF(AND(BE$6&lt;=$H9,BE$6+6&gt;=$G9),1,"")</x:f>
      </x:c>
      <x:c r="BF9" s="167" t="str">
        <x:f>IF(AND(BF$6&lt;=$H9,BF$6+6&gt;=$G9),1,"")</x:f>
      </x:c>
      <x:c r="BG9" s="167" t="str">
        <x:f>IF(AND(BG$6&lt;=$H9,BG$6+6&gt;=$G9),1,"")</x:f>
      </x:c>
      <x:c r="BH9" s="167" t="str">
        <x:f>IF(AND(BH$6&lt;=$H9,BH$6+6&gt;=$G9),1,"")</x:f>
      </x:c>
      <x:c r="BI9" s="167" t="str">
        <x:f>IF(AND(BI$6&lt;=$H9,BI$6+6&gt;=$G9),1,"")</x:f>
      </x:c>
      <x:c r="BJ9" s="167" t="str">
        <x:f>IF(AND(BJ$6&lt;=$H9,BJ$6+6&gt;=$G9),1,"")</x:f>
      </x:c>
      <x:c r="BK9" s="167" t="str">
        <x:f>IF(AND(BK$6&lt;=$H9,BK$6+6&gt;=$G9),1,"")</x:f>
      </x:c>
      <x:c r="BL9" s="167" t="str">
        <x:f>IF(AND(BL$6&lt;=$H9,BL$6+6&gt;=$G9),1,"")</x:f>
      </x:c>
      <x:c r="BM9" s="167" t="str">
        <x:f>IF(AND(BM$6&lt;=$H9,BM$6+6&gt;=$G9),1,"")</x:f>
      </x:c>
      <x:c r="BN9" s="167" t="str">
        <x:f>IF(AND(BN$6&lt;=$H9,BN$6+6&gt;=$G9),1,"")</x:f>
      </x:c>
      <x:c r="BO9" s="168" t="str">
        <x:f>IF(AND(BO$6&lt;=$H9,BO$6+6&gt;=$G9),1,"")</x:f>
      </x:c>
    </x:row>
    <x:row r="10" ht="24" customHeight="1">
      <x:c r="A10" s="68" t="str">
        <x:f>'Task Register'!A8</x:f>
        <x:v>T-004</x:v>
      </x:c>
      <x:c r="B10" s="68" t="str">
        <x:f>'Task Register'!B8</x:f>
        <x:v>M0</x:v>
      </x:c>
      <x:c r="C10" s="68" t="str">
        <x:f>'Task Register'!C8</x:f>
        <x:v>Validation</x:v>
      </x:c>
      <x:c r="D10" s="68" t="str">
        <x:f>'Task Register'!D8</x:f>
        <x:v>Define failure-mode log</x:v>
      </x:c>
      <x:c r="E10" s="68" t="str">
        <x:f>'Task Register'!E8</x:f>
        <x:v>T-001</x:v>
      </x:c>
      <x:c r="F10" s="68" t="str">
        <x:f>'Task Register'!F8</x:f>
        <x:v>Done</x:v>
      </x:c>
      <x:c r="G10" s="94" t="n">
        <x:f>'Task Register'!I8</x:f>
        <x:v>46240</x:v>
      </x:c>
      <x:c r="H10" s="94" t="n">
        <x:f>'Task Register'!J8</x:f>
        <x:v>46240</x:v>
      </x:c>
      <x:c r="I10" s="166" t="n">
        <x:f>IF(AND(I$6&lt;=$H10,I$6+6&gt;=$G10),1,"")</x:f>
        <x:v>1</x:v>
      </x:c>
      <x:c r="J10" s="167" t="str">
        <x:f>IF(AND(J$6&lt;=$H10,J$6+6&gt;=$G10),1,"")</x:f>
      </x:c>
      <x:c r="K10" s="167" t="str">
        <x:f>IF(AND(K$6&lt;=$H10,K$6+6&gt;=$G10),1,"")</x:f>
      </x:c>
      <x:c r="L10" s="167" t="str">
        <x:f>IF(AND(L$6&lt;=$H10,L$6+6&gt;=$G10),1,"")</x:f>
      </x:c>
      <x:c r="M10" s="167" t="str">
        <x:f>IF(AND(M$6&lt;=$H10,M$6+6&gt;=$G10),1,"")</x:f>
      </x:c>
      <x:c r="N10" s="167" t="str">
        <x:f>IF(AND(N$6&lt;=$H10,N$6+6&gt;=$G10),1,"")</x:f>
      </x:c>
      <x:c r="O10" s="167" t="str">
        <x:f>IF(AND(O$6&lt;=$H10,O$6+6&gt;=$G10),1,"")</x:f>
      </x:c>
      <x:c r="P10" s="167" t="str">
        <x:f>IF(AND(P$6&lt;=$H10,P$6+6&gt;=$G10),1,"")</x:f>
      </x:c>
      <x:c r="Q10" s="167" t="str">
        <x:f>IF(AND(Q$6&lt;=$H10,Q$6+6&gt;=$G10),1,"")</x:f>
      </x:c>
      <x:c r="R10" s="167" t="str">
        <x:f>IF(AND(R$6&lt;=$H10,R$6+6&gt;=$G10),1,"")</x:f>
      </x:c>
      <x:c r="S10" s="167" t="str">
        <x:f>IF(AND(S$6&lt;=$H10,S$6+6&gt;=$G10),1,"")</x:f>
      </x:c>
      <x:c r="T10" s="167" t="str">
        <x:f>IF(AND(T$6&lt;=$H10,T$6+6&gt;=$G10),1,"")</x:f>
      </x:c>
      <x:c r="U10" s="167" t="str">
        <x:f>IF(AND(U$6&lt;=$H10,U$6+6&gt;=$G10),1,"")</x:f>
      </x:c>
      <x:c r="V10" s="167" t="str">
        <x:f>IF(AND(V$6&lt;=$H10,V$6+6&gt;=$G10),1,"")</x:f>
      </x:c>
      <x:c r="W10" s="167" t="str">
        <x:f>IF(AND(W$6&lt;=$H10,W$6+6&gt;=$G10),1,"")</x:f>
      </x:c>
      <x:c r="X10" s="167" t="str">
        <x:f>IF(AND(X$6&lt;=$H10,X$6+6&gt;=$G10),1,"")</x:f>
      </x:c>
      <x:c r="Y10" s="167" t="str">
        <x:f>IF(AND(Y$6&lt;=$H10,Y$6+6&gt;=$G10),1,"")</x:f>
      </x:c>
      <x:c r="Z10" s="167" t="str">
        <x:f>IF(AND(Z$6&lt;=$H10,Z$6+6&gt;=$G10),1,"")</x:f>
      </x:c>
      <x:c r="AA10" s="167" t="str">
        <x:f>IF(AND(AA$6&lt;=$H10,AA$6+6&gt;=$G10),1,"")</x:f>
      </x:c>
      <x:c r="AB10" s="167" t="str">
        <x:f>IF(AND(AB$6&lt;=$H10,AB$6+6&gt;=$G10),1,"")</x:f>
      </x:c>
      <x:c r="AC10" s="167" t="str">
        <x:f>IF(AND(AC$6&lt;=$H10,AC$6+6&gt;=$G10),1,"")</x:f>
      </x:c>
      <x:c r="AD10" s="167" t="str">
        <x:f>IF(AND(AD$6&lt;=$H10,AD$6+6&gt;=$G10),1,"")</x:f>
      </x:c>
      <x:c r="AE10" s="167" t="str">
        <x:f>IF(AND(AE$6&lt;=$H10,AE$6+6&gt;=$G10),1,"")</x:f>
      </x:c>
      <x:c r="AF10" s="167" t="str">
        <x:f>IF(AND(AF$6&lt;=$H10,AF$6+6&gt;=$G10),1,"")</x:f>
      </x:c>
      <x:c r="AG10" s="167" t="str">
        <x:f>IF(AND(AG$6&lt;=$H10,AG$6+6&gt;=$G10),1,"")</x:f>
      </x:c>
      <x:c r="AH10" s="167" t="str">
        <x:f>IF(AND(AH$6&lt;=$H10,AH$6+6&gt;=$G10),1,"")</x:f>
      </x:c>
      <x:c r="AI10" s="167" t="str">
        <x:f>IF(AND(AI$6&lt;=$H10,AI$6+6&gt;=$G10),1,"")</x:f>
      </x:c>
      <x:c r="AJ10" s="167" t="str">
        <x:f>IF(AND(AJ$6&lt;=$H10,AJ$6+6&gt;=$G10),1,"")</x:f>
      </x:c>
      <x:c r="AK10" s="167" t="str">
        <x:f>IF(AND(AK$6&lt;=$H10,AK$6+6&gt;=$G10),1,"")</x:f>
      </x:c>
      <x:c r="AL10" s="167" t="str">
        <x:f>IF(AND(AL$6&lt;=$H10,AL$6+6&gt;=$G10),1,"")</x:f>
      </x:c>
      <x:c r="AM10" s="167" t="str">
        <x:f>IF(AND(AM$6&lt;=$H10,AM$6+6&gt;=$G10),1,"")</x:f>
      </x:c>
      <x:c r="AN10" s="167" t="str">
        <x:f>IF(AND(AN$6&lt;=$H10,AN$6+6&gt;=$G10),1,"")</x:f>
      </x:c>
      <x:c r="AO10" s="167" t="str">
        <x:f>IF(AND(AO$6&lt;=$H10,AO$6+6&gt;=$G10),1,"")</x:f>
      </x:c>
      <x:c r="AP10" s="167" t="str">
        <x:f>IF(AND(AP$6&lt;=$H10,AP$6+6&gt;=$G10),1,"")</x:f>
      </x:c>
      <x:c r="AQ10" s="167" t="str">
        <x:f>IF(AND(AQ$6&lt;=$H10,AQ$6+6&gt;=$G10),1,"")</x:f>
      </x:c>
      <x:c r="AR10" s="167" t="str">
        <x:f>IF(AND(AR$6&lt;=$H10,AR$6+6&gt;=$G10),1,"")</x:f>
      </x:c>
      <x:c r="AS10" s="167" t="str">
        <x:f>IF(AND(AS$6&lt;=$H10,AS$6+6&gt;=$G10),1,"")</x:f>
      </x:c>
      <x:c r="AT10" s="167" t="str">
        <x:f>IF(AND(AT$6&lt;=$H10,AT$6+6&gt;=$G10),1,"")</x:f>
      </x:c>
      <x:c r="AU10" s="167" t="str">
        <x:f>IF(AND(AU$6&lt;=$H10,AU$6+6&gt;=$G10),1,"")</x:f>
      </x:c>
      <x:c r="AV10" s="167" t="str">
        <x:f>IF(AND(AV$6&lt;=$H10,AV$6+6&gt;=$G10),1,"")</x:f>
      </x:c>
      <x:c r="AW10" s="167" t="str">
        <x:f>IF(AND(AW$6&lt;=$H10,AW$6+6&gt;=$G10),1,"")</x:f>
      </x:c>
      <x:c r="AX10" s="167" t="str">
        <x:f>IF(AND(AX$6&lt;=$H10,AX$6+6&gt;=$G10),1,"")</x:f>
      </x:c>
      <x:c r="AY10" s="167" t="str">
        <x:f>IF(AND(AY$6&lt;=$H10,AY$6+6&gt;=$G10),1,"")</x:f>
      </x:c>
      <x:c r="AZ10" s="167" t="str">
        <x:f>IF(AND(AZ$6&lt;=$H10,AZ$6+6&gt;=$G10),1,"")</x:f>
      </x:c>
      <x:c r="BA10" s="167" t="str">
        <x:f>IF(AND(BA$6&lt;=$H10,BA$6+6&gt;=$G10),1,"")</x:f>
      </x:c>
      <x:c r="BB10" s="167" t="str">
        <x:f>IF(AND(BB$6&lt;=$H10,BB$6+6&gt;=$G10),1,"")</x:f>
      </x:c>
      <x:c r="BC10" s="167" t="str">
        <x:f>IF(AND(BC$6&lt;=$H10,BC$6+6&gt;=$G10),1,"")</x:f>
      </x:c>
      <x:c r="BD10" s="167" t="str">
        <x:f>IF(AND(BD$6&lt;=$H10,BD$6+6&gt;=$G10),1,"")</x:f>
      </x:c>
      <x:c r="BE10" s="167" t="str">
        <x:f>IF(AND(BE$6&lt;=$H10,BE$6+6&gt;=$G10),1,"")</x:f>
      </x:c>
      <x:c r="BF10" s="167" t="str">
        <x:f>IF(AND(BF$6&lt;=$H10,BF$6+6&gt;=$G10),1,"")</x:f>
      </x:c>
      <x:c r="BG10" s="167" t="str">
        <x:f>IF(AND(BG$6&lt;=$H10,BG$6+6&gt;=$G10),1,"")</x:f>
      </x:c>
      <x:c r="BH10" s="167" t="str">
        <x:f>IF(AND(BH$6&lt;=$H10,BH$6+6&gt;=$G10),1,"")</x:f>
      </x:c>
      <x:c r="BI10" s="167" t="str">
        <x:f>IF(AND(BI$6&lt;=$H10,BI$6+6&gt;=$G10),1,"")</x:f>
      </x:c>
      <x:c r="BJ10" s="167" t="str">
        <x:f>IF(AND(BJ$6&lt;=$H10,BJ$6+6&gt;=$G10),1,"")</x:f>
      </x:c>
      <x:c r="BK10" s="167" t="str">
        <x:f>IF(AND(BK$6&lt;=$H10,BK$6+6&gt;=$G10),1,"")</x:f>
      </x:c>
      <x:c r="BL10" s="167" t="str">
        <x:f>IF(AND(BL$6&lt;=$H10,BL$6+6&gt;=$G10),1,"")</x:f>
      </x:c>
      <x:c r="BM10" s="167" t="str">
        <x:f>IF(AND(BM$6&lt;=$H10,BM$6+6&gt;=$G10),1,"")</x:f>
      </x:c>
      <x:c r="BN10" s="167" t="str">
        <x:f>IF(AND(BN$6&lt;=$H10,BN$6+6&gt;=$G10),1,"")</x:f>
      </x:c>
      <x:c r="BO10" s="168" t="str">
        <x:f>IF(AND(BO$6&lt;=$H10,BO$6+6&gt;=$G10),1,"")</x:f>
      </x:c>
    </x:row>
    <x:row r="11" ht="24" customHeight="1">
      <x:c r="A11" s="68" t="str">
        <x:f>'Task Register'!A9</x:f>
        <x:v>T-005</x:v>
      </x:c>
      <x:c r="B11" s="68" t="str">
        <x:f>'Task Register'!B9</x:f>
        <x:v>M0</x:v>
      </x:c>
      <x:c r="C11" s="68" t="str">
        <x:f>'Task Register'!C9</x:f>
        <x:v>Validation</x:v>
      </x:c>
      <x:c r="D11" s="68" t="str">
        <x:f>'Task Register'!D9</x:f>
        <x:v>Define validation gates</x:v>
      </x:c>
      <x:c r="E11" s="68" t="str">
        <x:f>'Task Register'!E9</x:f>
        <x:v>T-003, T-004</x:v>
      </x:c>
      <x:c r="F11" s="68" t="str">
        <x:f>'Task Register'!F9</x:f>
        <x:v>Done</x:v>
      </x:c>
      <x:c r="G11" s="94" t="n">
        <x:f>'Task Register'!I9</x:f>
        <x:v>46241</x:v>
      </x:c>
      <x:c r="H11" s="94" t="n">
        <x:f>'Task Register'!J9</x:f>
        <x:v>46241</x:v>
      </x:c>
      <x:c r="I11" s="166" t="n">
        <x:f>IF(AND(I$6&lt;=$H11,I$6+6&gt;=$G11),1,"")</x:f>
        <x:v>1</x:v>
      </x:c>
      <x:c r="J11" s="167" t="str">
        <x:f>IF(AND(J$6&lt;=$H11,J$6+6&gt;=$G11),1,"")</x:f>
      </x:c>
      <x:c r="K11" s="167" t="str">
        <x:f>IF(AND(K$6&lt;=$H11,K$6+6&gt;=$G11),1,"")</x:f>
      </x:c>
      <x:c r="L11" s="167" t="str">
        <x:f>IF(AND(L$6&lt;=$H11,L$6+6&gt;=$G11),1,"")</x:f>
      </x:c>
      <x:c r="M11" s="167" t="str">
        <x:f>IF(AND(M$6&lt;=$H11,M$6+6&gt;=$G11),1,"")</x:f>
      </x:c>
      <x:c r="N11" s="167" t="str">
        <x:f>IF(AND(N$6&lt;=$H11,N$6+6&gt;=$G11),1,"")</x:f>
      </x:c>
      <x:c r="O11" s="167" t="str">
        <x:f>IF(AND(O$6&lt;=$H11,O$6+6&gt;=$G11),1,"")</x:f>
      </x:c>
      <x:c r="P11" s="167" t="str">
        <x:f>IF(AND(P$6&lt;=$H11,P$6+6&gt;=$G11),1,"")</x:f>
      </x:c>
      <x:c r="Q11" s="167" t="str">
        <x:f>IF(AND(Q$6&lt;=$H11,Q$6+6&gt;=$G11),1,"")</x:f>
      </x:c>
      <x:c r="R11" s="167" t="str">
        <x:f>IF(AND(R$6&lt;=$H11,R$6+6&gt;=$G11),1,"")</x:f>
      </x:c>
      <x:c r="S11" s="167" t="str">
        <x:f>IF(AND(S$6&lt;=$H11,S$6+6&gt;=$G11),1,"")</x:f>
      </x:c>
      <x:c r="T11" s="167" t="str">
        <x:f>IF(AND(T$6&lt;=$H11,T$6+6&gt;=$G11),1,"")</x:f>
      </x:c>
      <x:c r="U11" s="167" t="str">
        <x:f>IF(AND(U$6&lt;=$H11,U$6+6&gt;=$G11),1,"")</x:f>
      </x:c>
      <x:c r="V11" s="167" t="str">
        <x:f>IF(AND(V$6&lt;=$H11,V$6+6&gt;=$G11),1,"")</x:f>
      </x:c>
      <x:c r="W11" s="167" t="str">
        <x:f>IF(AND(W$6&lt;=$H11,W$6+6&gt;=$G11),1,"")</x:f>
      </x:c>
      <x:c r="X11" s="167" t="str">
        <x:f>IF(AND(X$6&lt;=$H11,X$6+6&gt;=$G11),1,"")</x:f>
      </x:c>
      <x:c r="Y11" s="167" t="str">
        <x:f>IF(AND(Y$6&lt;=$H11,Y$6+6&gt;=$G11),1,"")</x:f>
      </x:c>
      <x:c r="Z11" s="167" t="str">
        <x:f>IF(AND(Z$6&lt;=$H11,Z$6+6&gt;=$G11),1,"")</x:f>
      </x:c>
      <x:c r="AA11" s="167" t="str">
        <x:f>IF(AND(AA$6&lt;=$H11,AA$6+6&gt;=$G11),1,"")</x:f>
      </x:c>
      <x:c r="AB11" s="167" t="str">
        <x:f>IF(AND(AB$6&lt;=$H11,AB$6+6&gt;=$G11),1,"")</x:f>
      </x:c>
      <x:c r="AC11" s="167" t="str">
        <x:f>IF(AND(AC$6&lt;=$H11,AC$6+6&gt;=$G11),1,"")</x:f>
      </x:c>
      <x:c r="AD11" s="167" t="str">
        <x:f>IF(AND(AD$6&lt;=$H11,AD$6+6&gt;=$G11),1,"")</x:f>
      </x:c>
      <x:c r="AE11" s="167" t="str">
        <x:f>IF(AND(AE$6&lt;=$H11,AE$6+6&gt;=$G11),1,"")</x:f>
      </x:c>
      <x:c r="AF11" s="167" t="str">
        <x:f>IF(AND(AF$6&lt;=$H11,AF$6+6&gt;=$G11),1,"")</x:f>
      </x:c>
      <x:c r="AG11" s="167" t="str">
        <x:f>IF(AND(AG$6&lt;=$H11,AG$6+6&gt;=$G11),1,"")</x:f>
      </x:c>
      <x:c r="AH11" s="167" t="str">
        <x:f>IF(AND(AH$6&lt;=$H11,AH$6+6&gt;=$G11),1,"")</x:f>
      </x:c>
      <x:c r="AI11" s="167" t="str">
        <x:f>IF(AND(AI$6&lt;=$H11,AI$6+6&gt;=$G11),1,"")</x:f>
      </x:c>
      <x:c r="AJ11" s="167" t="str">
        <x:f>IF(AND(AJ$6&lt;=$H11,AJ$6+6&gt;=$G11),1,"")</x:f>
      </x:c>
      <x:c r="AK11" s="167" t="str">
        <x:f>IF(AND(AK$6&lt;=$H11,AK$6+6&gt;=$G11),1,"")</x:f>
      </x:c>
      <x:c r="AL11" s="167" t="str">
        <x:f>IF(AND(AL$6&lt;=$H11,AL$6+6&gt;=$G11),1,"")</x:f>
      </x:c>
      <x:c r="AM11" s="167" t="str">
        <x:f>IF(AND(AM$6&lt;=$H11,AM$6+6&gt;=$G11),1,"")</x:f>
      </x:c>
      <x:c r="AN11" s="167" t="str">
        <x:f>IF(AND(AN$6&lt;=$H11,AN$6+6&gt;=$G11),1,"")</x:f>
      </x:c>
      <x:c r="AO11" s="167" t="str">
        <x:f>IF(AND(AO$6&lt;=$H11,AO$6+6&gt;=$G11),1,"")</x:f>
      </x:c>
      <x:c r="AP11" s="167" t="str">
        <x:f>IF(AND(AP$6&lt;=$H11,AP$6+6&gt;=$G11),1,"")</x:f>
      </x:c>
      <x:c r="AQ11" s="167" t="str">
        <x:f>IF(AND(AQ$6&lt;=$H11,AQ$6+6&gt;=$G11),1,"")</x:f>
      </x:c>
      <x:c r="AR11" s="167" t="str">
        <x:f>IF(AND(AR$6&lt;=$H11,AR$6+6&gt;=$G11),1,"")</x:f>
      </x:c>
      <x:c r="AS11" s="167" t="str">
        <x:f>IF(AND(AS$6&lt;=$H11,AS$6+6&gt;=$G11),1,"")</x:f>
      </x:c>
      <x:c r="AT11" s="167" t="str">
        <x:f>IF(AND(AT$6&lt;=$H11,AT$6+6&gt;=$G11),1,"")</x:f>
      </x:c>
      <x:c r="AU11" s="167" t="str">
        <x:f>IF(AND(AU$6&lt;=$H11,AU$6+6&gt;=$G11),1,"")</x:f>
      </x:c>
      <x:c r="AV11" s="167" t="str">
        <x:f>IF(AND(AV$6&lt;=$H11,AV$6+6&gt;=$G11),1,"")</x:f>
      </x:c>
      <x:c r="AW11" s="167" t="str">
        <x:f>IF(AND(AW$6&lt;=$H11,AW$6+6&gt;=$G11),1,"")</x:f>
      </x:c>
      <x:c r="AX11" s="167" t="str">
        <x:f>IF(AND(AX$6&lt;=$H11,AX$6+6&gt;=$G11),1,"")</x:f>
      </x:c>
      <x:c r="AY11" s="167" t="str">
        <x:f>IF(AND(AY$6&lt;=$H11,AY$6+6&gt;=$G11),1,"")</x:f>
      </x:c>
      <x:c r="AZ11" s="167" t="str">
        <x:f>IF(AND(AZ$6&lt;=$H11,AZ$6+6&gt;=$G11),1,"")</x:f>
      </x:c>
      <x:c r="BA11" s="167" t="str">
        <x:f>IF(AND(BA$6&lt;=$H11,BA$6+6&gt;=$G11),1,"")</x:f>
      </x:c>
      <x:c r="BB11" s="167" t="str">
        <x:f>IF(AND(BB$6&lt;=$H11,BB$6+6&gt;=$G11),1,"")</x:f>
      </x:c>
      <x:c r="BC11" s="167" t="str">
        <x:f>IF(AND(BC$6&lt;=$H11,BC$6+6&gt;=$G11),1,"")</x:f>
      </x:c>
      <x:c r="BD11" s="167" t="str">
        <x:f>IF(AND(BD$6&lt;=$H11,BD$6+6&gt;=$G11),1,"")</x:f>
      </x:c>
      <x:c r="BE11" s="167" t="str">
        <x:f>IF(AND(BE$6&lt;=$H11,BE$6+6&gt;=$G11),1,"")</x:f>
      </x:c>
      <x:c r="BF11" s="167" t="str">
        <x:f>IF(AND(BF$6&lt;=$H11,BF$6+6&gt;=$G11),1,"")</x:f>
      </x:c>
      <x:c r="BG11" s="167" t="str">
        <x:f>IF(AND(BG$6&lt;=$H11,BG$6+6&gt;=$G11),1,"")</x:f>
      </x:c>
      <x:c r="BH11" s="167" t="str">
        <x:f>IF(AND(BH$6&lt;=$H11,BH$6+6&gt;=$G11),1,"")</x:f>
      </x:c>
      <x:c r="BI11" s="167" t="str">
        <x:f>IF(AND(BI$6&lt;=$H11,BI$6+6&gt;=$G11),1,"")</x:f>
      </x:c>
      <x:c r="BJ11" s="167" t="str">
        <x:f>IF(AND(BJ$6&lt;=$H11,BJ$6+6&gt;=$G11),1,"")</x:f>
      </x:c>
      <x:c r="BK11" s="167" t="str">
        <x:f>IF(AND(BK$6&lt;=$H11,BK$6+6&gt;=$G11),1,"")</x:f>
      </x:c>
      <x:c r="BL11" s="167" t="str">
        <x:f>IF(AND(BL$6&lt;=$H11,BL$6+6&gt;=$G11),1,"")</x:f>
      </x:c>
      <x:c r="BM11" s="167" t="str">
        <x:f>IF(AND(BM$6&lt;=$H11,BM$6+6&gt;=$G11),1,"")</x:f>
      </x:c>
      <x:c r="BN11" s="167" t="str">
        <x:f>IF(AND(BN$6&lt;=$H11,BN$6+6&gt;=$G11),1,"")</x:f>
      </x:c>
      <x:c r="BO11" s="168" t="str">
        <x:f>IF(AND(BO$6&lt;=$H11,BO$6+6&gt;=$G11),1,"")</x:f>
      </x:c>
    </x:row>
    <x:row r="12" ht="24" customHeight="1">
      <x:c r="A12" s="68" t="str">
        <x:f>'Task Register'!A10</x:f>
        <x:v>T-006</x:v>
      </x:c>
      <x:c r="B12" s="68" t="str">
        <x:f>'Task Register'!B10</x:f>
        <x:v>M0</x:v>
      </x:c>
      <x:c r="C12" s="68" t="str">
        <x:f>'Task Register'!C10</x:f>
        <x:v>Operations</x:v>
      </x:c>
      <x:c r="D12" s="68" t="str">
        <x:f>'Task Register'!D10</x:f>
        <x:v>Create milestone index</x:v>
      </x:c>
      <x:c r="E12" s="68" t="str">
        <x:f>'Task Register'!E10</x:f>
        <x:v>T-001</x:v>
      </x:c>
      <x:c r="F12" s="68" t="str">
        <x:f>'Task Register'!F10</x:f>
        <x:v>Done</x:v>
      </x:c>
      <x:c r="G12" s="94" t="n">
        <x:f>'Task Register'!I10</x:f>
        <x:v>46244</x:v>
      </x:c>
      <x:c r="H12" s="94" t="n">
        <x:f>'Task Register'!J10</x:f>
        <x:v>46244</x:v>
      </x:c>
      <x:c r="I12" s="166" t="str">
        <x:f>IF(AND(I$6&lt;=$H12,I$6+6&gt;=$G12),1,"")</x:f>
      </x:c>
      <x:c r="J12" s="167" t="n">
        <x:f>IF(AND(J$6&lt;=$H12,J$6+6&gt;=$G12),1,"")</x:f>
        <x:v>1</x:v>
      </x:c>
      <x:c r="K12" s="167" t="str">
        <x:f>IF(AND(K$6&lt;=$H12,K$6+6&gt;=$G12),1,"")</x:f>
      </x:c>
      <x:c r="L12" s="167" t="str">
        <x:f>IF(AND(L$6&lt;=$H12,L$6+6&gt;=$G12),1,"")</x:f>
      </x:c>
      <x:c r="M12" s="167" t="str">
        <x:f>IF(AND(M$6&lt;=$H12,M$6+6&gt;=$G12),1,"")</x:f>
      </x:c>
      <x:c r="N12" s="167" t="str">
        <x:f>IF(AND(N$6&lt;=$H12,N$6+6&gt;=$G12),1,"")</x:f>
      </x:c>
      <x:c r="O12" s="167" t="str">
        <x:f>IF(AND(O$6&lt;=$H12,O$6+6&gt;=$G12),1,"")</x:f>
      </x:c>
      <x:c r="P12" s="167" t="str">
        <x:f>IF(AND(P$6&lt;=$H12,P$6+6&gt;=$G12),1,"")</x:f>
      </x:c>
      <x:c r="Q12" s="167" t="str">
        <x:f>IF(AND(Q$6&lt;=$H12,Q$6+6&gt;=$G12),1,"")</x:f>
      </x:c>
      <x:c r="R12" s="167" t="str">
        <x:f>IF(AND(R$6&lt;=$H12,R$6+6&gt;=$G12),1,"")</x:f>
      </x:c>
      <x:c r="S12" s="167" t="str">
        <x:f>IF(AND(S$6&lt;=$H12,S$6+6&gt;=$G12),1,"")</x:f>
      </x:c>
      <x:c r="T12" s="167" t="str">
        <x:f>IF(AND(T$6&lt;=$H12,T$6+6&gt;=$G12),1,"")</x:f>
      </x:c>
      <x:c r="U12" s="167" t="str">
        <x:f>IF(AND(U$6&lt;=$H12,U$6+6&gt;=$G12),1,"")</x:f>
      </x:c>
      <x:c r="V12" s="167" t="str">
        <x:f>IF(AND(V$6&lt;=$H12,V$6+6&gt;=$G12),1,"")</x:f>
      </x:c>
      <x:c r="W12" s="167" t="str">
        <x:f>IF(AND(W$6&lt;=$H12,W$6+6&gt;=$G12),1,"")</x:f>
      </x:c>
      <x:c r="X12" s="167" t="str">
        <x:f>IF(AND(X$6&lt;=$H12,X$6+6&gt;=$G12),1,"")</x:f>
      </x:c>
      <x:c r="Y12" s="167" t="str">
        <x:f>IF(AND(Y$6&lt;=$H12,Y$6+6&gt;=$G12),1,"")</x:f>
      </x:c>
      <x:c r="Z12" s="167" t="str">
        <x:f>IF(AND(Z$6&lt;=$H12,Z$6+6&gt;=$G12),1,"")</x:f>
      </x:c>
      <x:c r="AA12" s="167" t="str">
        <x:f>IF(AND(AA$6&lt;=$H12,AA$6+6&gt;=$G12),1,"")</x:f>
      </x:c>
      <x:c r="AB12" s="167" t="str">
        <x:f>IF(AND(AB$6&lt;=$H12,AB$6+6&gt;=$G12),1,"")</x:f>
      </x:c>
      <x:c r="AC12" s="167" t="str">
        <x:f>IF(AND(AC$6&lt;=$H12,AC$6+6&gt;=$G12),1,"")</x:f>
      </x:c>
      <x:c r="AD12" s="167" t="str">
        <x:f>IF(AND(AD$6&lt;=$H12,AD$6+6&gt;=$G12),1,"")</x:f>
      </x:c>
      <x:c r="AE12" s="167" t="str">
        <x:f>IF(AND(AE$6&lt;=$H12,AE$6+6&gt;=$G12),1,"")</x:f>
      </x:c>
      <x:c r="AF12" s="167" t="str">
        <x:f>IF(AND(AF$6&lt;=$H12,AF$6+6&gt;=$G12),1,"")</x:f>
      </x:c>
      <x:c r="AG12" s="167" t="str">
        <x:f>IF(AND(AG$6&lt;=$H12,AG$6+6&gt;=$G12),1,"")</x:f>
      </x:c>
      <x:c r="AH12" s="167" t="str">
        <x:f>IF(AND(AH$6&lt;=$H12,AH$6+6&gt;=$G12),1,"")</x:f>
      </x:c>
      <x:c r="AI12" s="167" t="str">
        <x:f>IF(AND(AI$6&lt;=$H12,AI$6+6&gt;=$G12),1,"")</x:f>
      </x:c>
      <x:c r="AJ12" s="167" t="str">
        <x:f>IF(AND(AJ$6&lt;=$H12,AJ$6+6&gt;=$G12),1,"")</x:f>
      </x:c>
      <x:c r="AK12" s="167" t="str">
        <x:f>IF(AND(AK$6&lt;=$H12,AK$6+6&gt;=$G12),1,"")</x:f>
      </x:c>
      <x:c r="AL12" s="167" t="str">
        <x:f>IF(AND(AL$6&lt;=$H12,AL$6+6&gt;=$G12),1,"")</x:f>
      </x:c>
      <x:c r="AM12" s="167" t="str">
        <x:f>IF(AND(AM$6&lt;=$H12,AM$6+6&gt;=$G12),1,"")</x:f>
      </x:c>
      <x:c r="AN12" s="167" t="str">
        <x:f>IF(AND(AN$6&lt;=$H12,AN$6+6&gt;=$G12),1,"")</x:f>
      </x:c>
      <x:c r="AO12" s="167" t="str">
        <x:f>IF(AND(AO$6&lt;=$H12,AO$6+6&gt;=$G12),1,"")</x:f>
      </x:c>
      <x:c r="AP12" s="167" t="str">
        <x:f>IF(AND(AP$6&lt;=$H12,AP$6+6&gt;=$G12),1,"")</x:f>
      </x:c>
      <x:c r="AQ12" s="167" t="str">
        <x:f>IF(AND(AQ$6&lt;=$H12,AQ$6+6&gt;=$G12),1,"")</x:f>
      </x:c>
      <x:c r="AR12" s="167" t="str">
        <x:f>IF(AND(AR$6&lt;=$H12,AR$6+6&gt;=$G12),1,"")</x:f>
      </x:c>
      <x:c r="AS12" s="167" t="str">
        <x:f>IF(AND(AS$6&lt;=$H12,AS$6+6&gt;=$G12),1,"")</x:f>
      </x:c>
      <x:c r="AT12" s="167" t="str">
        <x:f>IF(AND(AT$6&lt;=$H12,AT$6+6&gt;=$G12),1,"")</x:f>
      </x:c>
      <x:c r="AU12" s="167" t="str">
        <x:f>IF(AND(AU$6&lt;=$H12,AU$6+6&gt;=$G12),1,"")</x:f>
      </x:c>
      <x:c r="AV12" s="167" t="str">
        <x:f>IF(AND(AV$6&lt;=$H12,AV$6+6&gt;=$G12),1,"")</x:f>
      </x:c>
      <x:c r="AW12" s="167" t="str">
        <x:f>IF(AND(AW$6&lt;=$H12,AW$6+6&gt;=$G12),1,"")</x:f>
      </x:c>
      <x:c r="AX12" s="167" t="str">
        <x:f>IF(AND(AX$6&lt;=$H12,AX$6+6&gt;=$G12),1,"")</x:f>
      </x:c>
      <x:c r="AY12" s="167" t="str">
        <x:f>IF(AND(AY$6&lt;=$H12,AY$6+6&gt;=$G12),1,"")</x:f>
      </x:c>
      <x:c r="AZ12" s="167" t="str">
        <x:f>IF(AND(AZ$6&lt;=$H12,AZ$6+6&gt;=$G12),1,"")</x:f>
      </x:c>
      <x:c r="BA12" s="167" t="str">
        <x:f>IF(AND(BA$6&lt;=$H12,BA$6+6&gt;=$G12),1,"")</x:f>
      </x:c>
      <x:c r="BB12" s="167" t="str">
        <x:f>IF(AND(BB$6&lt;=$H12,BB$6+6&gt;=$G12),1,"")</x:f>
      </x:c>
      <x:c r="BC12" s="167" t="str">
        <x:f>IF(AND(BC$6&lt;=$H12,BC$6+6&gt;=$G12),1,"")</x:f>
      </x:c>
      <x:c r="BD12" s="167" t="str">
        <x:f>IF(AND(BD$6&lt;=$H12,BD$6+6&gt;=$G12),1,"")</x:f>
      </x:c>
      <x:c r="BE12" s="167" t="str">
        <x:f>IF(AND(BE$6&lt;=$H12,BE$6+6&gt;=$G12),1,"")</x:f>
      </x:c>
      <x:c r="BF12" s="167" t="str">
        <x:f>IF(AND(BF$6&lt;=$H12,BF$6+6&gt;=$G12),1,"")</x:f>
      </x:c>
      <x:c r="BG12" s="167" t="str">
        <x:f>IF(AND(BG$6&lt;=$H12,BG$6+6&gt;=$G12),1,"")</x:f>
      </x:c>
      <x:c r="BH12" s="167" t="str">
        <x:f>IF(AND(BH$6&lt;=$H12,BH$6+6&gt;=$G12),1,"")</x:f>
      </x:c>
      <x:c r="BI12" s="167" t="str">
        <x:f>IF(AND(BI$6&lt;=$H12,BI$6+6&gt;=$G12),1,"")</x:f>
      </x:c>
      <x:c r="BJ12" s="167" t="str">
        <x:f>IF(AND(BJ$6&lt;=$H12,BJ$6+6&gt;=$G12),1,"")</x:f>
      </x:c>
      <x:c r="BK12" s="167" t="str">
        <x:f>IF(AND(BK$6&lt;=$H12,BK$6+6&gt;=$G12),1,"")</x:f>
      </x:c>
      <x:c r="BL12" s="167" t="str">
        <x:f>IF(AND(BL$6&lt;=$H12,BL$6+6&gt;=$G12),1,"")</x:f>
      </x:c>
      <x:c r="BM12" s="167" t="str">
        <x:f>IF(AND(BM$6&lt;=$H12,BM$6+6&gt;=$G12),1,"")</x:f>
      </x:c>
      <x:c r="BN12" s="167" t="str">
        <x:f>IF(AND(BN$6&lt;=$H12,BN$6+6&gt;=$G12),1,"")</x:f>
      </x:c>
      <x:c r="BO12" s="168" t="str">
        <x:f>IF(AND(BO$6&lt;=$H12,BO$6+6&gt;=$G12),1,"")</x:f>
      </x:c>
    </x:row>
    <x:row r="13" ht="24" customHeight="1">
      <x:c r="A13" s="68" t="str">
        <x:f>'Task Register'!A11</x:f>
        <x:v>AI-101</x:v>
      </x:c>
      <x:c r="B13" s="68" t="str">
        <x:f>'Task Register'!B11</x:f>
        <x:v>M1</x:v>
      </x:c>
      <x:c r="C13" s="68" t="str">
        <x:f>'Task Register'!C11</x:f>
        <x:v>Active Inference/Formalization</x:v>
      </x:c>
      <x:c r="D13" s="68" t="str">
        <x:f>'Task Register'!D11</x:f>
        <x:v>Write the executable generative-model specification</x:v>
      </x:c>
      <x:c r="E13" s="68" t="str">
        <x:f>'Task Register'!E11</x:f>
        <x:v>M0</x:v>
      </x:c>
      <x:c r="F13" s="68" t="str">
        <x:f>'Task Register'!F11</x:f>
        <x:v>Done</x:v>
      </x:c>
      <x:c r="G13" s="94" t="n">
        <x:f>'Task Register'!I11</x:f>
        <x:v>46251</x:v>
      </x:c>
      <x:c r="H13" s="94" t="n">
        <x:f>'Task Register'!J11</x:f>
        <x:v>46252</x:v>
      </x:c>
      <x:c r="I13" s="166" t="str">
        <x:f>IF(AND(I$6&lt;=$H13,I$6+6&gt;=$G13),1,"")</x:f>
      </x:c>
      <x:c r="J13" s="167" t="str">
        <x:f>IF(AND(J$6&lt;=$H13,J$6+6&gt;=$G13),1,"")</x:f>
      </x:c>
      <x:c r="K13" s="167" t="n">
        <x:f>IF(AND(K$6&lt;=$H13,K$6+6&gt;=$G13),1,"")</x:f>
        <x:v>1</x:v>
      </x:c>
      <x:c r="L13" s="167" t="str">
        <x:f>IF(AND(L$6&lt;=$H13,L$6+6&gt;=$G13),1,"")</x:f>
      </x:c>
      <x:c r="M13" s="167" t="str">
        <x:f>IF(AND(M$6&lt;=$H13,M$6+6&gt;=$G13),1,"")</x:f>
      </x:c>
      <x:c r="N13" s="167" t="str">
        <x:f>IF(AND(N$6&lt;=$H13,N$6+6&gt;=$G13),1,"")</x:f>
      </x:c>
      <x:c r="O13" s="167" t="str">
        <x:f>IF(AND(O$6&lt;=$H13,O$6+6&gt;=$G13),1,"")</x:f>
      </x:c>
      <x:c r="P13" s="167" t="str">
        <x:f>IF(AND(P$6&lt;=$H13,P$6+6&gt;=$G13),1,"")</x:f>
      </x:c>
      <x:c r="Q13" s="167" t="str">
        <x:f>IF(AND(Q$6&lt;=$H13,Q$6+6&gt;=$G13),1,"")</x:f>
      </x:c>
      <x:c r="R13" s="167" t="str">
        <x:f>IF(AND(R$6&lt;=$H13,R$6+6&gt;=$G13),1,"")</x:f>
      </x:c>
      <x:c r="S13" s="167" t="str">
        <x:f>IF(AND(S$6&lt;=$H13,S$6+6&gt;=$G13),1,"")</x:f>
      </x:c>
      <x:c r="T13" s="167" t="str">
        <x:f>IF(AND(T$6&lt;=$H13,T$6+6&gt;=$G13),1,"")</x:f>
      </x:c>
      <x:c r="U13" s="167" t="str">
        <x:f>IF(AND(U$6&lt;=$H13,U$6+6&gt;=$G13),1,"")</x:f>
      </x:c>
      <x:c r="V13" s="167" t="str">
        <x:f>IF(AND(V$6&lt;=$H13,V$6+6&gt;=$G13),1,"")</x:f>
      </x:c>
      <x:c r="W13" s="167" t="str">
        <x:f>IF(AND(W$6&lt;=$H13,W$6+6&gt;=$G13),1,"")</x:f>
      </x:c>
      <x:c r="X13" s="167" t="str">
        <x:f>IF(AND(X$6&lt;=$H13,X$6+6&gt;=$G13),1,"")</x:f>
      </x:c>
      <x:c r="Y13" s="167" t="str">
        <x:f>IF(AND(Y$6&lt;=$H13,Y$6+6&gt;=$G13),1,"")</x:f>
      </x:c>
      <x:c r="Z13" s="167" t="str">
        <x:f>IF(AND(Z$6&lt;=$H13,Z$6+6&gt;=$G13),1,"")</x:f>
      </x:c>
      <x:c r="AA13" s="167" t="str">
        <x:f>IF(AND(AA$6&lt;=$H13,AA$6+6&gt;=$G13),1,"")</x:f>
      </x:c>
      <x:c r="AB13" s="167" t="str">
        <x:f>IF(AND(AB$6&lt;=$H13,AB$6+6&gt;=$G13),1,"")</x:f>
      </x:c>
      <x:c r="AC13" s="167" t="str">
        <x:f>IF(AND(AC$6&lt;=$H13,AC$6+6&gt;=$G13),1,"")</x:f>
      </x:c>
      <x:c r="AD13" s="167" t="str">
        <x:f>IF(AND(AD$6&lt;=$H13,AD$6+6&gt;=$G13),1,"")</x:f>
      </x:c>
      <x:c r="AE13" s="167" t="str">
        <x:f>IF(AND(AE$6&lt;=$H13,AE$6+6&gt;=$G13),1,"")</x:f>
      </x:c>
      <x:c r="AF13" s="167" t="str">
        <x:f>IF(AND(AF$6&lt;=$H13,AF$6+6&gt;=$G13),1,"")</x:f>
      </x:c>
      <x:c r="AG13" s="167" t="str">
        <x:f>IF(AND(AG$6&lt;=$H13,AG$6+6&gt;=$G13),1,"")</x:f>
      </x:c>
      <x:c r="AH13" s="167" t="str">
        <x:f>IF(AND(AH$6&lt;=$H13,AH$6+6&gt;=$G13),1,"")</x:f>
      </x:c>
      <x:c r="AI13" s="167" t="str">
        <x:f>IF(AND(AI$6&lt;=$H13,AI$6+6&gt;=$G13),1,"")</x:f>
      </x:c>
      <x:c r="AJ13" s="167" t="str">
        <x:f>IF(AND(AJ$6&lt;=$H13,AJ$6+6&gt;=$G13),1,"")</x:f>
      </x:c>
      <x:c r="AK13" s="167" t="str">
        <x:f>IF(AND(AK$6&lt;=$H13,AK$6+6&gt;=$G13),1,"")</x:f>
      </x:c>
      <x:c r="AL13" s="167" t="str">
        <x:f>IF(AND(AL$6&lt;=$H13,AL$6+6&gt;=$G13),1,"")</x:f>
      </x:c>
      <x:c r="AM13" s="167" t="str">
        <x:f>IF(AND(AM$6&lt;=$H13,AM$6+6&gt;=$G13),1,"")</x:f>
      </x:c>
      <x:c r="AN13" s="167" t="str">
        <x:f>IF(AND(AN$6&lt;=$H13,AN$6+6&gt;=$G13),1,"")</x:f>
      </x:c>
      <x:c r="AO13" s="167" t="str">
        <x:f>IF(AND(AO$6&lt;=$H13,AO$6+6&gt;=$G13),1,"")</x:f>
      </x:c>
      <x:c r="AP13" s="167" t="str">
        <x:f>IF(AND(AP$6&lt;=$H13,AP$6+6&gt;=$G13),1,"")</x:f>
      </x:c>
      <x:c r="AQ13" s="167" t="str">
        <x:f>IF(AND(AQ$6&lt;=$H13,AQ$6+6&gt;=$G13),1,"")</x:f>
      </x:c>
      <x:c r="AR13" s="167" t="str">
        <x:f>IF(AND(AR$6&lt;=$H13,AR$6+6&gt;=$G13),1,"")</x:f>
      </x:c>
      <x:c r="AS13" s="167" t="str">
        <x:f>IF(AND(AS$6&lt;=$H13,AS$6+6&gt;=$G13),1,"")</x:f>
      </x:c>
      <x:c r="AT13" s="167" t="str">
        <x:f>IF(AND(AT$6&lt;=$H13,AT$6+6&gt;=$G13),1,"")</x:f>
      </x:c>
      <x:c r="AU13" s="167" t="str">
        <x:f>IF(AND(AU$6&lt;=$H13,AU$6+6&gt;=$G13),1,"")</x:f>
      </x:c>
      <x:c r="AV13" s="167" t="str">
        <x:f>IF(AND(AV$6&lt;=$H13,AV$6+6&gt;=$G13),1,"")</x:f>
      </x:c>
      <x:c r="AW13" s="167" t="str">
        <x:f>IF(AND(AW$6&lt;=$H13,AW$6+6&gt;=$G13),1,"")</x:f>
      </x:c>
      <x:c r="AX13" s="167" t="str">
        <x:f>IF(AND(AX$6&lt;=$H13,AX$6+6&gt;=$G13),1,"")</x:f>
      </x:c>
      <x:c r="AY13" s="167" t="str">
        <x:f>IF(AND(AY$6&lt;=$H13,AY$6+6&gt;=$G13),1,"")</x:f>
      </x:c>
      <x:c r="AZ13" s="167" t="str">
        <x:f>IF(AND(AZ$6&lt;=$H13,AZ$6+6&gt;=$G13),1,"")</x:f>
      </x:c>
      <x:c r="BA13" s="167" t="str">
        <x:f>IF(AND(BA$6&lt;=$H13,BA$6+6&gt;=$G13),1,"")</x:f>
      </x:c>
      <x:c r="BB13" s="167" t="str">
        <x:f>IF(AND(BB$6&lt;=$H13,BB$6+6&gt;=$G13),1,"")</x:f>
      </x:c>
      <x:c r="BC13" s="167" t="str">
        <x:f>IF(AND(BC$6&lt;=$H13,BC$6+6&gt;=$G13),1,"")</x:f>
      </x:c>
      <x:c r="BD13" s="167" t="str">
        <x:f>IF(AND(BD$6&lt;=$H13,BD$6+6&gt;=$G13),1,"")</x:f>
      </x:c>
      <x:c r="BE13" s="167" t="str">
        <x:f>IF(AND(BE$6&lt;=$H13,BE$6+6&gt;=$G13),1,"")</x:f>
      </x:c>
      <x:c r="BF13" s="167" t="str">
        <x:f>IF(AND(BF$6&lt;=$H13,BF$6+6&gt;=$G13),1,"")</x:f>
      </x:c>
      <x:c r="BG13" s="167" t="str">
        <x:f>IF(AND(BG$6&lt;=$H13,BG$6+6&gt;=$G13),1,"")</x:f>
      </x:c>
      <x:c r="BH13" s="167" t="str">
        <x:f>IF(AND(BH$6&lt;=$H13,BH$6+6&gt;=$G13),1,"")</x:f>
      </x:c>
      <x:c r="BI13" s="167" t="str">
        <x:f>IF(AND(BI$6&lt;=$H13,BI$6+6&gt;=$G13),1,"")</x:f>
      </x:c>
      <x:c r="BJ13" s="167" t="str">
        <x:f>IF(AND(BJ$6&lt;=$H13,BJ$6+6&gt;=$G13),1,"")</x:f>
      </x:c>
      <x:c r="BK13" s="167" t="str">
        <x:f>IF(AND(BK$6&lt;=$H13,BK$6+6&gt;=$G13),1,"")</x:f>
      </x:c>
      <x:c r="BL13" s="167" t="str">
        <x:f>IF(AND(BL$6&lt;=$H13,BL$6+6&gt;=$G13),1,"")</x:f>
      </x:c>
      <x:c r="BM13" s="167" t="str">
        <x:f>IF(AND(BM$6&lt;=$H13,BM$6+6&gt;=$G13),1,"")</x:f>
      </x:c>
      <x:c r="BN13" s="167" t="str">
        <x:f>IF(AND(BN$6&lt;=$H13,BN$6+6&gt;=$G13),1,"")</x:f>
      </x:c>
      <x:c r="BO13" s="168" t="str">
        <x:f>IF(AND(BO$6&lt;=$H13,BO$6+6&gt;=$G13),1,"")</x:f>
      </x:c>
    </x:row>
    <x:row r="14" ht="24" customHeight="1">
      <x:c r="A14" s="68" t="str">
        <x:f>'Task Register'!A12</x:f>
        <x:v>AI-102</x:v>
      </x:c>
      <x:c r="B14" s="68" t="str">
        <x:f>'Task Register'!B12</x:f>
        <x:v>M1</x:v>
      </x:c>
      <x:c r="C14" s="68" t="str">
        <x:f>'Task Register'!C12</x:f>
        <x:v>Active Inference/Sensors</x:v>
      </x:c>
      <x:c r="D14" s="68" t="str">
        <x:f>'Task Register'!D12</x:f>
        <x:v>Create the variable and sensor-access ledger</x:v>
      </x:c>
      <x:c r="E14" s="68" t="str">
        <x:f>'Task Register'!E12</x:f>
        <x:v>AI-101</x:v>
      </x:c>
      <x:c r="F14" s="68" t="str">
        <x:f>'Task Register'!F12</x:f>
        <x:v>Done</x:v>
      </x:c>
      <x:c r="G14" s="94" t="n">
        <x:f>'Task Register'!I12</x:f>
        <x:v>46253</x:v>
      </x:c>
      <x:c r="H14" s="94" t="n">
        <x:f>'Task Register'!J12</x:f>
        <x:v>46253</x:v>
      </x:c>
      <x:c r="I14" s="166" t="str">
        <x:f>IF(AND(I$6&lt;=$H14,I$6+6&gt;=$G14),1,"")</x:f>
      </x:c>
      <x:c r="J14" s="167" t="str">
        <x:f>IF(AND(J$6&lt;=$H14,J$6+6&gt;=$G14),1,"")</x:f>
      </x:c>
      <x:c r="K14" s="167" t="n">
        <x:f>IF(AND(K$6&lt;=$H14,K$6+6&gt;=$G14),1,"")</x:f>
        <x:v>1</x:v>
      </x:c>
      <x:c r="L14" s="167" t="str">
        <x:f>IF(AND(L$6&lt;=$H14,L$6+6&gt;=$G14),1,"")</x:f>
      </x:c>
      <x:c r="M14" s="167" t="str">
        <x:f>IF(AND(M$6&lt;=$H14,M$6+6&gt;=$G14),1,"")</x:f>
      </x:c>
      <x:c r="N14" s="167" t="str">
        <x:f>IF(AND(N$6&lt;=$H14,N$6+6&gt;=$G14),1,"")</x:f>
      </x:c>
      <x:c r="O14" s="167" t="str">
        <x:f>IF(AND(O$6&lt;=$H14,O$6+6&gt;=$G14),1,"")</x:f>
      </x:c>
      <x:c r="P14" s="167" t="str">
        <x:f>IF(AND(P$6&lt;=$H14,P$6+6&gt;=$G14),1,"")</x:f>
      </x:c>
      <x:c r="Q14" s="167" t="str">
        <x:f>IF(AND(Q$6&lt;=$H14,Q$6+6&gt;=$G14),1,"")</x:f>
      </x:c>
      <x:c r="R14" s="167" t="str">
        <x:f>IF(AND(R$6&lt;=$H14,R$6+6&gt;=$G14),1,"")</x:f>
      </x:c>
      <x:c r="S14" s="167" t="str">
        <x:f>IF(AND(S$6&lt;=$H14,S$6+6&gt;=$G14),1,"")</x:f>
      </x:c>
      <x:c r="T14" s="167" t="str">
        <x:f>IF(AND(T$6&lt;=$H14,T$6+6&gt;=$G14),1,"")</x:f>
      </x:c>
      <x:c r="U14" s="167" t="str">
        <x:f>IF(AND(U$6&lt;=$H14,U$6+6&gt;=$G14),1,"")</x:f>
      </x:c>
      <x:c r="V14" s="167" t="str">
        <x:f>IF(AND(V$6&lt;=$H14,V$6+6&gt;=$G14),1,"")</x:f>
      </x:c>
      <x:c r="W14" s="167" t="str">
        <x:f>IF(AND(W$6&lt;=$H14,W$6+6&gt;=$G14),1,"")</x:f>
      </x:c>
      <x:c r="X14" s="167" t="str">
        <x:f>IF(AND(X$6&lt;=$H14,X$6+6&gt;=$G14),1,"")</x:f>
      </x:c>
      <x:c r="Y14" s="167" t="str">
        <x:f>IF(AND(Y$6&lt;=$H14,Y$6+6&gt;=$G14),1,"")</x:f>
      </x:c>
      <x:c r="Z14" s="167" t="str">
        <x:f>IF(AND(Z$6&lt;=$H14,Z$6+6&gt;=$G14),1,"")</x:f>
      </x:c>
      <x:c r="AA14" s="167" t="str">
        <x:f>IF(AND(AA$6&lt;=$H14,AA$6+6&gt;=$G14),1,"")</x:f>
      </x:c>
      <x:c r="AB14" s="167" t="str">
        <x:f>IF(AND(AB$6&lt;=$H14,AB$6+6&gt;=$G14),1,"")</x:f>
      </x:c>
      <x:c r="AC14" s="167" t="str">
        <x:f>IF(AND(AC$6&lt;=$H14,AC$6+6&gt;=$G14),1,"")</x:f>
      </x:c>
      <x:c r="AD14" s="167" t="str">
        <x:f>IF(AND(AD$6&lt;=$H14,AD$6+6&gt;=$G14),1,"")</x:f>
      </x:c>
      <x:c r="AE14" s="167" t="str">
        <x:f>IF(AND(AE$6&lt;=$H14,AE$6+6&gt;=$G14),1,"")</x:f>
      </x:c>
      <x:c r="AF14" s="167" t="str">
        <x:f>IF(AND(AF$6&lt;=$H14,AF$6+6&gt;=$G14),1,"")</x:f>
      </x:c>
      <x:c r="AG14" s="167" t="str">
        <x:f>IF(AND(AG$6&lt;=$H14,AG$6+6&gt;=$G14),1,"")</x:f>
      </x:c>
      <x:c r="AH14" s="167" t="str">
        <x:f>IF(AND(AH$6&lt;=$H14,AH$6+6&gt;=$G14),1,"")</x:f>
      </x:c>
      <x:c r="AI14" s="167" t="str">
        <x:f>IF(AND(AI$6&lt;=$H14,AI$6+6&gt;=$G14),1,"")</x:f>
      </x:c>
      <x:c r="AJ14" s="167" t="str">
        <x:f>IF(AND(AJ$6&lt;=$H14,AJ$6+6&gt;=$G14),1,"")</x:f>
      </x:c>
      <x:c r="AK14" s="167" t="str">
        <x:f>IF(AND(AK$6&lt;=$H14,AK$6+6&gt;=$G14),1,"")</x:f>
      </x:c>
      <x:c r="AL14" s="167" t="str">
        <x:f>IF(AND(AL$6&lt;=$H14,AL$6+6&gt;=$G14),1,"")</x:f>
      </x:c>
      <x:c r="AM14" s="167" t="str">
        <x:f>IF(AND(AM$6&lt;=$H14,AM$6+6&gt;=$G14),1,"")</x:f>
      </x:c>
      <x:c r="AN14" s="167" t="str">
        <x:f>IF(AND(AN$6&lt;=$H14,AN$6+6&gt;=$G14),1,"")</x:f>
      </x:c>
      <x:c r="AO14" s="167" t="str">
        <x:f>IF(AND(AO$6&lt;=$H14,AO$6+6&gt;=$G14),1,"")</x:f>
      </x:c>
      <x:c r="AP14" s="167" t="str">
        <x:f>IF(AND(AP$6&lt;=$H14,AP$6+6&gt;=$G14),1,"")</x:f>
      </x:c>
      <x:c r="AQ14" s="167" t="str">
        <x:f>IF(AND(AQ$6&lt;=$H14,AQ$6+6&gt;=$G14),1,"")</x:f>
      </x:c>
      <x:c r="AR14" s="167" t="str">
        <x:f>IF(AND(AR$6&lt;=$H14,AR$6+6&gt;=$G14),1,"")</x:f>
      </x:c>
      <x:c r="AS14" s="167" t="str">
        <x:f>IF(AND(AS$6&lt;=$H14,AS$6+6&gt;=$G14),1,"")</x:f>
      </x:c>
      <x:c r="AT14" s="167" t="str">
        <x:f>IF(AND(AT$6&lt;=$H14,AT$6+6&gt;=$G14),1,"")</x:f>
      </x:c>
      <x:c r="AU14" s="167" t="str">
        <x:f>IF(AND(AU$6&lt;=$H14,AU$6+6&gt;=$G14),1,"")</x:f>
      </x:c>
      <x:c r="AV14" s="167" t="str">
        <x:f>IF(AND(AV$6&lt;=$H14,AV$6+6&gt;=$G14),1,"")</x:f>
      </x:c>
      <x:c r="AW14" s="167" t="str">
        <x:f>IF(AND(AW$6&lt;=$H14,AW$6+6&gt;=$G14),1,"")</x:f>
      </x:c>
      <x:c r="AX14" s="167" t="str">
        <x:f>IF(AND(AX$6&lt;=$H14,AX$6+6&gt;=$G14),1,"")</x:f>
      </x:c>
      <x:c r="AY14" s="167" t="str">
        <x:f>IF(AND(AY$6&lt;=$H14,AY$6+6&gt;=$G14),1,"")</x:f>
      </x:c>
      <x:c r="AZ14" s="167" t="str">
        <x:f>IF(AND(AZ$6&lt;=$H14,AZ$6+6&gt;=$G14),1,"")</x:f>
      </x:c>
      <x:c r="BA14" s="167" t="str">
        <x:f>IF(AND(BA$6&lt;=$H14,BA$6+6&gt;=$G14),1,"")</x:f>
      </x:c>
      <x:c r="BB14" s="167" t="str">
        <x:f>IF(AND(BB$6&lt;=$H14,BB$6+6&gt;=$G14),1,"")</x:f>
      </x:c>
      <x:c r="BC14" s="167" t="str">
        <x:f>IF(AND(BC$6&lt;=$H14,BC$6+6&gt;=$G14),1,"")</x:f>
      </x:c>
      <x:c r="BD14" s="167" t="str">
        <x:f>IF(AND(BD$6&lt;=$H14,BD$6+6&gt;=$G14),1,"")</x:f>
      </x:c>
      <x:c r="BE14" s="167" t="str">
        <x:f>IF(AND(BE$6&lt;=$H14,BE$6+6&gt;=$G14),1,"")</x:f>
      </x:c>
      <x:c r="BF14" s="167" t="str">
        <x:f>IF(AND(BF$6&lt;=$H14,BF$6+6&gt;=$G14),1,"")</x:f>
      </x:c>
      <x:c r="BG14" s="167" t="str">
        <x:f>IF(AND(BG$6&lt;=$H14,BG$6+6&gt;=$G14),1,"")</x:f>
      </x:c>
      <x:c r="BH14" s="167" t="str">
        <x:f>IF(AND(BH$6&lt;=$H14,BH$6+6&gt;=$G14),1,"")</x:f>
      </x:c>
      <x:c r="BI14" s="167" t="str">
        <x:f>IF(AND(BI$6&lt;=$H14,BI$6+6&gt;=$G14),1,"")</x:f>
      </x:c>
      <x:c r="BJ14" s="167" t="str">
        <x:f>IF(AND(BJ$6&lt;=$H14,BJ$6+6&gt;=$G14),1,"")</x:f>
      </x:c>
      <x:c r="BK14" s="167" t="str">
        <x:f>IF(AND(BK$6&lt;=$H14,BK$6+6&gt;=$G14),1,"")</x:f>
      </x:c>
      <x:c r="BL14" s="167" t="str">
        <x:f>IF(AND(BL$6&lt;=$H14,BL$6+6&gt;=$G14),1,"")</x:f>
      </x:c>
      <x:c r="BM14" s="167" t="str">
        <x:f>IF(AND(BM$6&lt;=$H14,BM$6+6&gt;=$G14),1,"")</x:f>
      </x:c>
      <x:c r="BN14" s="167" t="str">
        <x:f>IF(AND(BN$6&lt;=$H14,BN$6+6&gt;=$G14),1,"")</x:f>
      </x:c>
      <x:c r="BO14" s="168" t="str">
        <x:f>IF(AND(BO$6&lt;=$H14,BO$6+6&gt;=$G14),1,"")</x:f>
      </x:c>
    </x:row>
    <x:row r="15" ht="24" customHeight="1">
      <x:c r="A15" s="68" t="str">
        <x:f>'Task Register'!A13</x:f>
        <x:v>AI-103</x:v>
      </x:c>
      <x:c r="B15" s="68" t="str">
        <x:f>'Task Register'!B13</x:f>
        <x:v>M1</x:v>
      </x:c>
      <x:c r="C15" s="68" t="str">
        <x:f>'Task Register'!C13</x:f>
        <x:v>Active Inference/Observation Model</x:v>
      </x:c>
      <x:c r="D15" s="68" t="str">
        <x:f>'Task Register'!D13</x:f>
        <x:v>Audit observation independence and units</x:v>
      </x:c>
      <x:c r="E15" s="68" t="str">
        <x:f>'Task Register'!E13</x:f>
        <x:v>AI-101, AI-102</x:v>
      </x:c>
      <x:c r="F15" s="68" t="str">
        <x:f>'Task Register'!F13</x:f>
        <x:v>Done</x:v>
      </x:c>
      <x:c r="G15" s="94" t="n">
        <x:f>'Task Register'!I13</x:f>
        <x:v>46254</x:v>
      </x:c>
      <x:c r="H15" s="94" t="n">
        <x:f>'Task Register'!J13</x:f>
        <x:v>46254</x:v>
      </x:c>
      <x:c r="I15" s="166" t="str">
        <x:f>IF(AND(I$6&lt;=$H15,I$6+6&gt;=$G15),1,"")</x:f>
      </x:c>
      <x:c r="J15" s="167" t="str">
        <x:f>IF(AND(J$6&lt;=$H15,J$6+6&gt;=$G15),1,"")</x:f>
      </x:c>
      <x:c r="K15" s="167" t="n">
        <x:f>IF(AND(K$6&lt;=$H15,K$6+6&gt;=$G15),1,"")</x:f>
        <x:v>1</x:v>
      </x:c>
      <x:c r="L15" s="167" t="str">
        <x:f>IF(AND(L$6&lt;=$H15,L$6+6&gt;=$G15),1,"")</x:f>
      </x:c>
      <x:c r="M15" s="167" t="str">
        <x:f>IF(AND(M$6&lt;=$H15,M$6+6&gt;=$G15),1,"")</x:f>
      </x:c>
      <x:c r="N15" s="167" t="str">
        <x:f>IF(AND(N$6&lt;=$H15,N$6+6&gt;=$G15),1,"")</x:f>
      </x:c>
      <x:c r="O15" s="167" t="str">
        <x:f>IF(AND(O$6&lt;=$H15,O$6+6&gt;=$G15),1,"")</x:f>
      </x:c>
      <x:c r="P15" s="167" t="str">
        <x:f>IF(AND(P$6&lt;=$H15,P$6+6&gt;=$G15),1,"")</x:f>
      </x:c>
      <x:c r="Q15" s="167" t="str">
        <x:f>IF(AND(Q$6&lt;=$H15,Q$6+6&gt;=$G15),1,"")</x:f>
      </x:c>
      <x:c r="R15" s="167" t="str">
        <x:f>IF(AND(R$6&lt;=$H15,R$6+6&gt;=$G15),1,"")</x:f>
      </x:c>
      <x:c r="S15" s="167" t="str">
        <x:f>IF(AND(S$6&lt;=$H15,S$6+6&gt;=$G15),1,"")</x:f>
      </x:c>
      <x:c r="T15" s="167" t="str">
        <x:f>IF(AND(T$6&lt;=$H15,T$6+6&gt;=$G15),1,"")</x:f>
      </x:c>
      <x:c r="U15" s="167" t="str">
        <x:f>IF(AND(U$6&lt;=$H15,U$6+6&gt;=$G15),1,"")</x:f>
      </x:c>
      <x:c r="V15" s="167" t="str">
        <x:f>IF(AND(V$6&lt;=$H15,V$6+6&gt;=$G15),1,"")</x:f>
      </x:c>
      <x:c r="W15" s="167" t="str">
        <x:f>IF(AND(W$6&lt;=$H15,W$6+6&gt;=$G15),1,"")</x:f>
      </x:c>
      <x:c r="X15" s="167" t="str">
        <x:f>IF(AND(X$6&lt;=$H15,X$6+6&gt;=$G15),1,"")</x:f>
      </x:c>
      <x:c r="Y15" s="167" t="str">
        <x:f>IF(AND(Y$6&lt;=$H15,Y$6+6&gt;=$G15),1,"")</x:f>
      </x:c>
      <x:c r="Z15" s="167" t="str">
        <x:f>IF(AND(Z$6&lt;=$H15,Z$6+6&gt;=$G15),1,"")</x:f>
      </x:c>
      <x:c r="AA15" s="167" t="str">
        <x:f>IF(AND(AA$6&lt;=$H15,AA$6+6&gt;=$G15),1,"")</x:f>
      </x:c>
      <x:c r="AB15" s="167" t="str">
        <x:f>IF(AND(AB$6&lt;=$H15,AB$6+6&gt;=$G15),1,"")</x:f>
      </x:c>
      <x:c r="AC15" s="167" t="str">
        <x:f>IF(AND(AC$6&lt;=$H15,AC$6+6&gt;=$G15),1,"")</x:f>
      </x:c>
      <x:c r="AD15" s="167" t="str">
        <x:f>IF(AND(AD$6&lt;=$H15,AD$6+6&gt;=$G15),1,"")</x:f>
      </x:c>
      <x:c r="AE15" s="167" t="str">
        <x:f>IF(AND(AE$6&lt;=$H15,AE$6+6&gt;=$G15),1,"")</x:f>
      </x:c>
      <x:c r="AF15" s="167" t="str">
        <x:f>IF(AND(AF$6&lt;=$H15,AF$6+6&gt;=$G15),1,"")</x:f>
      </x:c>
      <x:c r="AG15" s="167" t="str">
        <x:f>IF(AND(AG$6&lt;=$H15,AG$6+6&gt;=$G15),1,"")</x:f>
      </x:c>
      <x:c r="AH15" s="167" t="str">
        <x:f>IF(AND(AH$6&lt;=$H15,AH$6+6&gt;=$G15),1,"")</x:f>
      </x:c>
      <x:c r="AI15" s="167" t="str">
        <x:f>IF(AND(AI$6&lt;=$H15,AI$6+6&gt;=$G15),1,"")</x:f>
      </x:c>
      <x:c r="AJ15" s="167" t="str">
        <x:f>IF(AND(AJ$6&lt;=$H15,AJ$6+6&gt;=$G15),1,"")</x:f>
      </x:c>
      <x:c r="AK15" s="167" t="str">
        <x:f>IF(AND(AK$6&lt;=$H15,AK$6+6&gt;=$G15),1,"")</x:f>
      </x:c>
      <x:c r="AL15" s="167" t="str">
        <x:f>IF(AND(AL$6&lt;=$H15,AL$6+6&gt;=$G15),1,"")</x:f>
      </x:c>
      <x:c r="AM15" s="167" t="str">
        <x:f>IF(AND(AM$6&lt;=$H15,AM$6+6&gt;=$G15),1,"")</x:f>
      </x:c>
      <x:c r="AN15" s="167" t="str">
        <x:f>IF(AND(AN$6&lt;=$H15,AN$6+6&gt;=$G15),1,"")</x:f>
      </x:c>
      <x:c r="AO15" s="167" t="str">
        <x:f>IF(AND(AO$6&lt;=$H15,AO$6+6&gt;=$G15),1,"")</x:f>
      </x:c>
      <x:c r="AP15" s="167" t="str">
        <x:f>IF(AND(AP$6&lt;=$H15,AP$6+6&gt;=$G15),1,"")</x:f>
      </x:c>
      <x:c r="AQ15" s="167" t="str">
        <x:f>IF(AND(AQ$6&lt;=$H15,AQ$6+6&gt;=$G15),1,"")</x:f>
      </x:c>
      <x:c r="AR15" s="167" t="str">
        <x:f>IF(AND(AR$6&lt;=$H15,AR$6+6&gt;=$G15),1,"")</x:f>
      </x:c>
      <x:c r="AS15" s="167" t="str">
        <x:f>IF(AND(AS$6&lt;=$H15,AS$6+6&gt;=$G15),1,"")</x:f>
      </x:c>
      <x:c r="AT15" s="167" t="str">
        <x:f>IF(AND(AT$6&lt;=$H15,AT$6+6&gt;=$G15),1,"")</x:f>
      </x:c>
      <x:c r="AU15" s="167" t="str">
        <x:f>IF(AND(AU$6&lt;=$H15,AU$6+6&gt;=$G15),1,"")</x:f>
      </x:c>
      <x:c r="AV15" s="167" t="str">
        <x:f>IF(AND(AV$6&lt;=$H15,AV$6+6&gt;=$G15),1,"")</x:f>
      </x:c>
      <x:c r="AW15" s="167" t="str">
        <x:f>IF(AND(AW$6&lt;=$H15,AW$6+6&gt;=$G15),1,"")</x:f>
      </x:c>
      <x:c r="AX15" s="167" t="str">
        <x:f>IF(AND(AX$6&lt;=$H15,AX$6+6&gt;=$G15),1,"")</x:f>
      </x:c>
      <x:c r="AY15" s="167" t="str">
        <x:f>IF(AND(AY$6&lt;=$H15,AY$6+6&gt;=$G15),1,"")</x:f>
      </x:c>
      <x:c r="AZ15" s="167" t="str">
        <x:f>IF(AND(AZ$6&lt;=$H15,AZ$6+6&gt;=$G15),1,"")</x:f>
      </x:c>
      <x:c r="BA15" s="167" t="str">
        <x:f>IF(AND(BA$6&lt;=$H15,BA$6+6&gt;=$G15),1,"")</x:f>
      </x:c>
      <x:c r="BB15" s="167" t="str">
        <x:f>IF(AND(BB$6&lt;=$H15,BB$6+6&gt;=$G15),1,"")</x:f>
      </x:c>
      <x:c r="BC15" s="167" t="str">
        <x:f>IF(AND(BC$6&lt;=$H15,BC$6+6&gt;=$G15),1,"")</x:f>
      </x:c>
      <x:c r="BD15" s="167" t="str">
        <x:f>IF(AND(BD$6&lt;=$H15,BD$6+6&gt;=$G15),1,"")</x:f>
      </x:c>
      <x:c r="BE15" s="167" t="str">
        <x:f>IF(AND(BE$6&lt;=$H15,BE$6+6&gt;=$G15),1,"")</x:f>
      </x:c>
      <x:c r="BF15" s="167" t="str">
        <x:f>IF(AND(BF$6&lt;=$H15,BF$6+6&gt;=$G15),1,"")</x:f>
      </x:c>
      <x:c r="BG15" s="167" t="str">
        <x:f>IF(AND(BG$6&lt;=$H15,BG$6+6&gt;=$G15),1,"")</x:f>
      </x:c>
      <x:c r="BH15" s="167" t="str">
        <x:f>IF(AND(BH$6&lt;=$H15,BH$6+6&gt;=$G15),1,"")</x:f>
      </x:c>
      <x:c r="BI15" s="167" t="str">
        <x:f>IF(AND(BI$6&lt;=$H15,BI$6+6&gt;=$G15),1,"")</x:f>
      </x:c>
      <x:c r="BJ15" s="167" t="str">
        <x:f>IF(AND(BJ$6&lt;=$H15,BJ$6+6&gt;=$G15),1,"")</x:f>
      </x:c>
      <x:c r="BK15" s="167" t="str">
        <x:f>IF(AND(BK$6&lt;=$H15,BK$6+6&gt;=$G15),1,"")</x:f>
      </x:c>
      <x:c r="BL15" s="167" t="str">
        <x:f>IF(AND(BL$6&lt;=$H15,BL$6+6&gt;=$G15),1,"")</x:f>
      </x:c>
      <x:c r="BM15" s="167" t="str">
        <x:f>IF(AND(BM$6&lt;=$H15,BM$6+6&gt;=$G15),1,"")</x:f>
      </x:c>
      <x:c r="BN15" s="167" t="str">
        <x:f>IF(AND(BN$6&lt;=$H15,BN$6+6&gt;=$G15),1,"")</x:f>
      </x:c>
      <x:c r="BO15" s="168" t="str">
        <x:f>IF(AND(BO$6&lt;=$H15,BO$6+6&gt;=$G15),1,"")</x:f>
      </x:c>
    </x:row>
    <x:row r="16" ht="24" customHeight="1">
      <x:c r="A16" s="68" t="str">
        <x:f>'Task Register'!A14</x:f>
        <x:v>AI-104</x:v>
      </x:c>
      <x:c r="B16" s="68" t="str">
        <x:f>'Task Register'!B14</x:f>
        <x:v>M1</x:v>
      </x:c>
      <x:c r="C16" s="68" t="str">
        <x:f>'Task Register'!C14</x:f>
        <x:v>Active Inference/Validation</x:v>
      </x:c>
      <x:c r="D16" s="68" t="str">
        <x:f>'Task Register'!D14</x:f>
        <x:v>Verify VFE against tractable reference models</x:v>
      </x:c>
      <x:c r="E16" s="68" t="str">
        <x:f>'Task Register'!E14</x:f>
        <x:v>AI-101, AI-103</x:v>
      </x:c>
      <x:c r="F16" s="68" t="str">
        <x:f>'Task Register'!F14</x:f>
        <x:v>Done</x:v>
      </x:c>
      <x:c r="G16" s="94" t="n">
        <x:f>'Task Register'!I14</x:f>
        <x:v>46255</x:v>
      </x:c>
      <x:c r="H16" s="94" t="n">
        <x:f>'Task Register'!J14</x:f>
        <x:v>46258</x:v>
      </x:c>
      <x:c r="I16" s="166" t="str">
        <x:f>IF(AND(I$6&lt;=$H16,I$6+6&gt;=$G16),1,"")</x:f>
      </x:c>
      <x:c r="J16" s="167" t="str">
        <x:f>IF(AND(J$6&lt;=$H16,J$6+6&gt;=$G16),1,"")</x:f>
      </x:c>
      <x:c r="K16" s="167" t="n">
        <x:f>IF(AND(K$6&lt;=$H16,K$6+6&gt;=$G16),1,"")</x:f>
        <x:v>1</x:v>
      </x:c>
      <x:c r="L16" s="167" t="n">
        <x:f>IF(AND(L$6&lt;=$H16,L$6+6&gt;=$G16),1,"")</x:f>
        <x:v>1</x:v>
      </x:c>
      <x:c r="M16" s="167" t="str">
        <x:f>IF(AND(M$6&lt;=$H16,M$6+6&gt;=$G16),1,"")</x:f>
      </x:c>
      <x:c r="N16" s="167" t="str">
        <x:f>IF(AND(N$6&lt;=$H16,N$6+6&gt;=$G16),1,"")</x:f>
      </x:c>
      <x:c r="O16" s="167" t="str">
        <x:f>IF(AND(O$6&lt;=$H16,O$6+6&gt;=$G16),1,"")</x:f>
      </x:c>
      <x:c r="P16" s="167" t="str">
        <x:f>IF(AND(P$6&lt;=$H16,P$6+6&gt;=$G16),1,"")</x:f>
      </x:c>
      <x:c r="Q16" s="167" t="str">
        <x:f>IF(AND(Q$6&lt;=$H16,Q$6+6&gt;=$G16),1,"")</x:f>
      </x:c>
      <x:c r="R16" s="167" t="str">
        <x:f>IF(AND(R$6&lt;=$H16,R$6+6&gt;=$G16),1,"")</x:f>
      </x:c>
      <x:c r="S16" s="167" t="str">
        <x:f>IF(AND(S$6&lt;=$H16,S$6+6&gt;=$G16),1,"")</x:f>
      </x:c>
      <x:c r="T16" s="167" t="str">
        <x:f>IF(AND(T$6&lt;=$H16,T$6+6&gt;=$G16),1,"")</x:f>
      </x:c>
      <x:c r="U16" s="167" t="str">
        <x:f>IF(AND(U$6&lt;=$H16,U$6+6&gt;=$G16),1,"")</x:f>
      </x:c>
      <x:c r="V16" s="167" t="str">
        <x:f>IF(AND(V$6&lt;=$H16,V$6+6&gt;=$G16),1,"")</x:f>
      </x:c>
      <x:c r="W16" s="167" t="str">
        <x:f>IF(AND(W$6&lt;=$H16,W$6+6&gt;=$G16),1,"")</x:f>
      </x:c>
      <x:c r="X16" s="167" t="str">
        <x:f>IF(AND(X$6&lt;=$H16,X$6+6&gt;=$G16),1,"")</x:f>
      </x:c>
      <x:c r="Y16" s="167" t="str">
        <x:f>IF(AND(Y$6&lt;=$H16,Y$6+6&gt;=$G16),1,"")</x:f>
      </x:c>
      <x:c r="Z16" s="167" t="str">
        <x:f>IF(AND(Z$6&lt;=$H16,Z$6+6&gt;=$G16),1,"")</x:f>
      </x:c>
      <x:c r="AA16" s="167" t="str">
        <x:f>IF(AND(AA$6&lt;=$H16,AA$6+6&gt;=$G16),1,"")</x:f>
      </x:c>
      <x:c r="AB16" s="167" t="str">
        <x:f>IF(AND(AB$6&lt;=$H16,AB$6+6&gt;=$G16),1,"")</x:f>
      </x:c>
      <x:c r="AC16" s="167" t="str">
        <x:f>IF(AND(AC$6&lt;=$H16,AC$6+6&gt;=$G16),1,"")</x:f>
      </x:c>
      <x:c r="AD16" s="167" t="str">
        <x:f>IF(AND(AD$6&lt;=$H16,AD$6+6&gt;=$G16),1,"")</x:f>
      </x:c>
      <x:c r="AE16" s="167" t="str">
        <x:f>IF(AND(AE$6&lt;=$H16,AE$6+6&gt;=$G16),1,"")</x:f>
      </x:c>
      <x:c r="AF16" s="167" t="str">
        <x:f>IF(AND(AF$6&lt;=$H16,AF$6+6&gt;=$G16),1,"")</x:f>
      </x:c>
      <x:c r="AG16" s="167" t="str">
        <x:f>IF(AND(AG$6&lt;=$H16,AG$6+6&gt;=$G16),1,"")</x:f>
      </x:c>
      <x:c r="AH16" s="167" t="str">
        <x:f>IF(AND(AH$6&lt;=$H16,AH$6+6&gt;=$G16),1,"")</x:f>
      </x:c>
      <x:c r="AI16" s="167" t="str">
        <x:f>IF(AND(AI$6&lt;=$H16,AI$6+6&gt;=$G16),1,"")</x:f>
      </x:c>
      <x:c r="AJ16" s="167" t="str">
        <x:f>IF(AND(AJ$6&lt;=$H16,AJ$6+6&gt;=$G16),1,"")</x:f>
      </x:c>
      <x:c r="AK16" s="167" t="str">
        <x:f>IF(AND(AK$6&lt;=$H16,AK$6+6&gt;=$G16),1,"")</x:f>
      </x:c>
      <x:c r="AL16" s="167" t="str">
        <x:f>IF(AND(AL$6&lt;=$H16,AL$6+6&gt;=$G16),1,"")</x:f>
      </x:c>
      <x:c r="AM16" s="167" t="str">
        <x:f>IF(AND(AM$6&lt;=$H16,AM$6+6&gt;=$G16),1,"")</x:f>
      </x:c>
      <x:c r="AN16" s="167" t="str">
        <x:f>IF(AND(AN$6&lt;=$H16,AN$6+6&gt;=$G16),1,"")</x:f>
      </x:c>
      <x:c r="AO16" s="167" t="str">
        <x:f>IF(AND(AO$6&lt;=$H16,AO$6+6&gt;=$G16),1,"")</x:f>
      </x:c>
      <x:c r="AP16" s="167" t="str">
        <x:f>IF(AND(AP$6&lt;=$H16,AP$6+6&gt;=$G16),1,"")</x:f>
      </x:c>
      <x:c r="AQ16" s="167" t="str">
        <x:f>IF(AND(AQ$6&lt;=$H16,AQ$6+6&gt;=$G16),1,"")</x:f>
      </x:c>
      <x:c r="AR16" s="167" t="str">
        <x:f>IF(AND(AR$6&lt;=$H16,AR$6+6&gt;=$G16),1,"")</x:f>
      </x:c>
      <x:c r="AS16" s="167" t="str">
        <x:f>IF(AND(AS$6&lt;=$H16,AS$6+6&gt;=$G16),1,"")</x:f>
      </x:c>
      <x:c r="AT16" s="167" t="str">
        <x:f>IF(AND(AT$6&lt;=$H16,AT$6+6&gt;=$G16),1,"")</x:f>
      </x:c>
      <x:c r="AU16" s="167" t="str">
        <x:f>IF(AND(AU$6&lt;=$H16,AU$6+6&gt;=$G16),1,"")</x:f>
      </x:c>
      <x:c r="AV16" s="167" t="str">
        <x:f>IF(AND(AV$6&lt;=$H16,AV$6+6&gt;=$G16),1,"")</x:f>
      </x:c>
      <x:c r="AW16" s="167" t="str">
        <x:f>IF(AND(AW$6&lt;=$H16,AW$6+6&gt;=$G16),1,"")</x:f>
      </x:c>
      <x:c r="AX16" s="167" t="str">
        <x:f>IF(AND(AX$6&lt;=$H16,AX$6+6&gt;=$G16),1,"")</x:f>
      </x:c>
      <x:c r="AY16" s="167" t="str">
        <x:f>IF(AND(AY$6&lt;=$H16,AY$6+6&gt;=$G16),1,"")</x:f>
      </x:c>
      <x:c r="AZ16" s="167" t="str">
        <x:f>IF(AND(AZ$6&lt;=$H16,AZ$6+6&gt;=$G16),1,"")</x:f>
      </x:c>
      <x:c r="BA16" s="167" t="str">
        <x:f>IF(AND(BA$6&lt;=$H16,BA$6+6&gt;=$G16),1,"")</x:f>
      </x:c>
      <x:c r="BB16" s="167" t="str">
        <x:f>IF(AND(BB$6&lt;=$H16,BB$6+6&gt;=$G16),1,"")</x:f>
      </x:c>
      <x:c r="BC16" s="167" t="str">
        <x:f>IF(AND(BC$6&lt;=$H16,BC$6+6&gt;=$G16),1,"")</x:f>
      </x:c>
      <x:c r="BD16" s="167" t="str">
        <x:f>IF(AND(BD$6&lt;=$H16,BD$6+6&gt;=$G16),1,"")</x:f>
      </x:c>
      <x:c r="BE16" s="167" t="str">
        <x:f>IF(AND(BE$6&lt;=$H16,BE$6+6&gt;=$G16),1,"")</x:f>
      </x:c>
      <x:c r="BF16" s="167" t="str">
        <x:f>IF(AND(BF$6&lt;=$H16,BF$6+6&gt;=$G16),1,"")</x:f>
      </x:c>
      <x:c r="BG16" s="167" t="str">
        <x:f>IF(AND(BG$6&lt;=$H16,BG$6+6&gt;=$G16),1,"")</x:f>
      </x:c>
      <x:c r="BH16" s="167" t="str">
        <x:f>IF(AND(BH$6&lt;=$H16,BH$6+6&gt;=$G16),1,"")</x:f>
      </x:c>
      <x:c r="BI16" s="167" t="str">
        <x:f>IF(AND(BI$6&lt;=$H16,BI$6+6&gt;=$G16),1,"")</x:f>
      </x:c>
      <x:c r="BJ16" s="167" t="str">
        <x:f>IF(AND(BJ$6&lt;=$H16,BJ$6+6&gt;=$G16),1,"")</x:f>
      </x:c>
      <x:c r="BK16" s="167" t="str">
        <x:f>IF(AND(BK$6&lt;=$H16,BK$6+6&gt;=$G16),1,"")</x:f>
      </x:c>
      <x:c r="BL16" s="167" t="str">
        <x:f>IF(AND(BL$6&lt;=$H16,BL$6+6&gt;=$G16),1,"")</x:f>
      </x:c>
      <x:c r="BM16" s="167" t="str">
        <x:f>IF(AND(BM$6&lt;=$H16,BM$6+6&gt;=$G16),1,"")</x:f>
      </x:c>
      <x:c r="BN16" s="167" t="str">
        <x:f>IF(AND(BN$6&lt;=$H16,BN$6+6&gt;=$G16),1,"")</x:f>
      </x:c>
      <x:c r="BO16" s="168" t="str">
        <x:f>IF(AND(BO$6&lt;=$H16,BO$6+6&gt;=$G16),1,"")</x:f>
      </x:c>
    </x:row>
    <x:row r="17" ht="24" customHeight="1">
      <x:c r="A17" s="68" t="str">
        <x:f>'Task Register'!A15</x:f>
        <x:v>AI-105</x:v>
      </x:c>
      <x:c r="B17" s="68" t="str">
        <x:f>'Task Register'!B15</x:f>
        <x:v>M1</x:v>
      </x:c>
      <x:c r="C17" s="68" t="str">
        <x:f>'Task Register'!C15</x:f>
        <x:v>Active Inference/Validation</x:v>
      </x:c>
      <x:c r="D17" s="68" t="str">
        <x:f>'Task Register'!D15</x:f>
        <x:v>Verify EFE against enumerated or Monte Carlo references</x:v>
      </x:c>
      <x:c r="E17" s="68" t="str">
        <x:f>'Task Register'!E15</x:f>
        <x:v>AI-101, AI-104</x:v>
      </x:c>
      <x:c r="F17" s="68" t="str">
        <x:f>'Task Register'!F15</x:f>
        <x:v>Done</x:v>
      </x:c>
      <x:c r="G17" s="94" t="n">
        <x:f>'Task Register'!I15</x:f>
        <x:v>46259</x:v>
      </x:c>
      <x:c r="H17" s="94" t="n">
        <x:f>'Task Register'!J15</x:f>
        <x:v>46260</x:v>
      </x:c>
      <x:c r="I17" s="166" t="str">
        <x:f>IF(AND(I$6&lt;=$H17,I$6+6&gt;=$G17),1,"")</x:f>
      </x:c>
      <x:c r="J17" s="167" t="str">
        <x:f>IF(AND(J$6&lt;=$H17,J$6+6&gt;=$G17),1,"")</x:f>
      </x:c>
      <x:c r="K17" s="167" t="str">
        <x:f>IF(AND(K$6&lt;=$H17,K$6+6&gt;=$G17),1,"")</x:f>
      </x:c>
      <x:c r="L17" s="167" t="n">
        <x:f>IF(AND(L$6&lt;=$H17,L$6+6&gt;=$G17),1,"")</x:f>
        <x:v>1</x:v>
      </x:c>
      <x:c r="M17" s="167" t="str">
        <x:f>IF(AND(M$6&lt;=$H17,M$6+6&gt;=$G17),1,"")</x:f>
      </x:c>
      <x:c r="N17" s="167" t="str">
        <x:f>IF(AND(N$6&lt;=$H17,N$6+6&gt;=$G17),1,"")</x:f>
      </x:c>
      <x:c r="O17" s="167" t="str">
        <x:f>IF(AND(O$6&lt;=$H17,O$6+6&gt;=$G17),1,"")</x:f>
      </x:c>
      <x:c r="P17" s="167" t="str">
        <x:f>IF(AND(P$6&lt;=$H17,P$6+6&gt;=$G17),1,"")</x:f>
      </x:c>
      <x:c r="Q17" s="167" t="str">
        <x:f>IF(AND(Q$6&lt;=$H17,Q$6+6&gt;=$G17),1,"")</x:f>
      </x:c>
      <x:c r="R17" s="167" t="str">
        <x:f>IF(AND(R$6&lt;=$H17,R$6+6&gt;=$G17),1,"")</x:f>
      </x:c>
      <x:c r="S17" s="167" t="str">
        <x:f>IF(AND(S$6&lt;=$H17,S$6+6&gt;=$G17),1,"")</x:f>
      </x:c>
      <x:c r="T17" s="167" t="str">
        <x:f>IF(AND(T$6&lt;=$H17,T$6+6&gt;=$G17),1,"")</x:f>
      </x:c>
      <x:c r="U17" s="167" t="str">
        <x:f>IF(AND(U$6&lt;=$H17,U$6+6&gt;=$G17),1,"")</x:f>
      </x:c>
      <x:c r="V17" s="167" t="str">
        <x:f>IF(AND(V$6&lt;=$H17,V$6+6&gt;=$G17),1,"")</x:f>
      </x:c>
      <x:c r="W17" s="167" t="str">
        <x:f>IF(AND(W$6&lt;=$H17,W$6+6&gt;=$G17),1,"")</x:f>
      </x:c>
      <x:c r="X17" s="167" t="str">
        <x:f>IF(AND(X$6&lt;=$H17,X$6+6&gt;=$G17),1,"")</x:f>
      </x:c>
      <x:c r="Y17" s="167" t="str">
        <x:f>IF(AND(Y$6&lt;=$H17,Y$6+6&gt;=$G17),1,"")</x:f>
      </x:c>
      <x:c r="Z17" s="167" t="str">
        <x:f>IF(AND(Z$6&lt;=$H17,Z$6+6&gt;=$G17),1,"")</x:f>
      </x:c>
      <x:c r="AA17" s="167" t="str">
        <x:f>IF(AND(AA$6&lt;=$H17,AA$6+6&gt;=$G17),1,"")</x:f>
      </x:c>
      <x:c r="AB17" s="167" t="str">
        <x:f>IF(AND(AB$6&lt;=$H17,AB$6+6&gt;=$G17),1,"")</x:f>
      </x:c>
      <x:c r="AC17" s="167" t="str">
        <x:f>IF(AND(AC$6&lt;=$H17,AC$6+6&gt;=$G17),1,"")</x:f>
      </x:c>
      <x:c r="AD17" s="167" t="str">
        <x:f>IF(AND(AD$6&lt;=$H17,AD$6+6&gt;=$G17),1,"")</x:f>
      </x:c>
      <x:c r="AE17" s="167" t="str">
        <x:f>IF(AND(AE$6&lt;=$H17,AE$6+6&gt;=$G17),1,"")</x:f>
      </x:c>
      <x:c r="AF17" s="167" t="str">
        <x:f>IF(AND(AF$6&lt;=$H17,AF$6+6&gt;=$G17),1,"")</x:f>
      </x:c>
      <x:c r="AG17" s="167" t="str">
        <x:f>IF(AND(AG$6&lt;=$H17,AG$6+6&gt;=$G17),1,"")</x:f>
      </x:c>
      <x:c r="AH17" s="167" t="str">
        <x:f>IF(AND(AH$6&lt;=$H17,AH$6+6&gt;=$G17),1,"")</x:f>
      </x:c>
      <x:c r="AI17" s="167" t="str">
        <x:f>IF(AND(AI$6&lt;=$H17,AI$6+6&gt;=$G17),1,"")</x:f>
      </x:c>
      <x:c r="AJ17" s="167" t="str">
        <x:f>IF(AND(AJ$6&lt;=$H17,AJ$6+6&gt;=$G17),1,"")</x:f>
      </x:c>
      <x:c r="AK17" s="167" t="str">
        <x:f>IF(AND(AK$6&lt;=$H17,AK$6+6&gt;=$G17),1,"")</x:f>
      </x:c>
      <x:c r="AL17" s="167" t="str">
        <x:f>IF(AND(AL$6&lt;=$H17,AL$6+6&gt;=$G17),1,"")</x:f>
      </x:c>
      <x:c r="AM17" s="167" t="str">
        <x:f>IF(AND(AM$6&lt;=$H17,AM$6+6&gt;=$G17),1,"")</x:f>
      </x:c>
      <x:c r="AN17" s="167" t="str">
        <x:f>IF(AND(AN$6&lt;=$H17,AN$6+6&gt;=$G17),1,"")</x:f>
      </x:c>
      <x:c r="AO17" s="167" t="str">
        <x:f>IF(AND(AO$6&lt;=$H17,AO$6+6&gt;=$G17),1,"")</x:f>
      </x:c>
      <x:c r="AP17" s="167" t="str">
        <x:f>IF(AND(AP$6&lt;=$H17,AP$6+6&gt;=$G17),1,"")</x:f>
      </x:c>
      <x:c r="AQ17" s="167" t="str">
        <x:f>IF(AND(AQ$6&lt;=$H17,AQ$6+6&gt;=$G17),1,"")</x:f>
      </x:c>
      <x:c r="AR17" s="167" t="str">
        <x:f>IF(AND(AR$6&lt;=$H17,AR$6+6&gt;=$G17),1,"")</x:f>
      </x:c>
      <x:c r="AS17" s="167" t="str">
        <x:f>IF(AND(AS$6&lt;=$H17,AS$6+6&gt;=$G17),1,"")</x:f>
      </x:c>
      <x:c r="AT17" s="167" t="str">
        <x:f>IF(AND(AT$6&lt;=$H17,AT$6+6&gt;=$G17),1,"")</x:f>
      </x:c>
      <x:c r="AU17" s="167" t="str">
        <x:f>IF(AND(AU$6&lt;=$H17,AU$6+6&gt;=$G17),1,"")</x:f>
      </x:c>
      <x:c r="AV17" s="167" t="str">
        <x:f>IF(AND(AV$6&lt;=$H17,AV$6+6&gt;=$G17),1,"")</x:f>
      </x:c>
      <x:c r="AW17" s="167" t="str">
        <x:f>IF(AND(AW$6&lt;=$H17,AW$6+6&gt;=$G17),1,"")</x:f>
      </x:c>
      <x:c r="AX17" s="167" t="str">
        <x:f>IF(AND(AX$6&lt;=$H17,AX$6+6&gt;=$G17),1,"")</x:f>
      </x:c>
      <x:c r="AY17" s="167" t="str">
        <x:f>IF(AND(AY$6&lt;=$H17,AY$6+6&gt;=$G17),1,"")</x:f>
      </x:c>
      <x:c r="AZ17" s="167" t="str">
        <x:f>IF(AND(AZ$6&lt;=$H17,AZ$6+6&gt;=$G17),1,"")</x:f>
      </x:c>
      <x:c r="BA17" s="167" t="str">
        <x:f>IF(AND(BA$6&lt;=$H17,BA$6+6&gt;=$G17),1,"")</x:f>
      </x:c>
      <x:c r="BB17" s="167" t="str">
        <x:f>IF(AND(BB$6&lt;=$H17,BB$6+6&gt;=$G17),1,"")</x:f>
      </x:c>
      <x:c r="BC17" s="167" t="str">
        <x:f>IF(AND(BC$6&lt;=$H17,BC$6+6&gt;=$G17),1,"")</x:f>
      </x:c>
      <x:c r="BD17" s="167" t="str">
        <x:f>IF(AND(BD$6&lt;=$H17,BD$6+6&gt;=$G17),1,"")</x:f>
      </x:c>
      <x:c r="BE17" s="167" t="str">
        <x:f>IF(AND(BE$6&lt;=$H17,BE$6+6&gt;=$G17),1,"")</x:f>
      </x:c>
      <x:c r="BF17" s="167" t="str">
        <x:f>IF(AND(BF$6&lt;=$H17,BF$6+6&gt;=$G17),1,"")</x:f>
      </x:c>
      <x:c r="BG17" s="167" t="str">
        <x:f>IF(AND(BG$6&lt;=$H17,BG$6+6&gt;=$G17),1,"")</x:f>
      </x:c>
      <x:c r="BH17" s="167" t="str">
        <x:f>IF(AND(BH$6&lt;=$H17,BH$6+6&gt;=$G17),1,"")</x:f>
      </x:c>
      <x:c r="BI17" s="167" t="str">
        <x:f>IF(AND(BI$6&lt;=$H17,BI$6+6&gt;=$G17),1,"")</x:f>
      </x:c>
      <x:c r="BJ17" s="167" t="str">
        <x:f>IF(AND(BJ$6&lt;=$H17,BJ$6+6&gt;=$G17),1,"")</x:f>
      </x:c>
      <x:c r="BK17" s="167" t="str">
        <x:f>IF(AND(BK$6&lt;=$H17,BK$6+6&gt;=$G17),1,"")</x:f>
      </x:c>
      <x:c r="BL17" s="167" t="str">
        <x:f>IF(AND(BL$6&lt;=$H17,BL$6+6&gt;=$G17),1,"")</x:f>
      </x:c>
      <x:c r="BM17" s="167" t="str">
        <x:f>IF(AND(BM$6&lt;=$H17,BM$6+6&gt;=$G17),1,"")</x:f>
      </x:c>
      <x:c r="BN17" s="167" t="str">
        <x:f>IF(AND(BN$6&lt;=$H17,BN$6+6&gt;=$G17),1,"")</x:f>
      </x:c>
      <x:c r="BO17" s="168" t="str">
        <x:f>IF(AND(BO$6&lt;=$H17,BO$6+6&gt;=$G17),1,"")</x:f>
      </x:c>
    </x:row>
    <x:row r="18" ht="24" customHeight="1">
      <x:c r="A18" s="68" t="str">
        <x:f>'Task Register'!A16</x:f>
        <x:v>AI-106</x:v>
      </x:c>
      <x:c r="B18" s="68" t="str">
        <x:f>'Task Register'!B16</x:f>
        <x:v>M1</x:v>
      </x:c>
      <x:c r="C18" s="68" t="str">
        <x:f>'Task Register'!C16</x:f>
        <x:v>Preferences/Validation</x:v>
      </x:c>
      <x:c r="D18" s="68" t="str">
        <x:f>'Task Register'!D16</x:f>
        <x:v>Stress-test terminal coverage and stopping</x:v>
      </x:c>
      <x:c r="E18" s="68" t="str">
        <x:f>'Task Register'!E16</x:f>
        <x:v>AI-105</x:v>
      </x:c>
      <x:c r="F18" s="68" t="str">
        <x:f>'Task Register'!F16</x:f>
        <x:v>Done</x:v>
      </x:c>
      <x:c r="G18" s="94" t="n">
        <x:f>'Task Register'!I16</x:f>
        <x:v>46261</x:v>
      </x:c>
      <x:c r="H18" s="94" t="n">
        <x:f>'Task Register'!J16</x:f>
        <x:v>46261</x:v>
      </x:c>
      <x:c r="I18" s="166" t="str">
        <x:f>IF(AND(I$6&lt;=$H18,I$6+6&gt;=$G18),1,"")</x:f>
      </x:c>
      <x:c r="J18" s="167" t="str">
        <x:f>IF(AND(J$6&lt;=$H18,J$6+6&gt;=$G18),1,"")</x:f>
      </x:c>
      <x:c r="K18" s="167" t="str">
        <x:f>IF(AND(K$6&lt;=$H18,K$6+6&gt;=$G18),1,"")</x:f>
      </x:c>
      <x:c r="L18" s="167" t="n">
        <x:f>IF(AND(L$6&lt;=$H18,L$6+6&gt;=$G18),1,"")</x:f>
        <x:v>1</x:v>
      </x:c>
      <x:c r="M18" s="167" t="str">
        <x:f>IF(AND(M$6&lt;=$H18,M$6+6&gt;=$G18),1,"")</x:f>
      </x:c>
      <x:c r="N18" s="167" t="str">
        <x:f>IF(AND(N$6&lt;=$H18,N$6+6&gt;=$G18),1,"")</x:f>
      </x:c>
      <x:c r="O18" s="167" t="str">
        <x:f>IF(AND(O$6&lt;=$H18,O$6+6&gt;=$G18),1,"")</x:f>
      </x:c>
      <x:c r="P18" s="167" t="str">
        <x:f>IF(AND(P$6&lt;=$H18,P$6+6&gt;=$G18),1,"")</x:f>
      </x:c>
      <x:c r="Q18" s="167" t="str">
        <x:f>IF(AND(Q$6&lt;=$H18,Q$6+6&gt;=$G18),1,"")</x:f>
      </x:c>
      <x:c r="R18" s="167" t="str">
        <x:f>IF(AND(R$6&lt;=$H18,R$6+6&gt;=$G18),1,"")</x:f>
      </x:c>
      <x:c r="S18" s="167" t="str">
        <x:f>IF(AND(S$6&lt;=$H18,S$6+6&gt;=$G18),1,"")</x:f>
      </x:c>
      <x:c r="T18" s="167" t="str">
        <x:f>IF(AND(T$6&lt;=$H18,T$6+6&gt;=$G18),1,"")</x:f>
      </x:c>
      <x:c r="U18" s="167" t="str">
        <x:f>IF(AND(U$6&lt;=$H18,U$6+6&gt;=$G18),1,"")</x:f>
      </x:c>
      <x:c r="V18" s="167" t="str">
        <x:f>IF(AND(V$6&lt;=$H18,V$6+6&gt;=$G18),1,"")</x:f>
      </x:c>
      <x:c r="W18" s="167" t="str">
        <x:f>IF(AND(W$6&lt;=$H18,W$6+6&gt;=$G18),1,"")</x:f>
      </x:c>
      <x:c r="X18" s="167" t="str">
        <x:f>IF(AND(X$6&lt;=$H18,X$6+6&gt;=$G18),1,"")</x:f>
      </x:c>
      <x:c r="Y18" s="167" t="str">
        <x:f>IF(AND(Y$6&lt;=$H18,Y$6+6&gt;=$G18),1,"")</x:f>
      </x:c>
      <x:c r="Z18" s="167" t="str">
        <x:f>IF(AND(Z$6&lt;=$H18,Z$6+6&gt;=$G18),1,"")</x:f>
      </x:c>
      <x:c r="AA18" s="167" t="str">
        <x:f>IF(AND(AA$6&lt;=$H18,AA$6+6&gt;=$G18),1,"")</x:f>
      </x:c>
      <x:c r="AB18" s="167" t="str">
        <x:f>IF(AND(AB$6&lt;=$H18,AB$6+6&gt;=$G18),1,"")</x:f>
      </x:c>
      <x:c r="AC18" s="167" t="str">
        <x:f>IF(AND(AC$6&lt;=$H18,AC$6+6&gt;=$G18),1,"")</x:f>
      </x:c>
      <x:c r="AD18" s="167" t="str">
        <x:f>IF(AND(AD$6&lt;=$H18,AD$6+6&gt;=$G18),1,"")</x:f>
      </x:c>
      <x:c r="AE18" s="167" t="str">
        <x:f>IF(AND(AE$6&lt;=$H18,AE$6+6&gt;=$G18),1,"")</x:f>
      </x:c>
      <x:c r="AF18" s="167" t="str">
        <x:f>IF(AND(AF$6&lt;=$H18,AF$6+6&gt;=$G18),1,"")</x:f>
      </x:c>
      <x:c r="AG18" s="167" t="str">
        <x:f>IF(AND(AG$6&lt;=$H18,AG$6+6&gt;=$G18),1,"")</x:f>
      </x:c>
      <x:c r="AH18" s="167" t="str">
        <x:f>IF(AND(AH$6&lt;=$H18,AH$6+6&gt;=$G18),1,"")</x:f>
      </x:c>
      <x:c r="AI18" s="167" t="str">
        <x:f>IF(AND(AI$6&lt;=$H18,AI$6+6&gt;=$G18),1,"")</x:f>
      </x:c>
      <x:c r="AJ18" s="167" t="str">
        <x:f>IF(AND(AJ$6&lt;=$H18,AJ$6+6&gt;=$G18),1,"")</x:f>
      </x:c>
      <x:c r="AK18" s="167" t="str">
        <x:f>IF(AND(AK$6&lt;=$H18,AK$6+6&gt;=$G18),1,"")</x:f>
      </x:c>
      <x:c r="AL18" s="167" t="str">
        <x:f>IF(AND(AL$6&lt;=$H18,AL$6+6&gt;=$G18),1,"")</x:f>
      </x:c>
      <x:c r="AM18" s="167" t="str">
        <x:f>IF(AND(AM$6&lt;=$H18,AM$6+6&gt;=$G18),1,"")</x:f>
      </x:c>
      <x:c r="AN18" s="167" t="str">
        <x:f>IF(AND(AN$6&lt;=$H18,AN$6+6&gt;=$G18),1,"")</x:f>
      </x:c>
      <x:c r="AO18" s="167" t="str">
        <x:f>IF(AND(AO$6&lt;=$H18,AO$6+6&gt;=$G18),1,"")</x:f>
      </x:c>
      <x:c r="AP18" s="167" t="str">
        <x:f>IF(AND(AP$6&lt;=$H18,AP$6+6&gt;=$G18),1,"")</x:f>
      </x:c>
      <x:c r="AQ18" s="167" t="str">
        <x:f>IF(AND(AQ$6&lt;=$H18,AQ$6+6&gt;=$G18),1,"")</x:f>
      </x:c>
      <x:c r="AR18" s="167" t="str">
        <x:f>IF(AND(AR$6&lt;=$H18,AR$6+6&gt;=$G18),1,"")</x:f>
      </x:c>
      <x:c r="AS18" s="167" t="str">
        <x:f>IF(AND(AS$6&lt;=$H18,AS$6+6&gt;=$G18),1,"")</x:f>
      </x:c>
      <x:c r="AT18" s="167" t="str">
        <x:f>IF(AND(AT$6&lt;=$H18,AT$6+6&gt;=$G18),1,"")</x:f>
      </x:c>
      <x:c r="AU18" s="167" t="str">
        <x:f>IF(AND(AU$6&lt;=$H18,AU$6+6&gt;=$G18),1,"")</x:f>
      </x:c>
      <x:c r="AV18" s="167" t="str">
        <x:f>IF(AND(AV$6&lt;=$H18,AV$6+6&gt;=$G18),1,"")</x:f>
      </x:c>
      <x:c r="AW18" s="167" t="str">
        <x:f>IF(AND(AW$6&lt;=$H18,AW$6+6&gt;=$G18),1,"")</x:f>
      </x:c>
      <x:c r="AX18" s="167" t="str">
        <x:f>IF(AND(AX$6&lt;=$H18,AX$6+6&gt;=$G18),1,"")</x:f>
      </x:c>
      <x:c r="AY18" s="167" t="str">
        <x:f>IF(AND(AY$6&lt;=$H18,AY$6+6&gt;=$G18),1,"")</x:f>
      </x:c>
      <x:c r="AZ18" s="167" t="str">
        <x:f>IF(AND(AZ$6&lt;=$H18,AZ$6+6&gt;=$G18),1,"")</x:f>
      </x:c>
      <x:c r="BA18" s="167" t="str">
        <x:f>IF(AND(BA$6&lt;=$H18,BA$6+6&gt;=$G18),1,"")</x:f>
      </x:c>
      <x:c r="BB18" s="167" t="str">
        <x:f>IF(AND(BB$6&lt;=$H18,BB$6+6&gt;=$G18),1,"")</x:f>
      </x:c>
      <x:c r="BC18" s="167" t="str">
        <x:f>IF(AND(BC$6&lt;=$H18,BC$6+6&gt;=$G18),1,"")</x:f>
      </x:c>
      <x:c r="BD18" s="167" t="str">
        <x:f>IF(AND(BD$6&lt;=$H18,BD$6+6&gt;=$G18),1,"")</x:f>
      </x:c>
      <x:c r="BE18" s="167" t="str">
        <x:f>IF(AND(BE$6&lt;=$H18,BE$6+6&gt;=$G18),1,"")</x:f>
      </x:c>
      <x:c r="BF18" s="167" t="str">
        <x:f>IF(AND(BF$6&lt;=$H18,BF$6+6&gt;=$G18),1,"")</x:f>
      </x:c>
      <x:c r="BG18" s="167" t="str">
        <x:f>IF(AND(BG$6&lt;=$H18,BG$6+6&gt;=$G18),1,"")</x:f>
      </x:c>
      <x:c r="BH18" s="167" t="str">
        <x:f>IF(AND(BH$6&lt;=$H18,BH$6+6&gt;=$G18),1,"")</x:f>
      </x:c>
      <x:c r="BI18" s="167" t="str">
        <x:f>IF(AND(BI$6&lt;=$H18,BI$6+6&gt;=$G18),1,"")</x:f>
      </x:c>
      <x:c r="BJ18" s="167" t="str">
        <x:f>IF(AND(BJ$6&lt;=$H18,BJ$6+6&gt;=$G18),1,"")</x:f>
      </x:c>
      <x:c r="BK18" s="167" t="str">
        <x:f>IF(AND(BK$6&lt;=$H18,BK$6+6&gt;=$G18),1,"")</x:f>
      </x:c>
      <x:c r="BL18" s="167" t="str">
        <x:f>IF(AND(BL$6&lt;=$H18,BL$6+6&gt;=$G18),1,"")</x:f>
      </x:c>
      <x:c r="BM18" s="167" t="str">
        <x:f>IF(AND(BM$6&lt;=$H18,BM$6+6&gt;=$G18),1,"")</x:f>
      </x:c>
      <x:c r="BN18" s="167" t="str">
        <x:f>IF(AND(BN$6&lt;=$H18,BN$6+6&gt;=$G18),1,"")</x:f>
      </x:c>
      <x:c r="BO18" s="168" t="str">
        <x:f>IF(AND(BO$6&lt;=$H18,BO$6+6&gt;=$G18),1,"")</x:f>
      </x:c>
    </x:row>
    <x:row r="19" ht="24" customHeight="1">
      <x:c r="A19" s="68" t="str">
        <x:f>'Task Register'!A17</x:f>
        <x:v>AI-111</x:v>
      </x:c>
      <x:c r="B19" s="68" t="str">
        <x:f>'Task Register'!B17</x:f>
        <x:v>M1</x:v>
      </x:c>
      <x:c r="C19" s="68" t="str">
        <x:f>'Task Register'!C17</x:f>
        <x:v>Policy Inference</x:v>
      </x:c>
      <x:c r="D19" s="68" t="str">
        <x:f>'Task Register'!D17</x:f>
        <x:v>Separate proposal distributions from policy priors</x:v>
      </x:c>
      <x:c r="E19" s="68" t="str">
        <x:f>'Task Register'!E17</x:f>
        <x:v>AI-101, AI-105</x:v>
      </x:c>
      <x:c r="F19" s="68" t="str">
        <x:f>'Task Register'!F17</x:f>
        <x:v>Done</x:v>
      </x:c>
      <x:c r="G19" s="94" t="n">
        <x:f>'Task Register'!I17</x:f>
        <x:v>46262</x:v>
      </x:c>
      <x:c r="H19" s="94" t="n">
        <x:f>'Task Register'!J17</x:f>
        <x:v>46265</x:v>
      </x:c>
      <x:c r="I19" s="166" t="str">
        <x:f>IF(AND(I$6&lt;=$H19,I$6+6&gt;=$G19),1,"")</x:f>
      </x:c>
      <x:c r="J19" s="167" t="str">
        <x:f>IF(AND(J$6&lt;=$H19,J$6+6&gt;=$G19),1,"")</x:f>
      </x:c>
      <x:c r="K19" s="167" t="str">
        <x:f>IF(AND(K$6&lt;=$H19,K$6+6&gt;=$G19),1,"")</x:f>
      </x:c>
      <x:c r="L19" s="167" t="n">
        <x:f>IF(AND(L$6&lt;=$H19,L$6+6&gt;=$G19),1,"")</x:f>
        <x:v>1</x:v>
      </x:c>
      <x:c r="M19" s="167" t="n">
        <x:f>IF(AND(M$6&lt;=$H19,M$6+6&gt;=$G19),1,"")</x:f>
        <x:v>1</x:v>
      </x:c>
      <x:c r="N19" s="167" t="str">
        <x:f>IF(AND(N$6&lt;=$H19,N$6+6&gt;=$G19),1,"")</x:f>
      </x:c>
      <x:c r="O19" s="167" t="str">
        <x:f>IF(AND(O$6&lt;=$H19,O$6+6&gt;=$G19),1,"")</x:f>
      </x:c>
      <x:c r="P19" s="167" t="str">
        <x:f>IF(AND(P$6&lt;=$H19,P$6+6&gt;=$G19),1,"")</x:f>
      </x:c>
      <x:c r="Q19" s="167" t="str">
        <x:f>IF(AND(Q$6&lt;=$H19,Q$6+6&gt;=$G19),1,"")</x:f>
      </x:c>
      <x:c r="R19" s="167" t="str">
        <x:f>IF(AND(R$6&lt;=$H19,R$6+6&gt;=$G19),1,"")</x:f>
      </x:c>
      <x:c r="S19" s="167" t="str">
        <x:f>IF(AND(S$6&lt;=$H19,S$6+6&gt;=$G19),1,"")</x:f>
      </x:c>
      <x:c r="T19" s="167" t="str">
        <x:f>IF(AND(T$6&lt;=$H19,T$6+6&gt;=$G19),1,"")</x:f>
      </x:c>
      <x:c r="U19" s="167" t="str">
        <x:f>IF(AND(U$6&lt;=$H19,U$6+6&gt;=$G19),1,"")</x:f>
      </x:c>
      <x:c r="V19" s="167" t="str">
        <x:f>IF(AND(V$6&lt;=$H19,V$6+6&gt;=$G19),1,"")</x:f>
      </x:c>
      <x:c r="W19" s="167" t="str">
        <x:f>IF(AND(W$6&lt;=$H19,W$6+6&gt;=$G19),1,"")</x:f>
      </x:c>
      <x:c r="X19" s="167" t="str">
        <x:f>IF(AND(X$6&lt;=$H19,X$6+6&gt;=$G19),1,"")</x:f>
      </x:c>
      <x:c r="Y19" s="167" t="str">
        <x:f>IF(AND(Y$6&lt;=$H19,Y$6+6&gt;=$G19),1,"")</x:f>
      </x:c>
      <x:c r="Z19" s="167" t="str">
        <x:f>IF(AND(Z$6&lt;=$H19,Z$6+6&gt;=$G19),1,"")</x:f>
      </x:c>
      <x:c r="AA19" s="167" t="str">
        <x:f>IF(AND(AA$6&lt;=$H19,AA$6+6&gt;=$G19),1,"")</x:f>
      </x:c>
      <x:c r="AB19" s="167" t="str">
        <x:f>IF(AND(AB$6&lt;=$H19,AB$6+6&gt;=$G19),1,"")</x:f>
      </x:c>
      <x:c r="AC19" s="167" t="str">
        <x:f>IF(AND(AC$6&lt;=$H19,AC$6+6&gt;=$G19),1,"")</x:f>
      </x:c>
      <x:c r="AD19" s="167" t="str">
        <x:f>IF(AND(AD$6&lt;=$H19,AD$6+6&gt;=$G19),1,"")</x:f>
      </x:c>
      <x:c r="AE19" s="167" t="str">
        <x:f>IF(AND(AE$6&lt;=$H19,AE$6+6&gt;=$G19),1,"")</x:f>
      </x:c>
      <x:c r="AF19" s="167" t="str">
        <x:f>IF(AND(AF$6&lt;=$H19,AF$6+6&gt;=$G19),1,"")</x:f>
      </x:c>
      <x:c r="AG19" s="167" t="str">
        <x:f>IF(AND(AG$6&lt;=$H19,AG$6+6&gt;=$G19),1,"")</x:f>
      </x:c>
      <x:c r="AH19" s="167" t="str">
        <x:f>IF(AND(AH$6&lt;=$H19,AH$6+6&gt;=$G19),1,"")</x:f>
      </x:c>
      <x:c r="AI19" s="167" t="str">
        <x:f>IF(AND(AI$6&lt;=$H19,AI$6+6&gt;=$G19),1,"")</x:f>
      </x:c>
      <x:c r="AJ19" s="167" t="str">
        <x:f>IF(AND(AJ$6&lt;=$H19,AJ$6+6&gt;=$G19),1,"")</x:f>
      </x:c>
      <x:c r="AK19" s="167" t="str">
        <x:f>IF(AND(AK$6&lt;=$H19,AK$6+6&gt;=$G19),1,"")</x:f>
      </x:c>
      <x:c r="AL19" s="167" t="str">
        <x:f>IF(AND(AL$6&lt;=$H19,AL$6+6&gt;=$G19),1,"")</x:f>
      </x:c>
      <x:c r="AM19" s="167" t="str">
        <x:f>IF(AND(AM$6&lt;=$H19,AM$6+6&gt;=$G19),1,"")</x:f>
      </x:c>
      <x:c r="AN19" s="167" t="str">
        <x:f>IF(AND(AN$6&lt;=$H19,AN$6+6&gt;=$G19),1,"")</x:f>
      </x:c>
      <x:c r="AO19" s="167" t="str">
        <x:f>IF(AND(AO$6&lt;=$H19,AO$6+6&gt;=$G19),1,"")</x:f>
      </x:c>
      <x:c r="AP19" s="167" t="str">
        <x:f>IF(AND(AP$6&lt;=$H19,AP$6+6&gt;=$G19),1,"")</x:f>
      </x:c>
      <x:c r="AQ19" s="167" t="str">
        <x:f>IF(AND(AQ$6&lt;=$H19,AQ$6+6&gt;=$G19),1,"")</x:f>
      </x:c>
      <x:c r="AR19" s="167" t="str">
        <x:f>IF(AND(AR$6&lt;=$H19,AR$6+6&gt;=$G19),1,"")</x:f>
      </x:c>
      <x:c r="AS19" s="167" t="str">
        <x:f>IF(AND(AS$6&lt;=$H19,AS$6+6&gt;=$G19),1,"")</x:f>
      </x:c>
      <x:c r="AT19" s="167" t="str">
        <x:f>IF(AND(AT$6&lt;=$H19,AT$6+6&gt;=$G19),1,"")</x:f>
      </x:c>
      <x:c r="AU19" s="167" t="str">
        <x:f>IF(AND(AU$6&lt;=$H19,AU$6+6&gt;=$G19),1,"")</x:f>
      </x:c>
      <x:c r="AV19" s="167" t="str">
        <x:f>IF(AND(AV$6&lt;=$H19,AV$6+6&gt;=$G19),1,"")</x:f>
      </x:c>
      <x:c r="AW19" s="167" t="str">
        <x:f>IF(AND(AW$6&lt;=$H19,AW$6+6&gt;=$G19),1,"")</x:f>
      </x:c>
      <x:c r="AX19" s="167" t="str">
        <x:f>IF(AND(AX$6&lt;=$H19,AX$6+6&gt;=$G19),1,"")</x:f>
      </x:c>
      <x:c r="AY19" s="167" t="str">
        <x:f>IF(AND(AY$6&lt;=$H19,AY$6+6&gt;=$G19),1,"")</x:f>
      </x:c>
      <x:c r="AZ19" s="167" t="str">
        <x:f>IF(AND(AZ$6&lt;=$H19,AZ$6+6&gt;=$G19),1,"")</x:f>
      </x:c>
      <x:c r="BA19" s="167" t="str">
        <x:f>IF(AND(BA$6&lt;=$H19,BA$6+6&gt;=$G19),1,"")</x:f>
      </x:c>
      <x:c r="BB19" s="167" t="str">
        <x:f>IF(AND(BB$6&lt;=$H19,BB$6+6&gt;=$G19),1,"")</x:f>
      </x:c>
      <x:c r="BC19" s="167" t="str">
        <x:f>IF(AND(BC$6&lt;=$H19,BC$6+6&gt;=$G19),1,"")</x:f>
      </x:c>
      <x:c r="BD19" s="167" t="str">
        <x:f>IF(AND(BD$6&lt;=$H19,BD$6+6&gt;=$G19),1,"")</x:f>
      </x:c>
      <x:c r="BE19" s="167" t="str">
        <x:f>IF(AND(BE$6&lt;=$H19,BE$6+6&gt;=$G19),1,"")</x:f>
      </x:c>
      <x:c r="BF19" s="167" t="str">
        <x:f>IF(AND(BF$6&lt;=$H19,BF$6+6&gt;=$G19),1,"")</x:f>
      </x:c>
      <x:c r="BG19" s="167" t="str">
        <x:f>IF(AND(BG$6&lt;=$H19,BG$6+6&gt;=$G19),1,"")</x:f>
      </x:c>
      <x:c r="BH19" s="167" t="str">
        <x:f>IF(AND(BH$6&lt;=$H19,BH$6+6&gt;=$G19),1,"")</x:f>
      </x:c>
      <x:c r="BI19" s="167" t="str">
        <x:f>IF(AND(BI$6&lt;=$H19,BI$6+6&gt;=$G19),1,"")</x:f>
      </x:c>
      <x:c r="BJ19" s="167" t="str">
        <x:f>IF(AND(BJ$6&lt;=$H19,BJ$6+6&gt;=$G19),1,"")</x:f>
      </x:c>
      <x:c r="BK19" s="167" t="str">
        <x:f>IF(AND(BK$6&lt;=$H19,BK$6+6&gt;=$G19),1,"")</x:f>
      </x:c>
      <x:c r="BL19" s="167" t="str">
        <x:f>IF(AND(BL$6&lt;=$H19,BL$6+6&gt;=$G19),1,"")</x:f>
      </x:c>
      <x:c r="BM19" s="167" t="str">
        <x:f>IF(AND(BM$6&lt;=$H19,BM$6+6&gt;=$G19),1,"")</x:f>
      </x:c>
      <x:c r="BN19" s="167" t="str">
        <x:f>IF(AND(BN$6&lt;=$H19,BN$6+6&gt;=$G19),1,"")</x:f>
      </x:c>
      <x:c r="BO19" s="168" t="str">
        <x:f>IF(AND(BO$6&lt;=$H19,BO$6+6&gt;=$G19),1,"")</x:f>
      </x:c>
    </x:row>
    <x:row r="20" ht="24" customHeight="1">
      <x:c r="A20" s="68" t="str">
        <x:f>'Task Register'!A18</x:f>
        <x:v>AI-108</x:v>
      </x:c>
      <x:c r="B20" s="68" t="str">
        <x:f>'Task Register'!B18</x:f>
        <x:v>M1</x:v>
      </x:c>
      <x:c r="C20" s="68" t="str">
        <x:f>'Task Register'!C18</x:f>
        <x:v>Data/Validation</x:v>
      </x:c>
      <x:c r="D20" s="68" t="str">
        <x:f>'Task Register'!D18</x:f>
        <x:v>Build a leakage-resistant baseline corpus</x:v>
      </x:c>
      <x:c r="E20" s="68" t="str">
        <x:f>'Task Register'!E18</x:f>
        <x:v>AI-102, T-101, T-102</x:v>
      </x:c>
      <x:c r="F20" s="68" t="str">
        <x:f>'Task Register'!F18</x:f>
        <x:v>Done</x:v>
      </x:c>
      <x:c r="G20" s="94" t="n">
        <x:f>'Task Register'!I18</x:f>
        <x:v>46266</x:v>
      </x:c>
      <x:c r="H20" s="94" t="n">
        <x:f>'Task Register'!J18</x:f>
        <x:v>46267</x:v>
      </x:c>
      <x:c r="I20" s="166" t="str">
        <x:f>IF(AND(I$6&lt;=$H20,I$6+6&gt;=$G20),1,"")</x:f>
      </x:c>
      <x:c r="J20" s="167" t="str">
        <x:f>IF(AND(J$6&lt;=$H20,J$6+6&gt;=$G20),1,"")</x:f>
      </x:c>
      <x:c r="K20" s="167" t="str">
        <x:f>IF(AND(K$6&lt;=$H20,K$6+6&gt;=$G20),1,"")</x:f>
      </x:c>
      <x:c r="L20" s="167" t="str">
        <x:f>IF(AND(L$6&lt;=$H20,L$6+6&gt;=$G20),1,"")</x:f>
      </x:c>
      <x:c r="M20" s="167" t="n">
        <x:f>IF(AND(M$6&lt;=$H20,M$6+6&gt;=$G20),1,"")</x:f>
        <x:v>1</x:v>
      </x:c>
      <x:c r="N20" s="167" t="str">
        <x:f>IF(AND(N$6&lt;=$H20,N$6+6&gt;=$G20),1,"")</x:f>
      </x:c>
      <x:c r="O20" s="167" t="str">
        <x:f>IF(AND(O$6&lt;=$H20,O$6+6&gt;=$G20),1,"")</x:f>
      </x:c>
      <x:c r="P20" s="167" t="str">
        <x:f>IF(AND(P$6&lt;=$H20,P$6+6&gt;=$G20),1,"")</x:f>
      </x:c>
      <x:c r="Q20" s="167" t="str">
        <x:f>IF(AND(Q$6&lt;=$H20,Q$6+6&gt;=$G20),1,"")</x:f>
      </x:c>
      <x:c r="R20" s="167" t="str">
        <x:f>IF(AND(R$6&lt;=$H20,R$6+6&gt;=$G20),1,"")</x:f>
      </x:c>
      <x:c r="S20" s="167" t="str">
        <x:f>IF(AND(S$6&lt;=$H20,S$6+6&gt;=$G20),1,"")</x:f>
      </x:c>
      <x:c r="T20" s="167" t="str">
        <x:f>IF(AND(T$6&lt;=$H20,T$6+6&gt;=$G20),1,"")</x:f>
      </x:c>
      <x:c r="U20" s="167" t="str">
        <x:f>IF(AND(U$6&lt;=$H20,U$6+6&gt;=$G20),1,"")</x:f>
      </x:c>
      <x:c r="V20" s="167" t="str">
        <x:f>IF(AND(V$6&lt;=$H20,V$6+6&gt;=$G20),1,"")</x:f>
      </x:c>
      <x:c r="W20" s="167" t="str">
        <x:f>IF(AND(W$6&lt;=$H20,W$6+6&gt;=$G20),1,"")</x:f>
      </x:c>
      <x:c r="X20" s="167" t="str">
        <x:f>IF(AND(X$6&lt;=$H20,X$6+6&gt;=$G20),1,"")</x:f>
      </x:c>
      <x:c r="Y20" s="167" t="str">
        <x:f>IF(AND(Y$6&lt;=$H20,Y$6+6&gt;=$G20),1,"")</x:f>
      </x:c>
      <x:c r="Z20" s="167" t="str">
        <x:f>IF(AND(Z$6&lt;=$H20,Z$6+6&gt;=$G20),1,"")</x:f>
      </x:c>
      <x:c r="AA20" s="167" t="str">
        <x:f>IF(AND(AA$6&lt;=$H20,AA$6+6&gt;=$G20),1,"")</x:f>
      </x:c>
      <x:c r="AB20" s="167" t="str">
        <x:f>IF(AND(AB$6&lt;=$H20,AB$6+6&gt;=$G20),1,"")</x:f>
      </x:c>
      <x:c r="AC20" s="167" t="str">
        <x:f>IF(AND(AC$6&lt;=$H20,AC$6+6&gt;=$G20),1,"")</x:f>
      </x:c>
      <x:c r="AD20" s="167" t="str">
        <x:f>IF(AND(AD$6&lt;=$H20,AD$6+6&gt;=$G20),1,"")</x:f>
      </x:c>
      <x:c r="AE20" s="167" t="str">
        <x:f>IF(AND(AE$6&lt;=$H20,AE$6+6&gt;=$G20),1,"")</x:f>
      </x:c>
      <x:c r="AF20" s="167" t="str">
        <x:f>IF(AND(AF$6&lt;=$H20,AF$6+6&gt;=$G20),1,"")</x:f>
      </x:c>
      <x:c r="AG20" s="167" t="str">
        <x:f>IF(AND(AG$6&lt;=$H20,AG$6+6&gt;=$G20),1,"")</x:f>
      </x:c>
      <x:c r="AH20" s="167" t="str">
        <x:f>IF(AND(AH$6&lt;=$H20,AH$6+6&gt;=$G20),1,"")</x:f>
      </x:c>
      <x:c r="AI20" s="167" t="str">
        <x:f>IF(AND(AI$6&lt;=$H20,AI$6+6&gt;=$G20),1,"")</x:f>
      </x:c>
      <x:c r="AJ20" s="167" t="str">
        <x:f>IF(AND(AJ$6&lt;=$H20,AJ$6+6&gt;=$G20),1,"")</x:f>
      </x:c>
      <x:c r="AK20" s="167" t="str">
        <x:f>IF(AND(AK$6&lt;=$H20,AK$6+6&gt;=$G20),1,"")</x:f>
      </x:c>
      <x:c r="AL20" s="167" t="str">
        <x:f>IF(AND(AL$6&lt;=$H20,AL$6+6&gt;=$G20),1,"")</x:f>
      </x:c>
      <x:c r="AM20" s="167" t="str">
        <x:f>IF(AND(AM$6&lt;=$H20,AM$6+6&gt;=$G20),1,"")</x:f>
      </x:c>
      <x:c r="AN20" s="167" t="str">
        <x:f>IF(AND(AN$6&lt;=$H20,AN$6+6&gt;=$G20),1,"")</x:f>
      </x:c>
      <x:c r="AO20" s="167" t="str">
        <x:f>IF(AND(AO$6&lt;=$H20,AO$6+6&gt;=$G20),1,"")</x:f>
      </x:c>
      <x:c r="AP20" s="167" t="str">
        <x:f>IF(AND(AP$6&lt;=$H20,AP$6+6&gt;=$G20),1,"")</x:f>
      </x:c>
      <x:c r="AQ20" s="167" t="str">
        <x:f>IF(AND(AQ$6&lt;=$H20,AQ$6+6&gt;=$G20),1,"")</x:f>
      </x:c>
      <x:c r="AR20" s="167" t="str">
        <x:f>IF(AND(AR$6&lt;=$H20,AR$6+6&gt;=$G20),1,"")</x:f>
      </x:c>
      <x:c r="AS20" s="167" t="str">
        <x:f>IF(AND(AS$6&lt;=$H20,AS$6+6&gt;=$G20),1,"")</x:f>
      </x:c>
      <x:c r="AT20" s="167" t="str">
        <x:f>IF(AND(AT$6&lt;=$H20,AT$6+6&gt;=$G20),1,"")</x:f>
      </x:c>
      <x:c r="AU20" s="167" t="str">
        <x:f>IF(AND(AU$6&lt;=$H20,AU$6+6&gt;=$G20),1,"")</x:f>
      </x:c>
      <x:c r="AV20" s="167" t="str">
        <x:f>IF(AND(AV$6&lt;=$H20,AV$6+6&gt;=$G20),1,"")</x:f>
      </x:c>
      <x:c r="AW20" s="167" t="str">
        <x:f>IF(AND(AW$6&lt;=$H20,AW$6+6&gt;=$G20),1,"")</x:f>
      </x:c>
      <x:c r="AX20" s="167" t="str">
        <x:f>IF(AND(AX$6&lt;=$H20,AX$6+6&gt;=$G20),1,"")</x:f>
      </x:c>
      <x:c r="AY20" s="167" t="str">
        <x:f>IF(AND(AY$6&lt;=$H20,AY$6+6&gt;=$G20),1,"")</x:f>
      </x:c>
      <x:c r="AZ20" s="167" t="str">
        <x:f>IF(AND(AZ$6&lt;=$H20,AZ$6+6&gt;=$G20),1,"")</x:f>
      </x:c>
      <x:c r="BA20" s="167" t="str">
        <x:f>IF(AND(BA$6&lt;=$H20,BA$6+6&gt;=$G20),1,"")</x:f>
      </x:c>
      <x:c r="BB20" s="167" t="str">
        <x:f>IF(AND(BB$6&lt;=$H20,BB$6+6&gt;=$G20),1,"")</x:f>
      </x:c>
      <x:c r="BC20" s="167" t="str">
        <x:f>IF(AND(BC$6&lt;=$H20,BC$6+6&gt;=$G20),1,"")</x:f>
      </x:c>
      <x:c r="BD20" s="167" t="str">
        <x:f>IF(AND(BD$6&lt;=$H20,BD$6+6&gt;=$G20),1,"")</x:f>
      </x:c>
      <x:c r="BE20" s="167" t="str">
        <x:f>IF(AND(BE$6&lt;=$H20,BE$6+6&gt;=$G20),1,"")</x:f>
      </x:c>
      <x:c r="BF20" s="167" t="str">
        <x:f>IF(AND(BF$6&lt;=$H20,BF$6+6&gt;=$G20),1,"")</x:f>
      </x:c>
      <x:c r="BG20" s="167" t="str">
        <x:f>IF(AND(BG$6&lt;=$H20,BG$6+6&gt;=$G20),1,"")</x:f>
      </x:c>
      <x:c r="BH20" s="167" t="str">
        <x:f>IF(AND(BH$6&lt;=$H20,BH$6+6&gt;=$G20),1,"")</x:f>
      </x:c>
      <x:c r="BI20" s="167" t="str">
        <x:f>IF(AND(BI$6&lt;=$H20,BI$6+6&gt;=$G20),1,"")</x:f>
      </x:c>
      <x:c r="BJ20" s="167" t="str">
        <x:f>IF(AND(BJ$6&lt;=$H20,BJ$6+6&gt;=$G20),1,"")</x:f>
      </x:c>
      <x:c r="BK20" s="167" t="str">
        <x:f>IF(AND(BK$6&lt;=$H20,BK$6+6&gt;=$G20),1,"")</x:f>
      </x:c>
      <x:c r="BL20" s="167" t="str">
        <x:f>IF(AND(BL$6&lt;=$H20,BL$6+6&gt;=$G20),1,"")</x:f>
      </x:c>
      <x:c r="BM20" s="167" t="str">
        <x:f>IF(AND(BM$6&lt;=$H20,BM$6+6&gt;=$G20),1,"")</x:f>
      </x:c>
      <x:c r="BN20" s="167" t="str">
        <x:f>IF(AND(BN$6&lt;=$H20,BN$6+6&gt;=$G20),1,"")</x:f>
      </x:c>
      <x:c r="BO20" s="168" t="str">
        <x:f>IF(AND(BO$6&lt;=$H20,BO$6+6&gt;=$G20),1,"")</x:f>
      </x:c>
    </x:row>
    <x:row r="21" ht="24" customHeight="1">
      <x:c r="A21" s="68" t="str">
        <x:f>'Task Register'!A19</x:f>
        <x:v>AI-107</x:v>
      </x:c>
      <x:c r="B21" s="68" t="str">
        <x:f>'Task Register'!B19</x:f>
        <x:v>M1</x:v>
      </x:c>
      <x:c r="C21" s="68" t="str">
        <x:f>'Task Register'!C19</x:f>
        <x:v>Uncertainty</x:v>
      </x:c>
      <x:c r="D21" s="68" t="str">
        <x:f>'Task Register'!D19</x:f>
        <x:v>Calibrate transition and precision approximations</x:v>
      </x:c>
      <x:c r="E21" s="68" t="str">
        <x:f>'Task Register'!E19</x:f>
        <x:v>AI-103, AI-108</x:v>
      </x:c>
      <x:c r="F21" s="68" t="str">
        <x:f>'Task Register'!F19</x:f>
        <x:v>Done</x:v>
      </x:c>
      <x:c r="G21" s="94" t="n">
        <x:f>'Task Register'!I19</x:f>
        <x:v>46268</x:v>
      </x:c>
      <x:c r="H21" s="94" t="n">
        <x:f>'Task Register'!J19</x:f>
        <x:v>46269</x:v>
      </x:c>
      <x:c r="I21" s="166" t="str">
        <x:f>IF(AND(I$6&lt;=$H21,I$6+6&gt;=$G21),1,"")</x:f>
      </x:c>
      <x:c r="J21" s="167" t="str">
        <x:f>IF(AND(J$6&lt;=$H21,J$6+6&gt;=$G21),1,"")</x:f>
      </x:c>
      <x:c r="K21" s="167" t="str">
        <x:f>IF(AND(K$6&lt;=$H21,K$6+6&gt;=$G21),1,"")</x:f>
      </x:c>
      <x:c r="L21" s="167" t="str">
        <x:f>IF(AND(L$6&lt;=$H21,L$6+6&gt;=$G21),1,"")</x:f>
      </x:c>
      <x:c r="M21" s="167" t="n">
        <x:f>IF(AND(M$6&lt;=$H21,M$6+6&gt;=$G21),1,"")</x:f>
        <x:v>1</x:v>
      </x:c>
      <x:c r="N21" s="167" t="str">
        <x:f>IF(AND(N$6&lt;=$H21,N$6+6&gt;=$G21),1,"")</x:f>
      </x:c>
      <x:c r="O21" s="167" t="str">
        <x:f>IF(AND(O$6&lt;=$H21,O$6+6&gt;=$G21),1,"")</x:f>
      </x:c>
      <x:c r="P21" s="167" t="str">
        <x:f>IF(AND(P$6&lt;=$H21,P$6+6&gt;=$G21),1,"")</x:f>
      </x:c>
      <x:c r="Q21" s="167" t="str">
        <x:f>IF(AND(Q$6&lt;=$H21,Q$6+6&gt;=$G21),1,"")</x:f>
      </x:c>
      <x:c r="R21" s="167" t="str">
        <x:f>IF(AND(R$6&lt;=$H21,R$6+6&gt;=$G21),1,"")</x:f>
      </x:c>
      <x:c r="S21" s="167" t="str">
        <x:f>IF(AND(S$6&lt;=$H21,S$6+6&gt;=$G21),1,"")</x:f>
      </x:c>
      <x:c r="T21" s="167" t="str">
        <x:f>IF(AND(T$6&lt;=$H21,T$6+6&gt;=$G21),1,"")</x:f>
      </x:c>
      <x:c r="U21" s="167" t="str">
        <x:f>IF(AND(U$6&lt;=$H21,U$6+6&gt;=$G21),1,"")</x:f>
      </x:c>
      <x:c r="V21" s="167" t="str">
        <x:f>IF(AND(V$6&lt;=$H21,V$6+6&gt;=$G21),1,"")</x:f>
      </x:c>
      <x:c r="W21" s="167" t="str">
        <x:f>IF(AND(W$6&lt;=$H21,W$6+6&gt;=$G21),1,"")</x:f>
      </x:c>
      <x:c r="X21" s="167" t="str">
        <x:f>IF(AND(X$6&lt;=$H21,X$6+6&gt;=$G21),1,"")</x:f>
      </x:c>
      <x:c r="Y21" s="167" t="str">
        <x:f>IF(AND(Y$6&lt;=$H21,Y$6+6&gt;=$G21),1,"")</x:f>
      </x:c>
      <x:c r="Z21" s="167" t="str">
        <x:f>IF(AND(Z$6&lt;=$H21,Z$6+6&gt;=$G21),1,"")</x:f>
      </x:c>
      <x:c r="AA21" s="167" t="str">
        <x:f>IF(AND(AA$6&lt;=$H21,AA$6+6&gt;=$G21),1,"")</x:f>
      </x:c>
      <x:c r="AB21" s="167" t="str">
        <x:f>IF(AND(AB$6&lt;=$H21,AB$6+6&gt;=$G21),1,"")</x:f>
      </x:c>
      <x:c r="AC21" s="167" t="str">
        <x:f>IF(AND(AC$6&lt;=$H21,AC$6+6&gt;=$G21),1,"")</x:f>
      </x:c>
      <x:c r="AD21" s="167" t="str">
        <x:f>IF(AND(AD$6&lt;=$H21,AD$6+6&gt;=$G21),1,"")</x:f>
      </x:c>
      <x:c r="AE21" s="167" t="str">
        <x:f>IF(AND(AE$6&lt;=$H21,AE$6+6&gt;=$G21),1,"")</x:f>
      </x:c>
      <x:c r="AF21" s="167" t="str">
        <x:f>IF(AND(AF$6&lt;=$H21,AF$6+6&gt;=$G21),1,"")</x:f>
      </x:c>
      <x:c r="AG21" s="167" t="str">
        <x:f>IF(AND(AG$6&lt;=$H21,AG$6+6&gt;=$G21),1,"")</x:f>
      </x:c>
      <x:c r="AH21" s="167" t="str">
        <x:f>IF(AND(AH$6&lt;=$H21,AH$6+6&gt;=$G21),1,"")</x:f>
      </x:c>
      <x:c r="AI21" s="167" t="str">
        <x:f>IF(AND(AI$6&lt;=$H21,AI$6+6&gt;=$G21),1,"")</x:f>
      </x:c>
      <x:c r="AJ21" s="167" t="str">
        <x:f>IF(AND(AJ$6&lt;=$H21,AJ$6+6&gt;=$G21),1,"")</x:f>
      </x:c>
      <x:c r="AK21" s="167" t="str">
        <x:f>IF(AND(AK$6&lt;=$H21,AK$6+6&gt;=$G21),1,"")</x:f>
      </x:c>
      <x:c r="AL21" s="167" t="str">
        <x:f>IF(AND(AL$6&lt;=$H21,AL$6+6&gt;=$G21),1,"")</x:f>
      </x:c>
      <x:c r="AM21" s="167" t="str">
        <x:f>IF(AND(AM$6&lt;=$H21,AM$6+6&gt;=$G21),1,"")</x:f>
      </x:c>
      <x:c r="AN21" s="167" t="str">
        <x:f>IF(AND(AN$6&lt;=$H21,AN$6+6&gt;=$G21),1,"")</x:f>
      </x:c>
      <x:c r="AO21" s="167" t="str">
        <x:f>IF(AND(AO$6&lt;=$H21,AO$6+6&gt;=$G21),1,"")</x:f>
      </x:c>
      <x:c r="AP21" s="167" t="str">
        <x:f>IF(AND(AP$6&lt;=$H21,AP$6+6&gt;=$G21),1,"")</x:f>
      </x:c>
      <x:c r="AQ21" s="167" t="str">
        <x:f>IF(AND(AQ$6&lt;=$H21,AQ$6+6&gt;=$G21),1,"")</x:f>
      </x:c>
      <x:c r="AR21" s="167" t="str">
        <x:f>IF(AND(AR$6&lt;=$H21,AR$6+6&gt;=$G21),1,"")</x:f>
      </x:c>
      <x:c r="AS21" s="167" t="str">
        <x:f>IF(AND(AS$6&lt;=$H21,AS$6+6&gt;=$G21),1,"")</x:f>
      </x:c>
      <x:c r="AT21" s="167" t="str">
        <x:f>IF(AND(AT$6&lt;=$H21,AT$6+6&gt;=$G21),1,"")</x:f>
      </x:c>
      <x:c r="AU21" s="167" t="str">
        <x:f>IF(AND(AU$6&lt;=$H21,AU$6+6&gt;=$G21),1,"")</x:f>
      </x:c>
      <x:c r="AV21" s="167" t="str">
        <x:f>IF(AND(AV$6&lt;=$H21,AV$6+6&gt;=$G21),1,"")</x:f>
      </x:c>
      <x:c r="AW21" s="167" t="str">
        <x:f>IF(AND(AW$6&lt;=$H21,AW$6+6&gt;=$G21),1,"")</x:f>
      </x:c>
      <x:c r="AX21" s="167" t="str">
        <x:f>IF(AND(AX$6&lt;=$H21,AX$6+6&gt;=$G21),1,"")</x:f>
      </x:c>
      <x:c r="AY21" s="167" t="str">
        <x:f>IF(AND(AY$6&lt;=$H21,AY$6+6&gt;=$G21),1,"")</x:f>
      </x:c>
      <x:c r="AZ21" s="167" t="str">
        <x:f>IF(AND(AZ$6&lt;=$H21,AZ$6+6&gt;=$G21),1,"")</x:f>
      </x:c>
      <x:c r="BA21" s="167" t="str">
        <x:f>IF(AND(BA$6&lt;=$H21,BA$6+6&gt;=$G21),1,"")</x:f>
      </x:c>
      <x:c r="BB21" s="167" t="str">
        <x:f>IF(AND(BB$6&lt;=$H21,BB$6+6&gt;=$G21),1,"")</x:f>
      </x:c>
      <x:c r="BC21" s="167" t="str">
        <x:f>IF(AND(BC$6&lt;=$H21,BC$6+6&gt;=$G21),1,"")</x:f>
      </x:c>
      <x:c r="BD21" s="167" t="str">
        <x:f>IF(AND(BD$6&lt;=$H21,BD$6+6&gt;=$G21),1,"")</x:f>
      </x:c>
      <x:c r="BE21" s="167" t="str">
        <x:f>IF(AND(BE$6&lt;=$H21,BE$6+6&gt;=$G21),1,"")</x:f>
      </x:c>
      <x:c r="BF21" s="167" t="str">
        <x:f>IF(AND(BF$6&lt;=$H21,BF$6+6&gt;=$G21),1,"")</x:f>
      </x:c>
      <x:c r="BG21" s="167" t="str">
        <x:f>IF(AND(BG$6&lt;=$H21,BG$6+6&gt;=$G21),1,"")</x:f>
      </x:c>
      <x:c r="BH21" s="167" t="str">
        <x:f>IF(AND(BH$6&lt;=$H21,BH$6+6&gt;=$G21),1,"")</x:f>
      </x:c>
      <x:c r="BI21" s="167" t="str">
        <x:f>IF(AND(BI$6&lt;=$H21,BI$6+6&gt;=$G21),1,"")</x:f>
      </x:c>
      <x:c r="BJ21" s="167" t="str">
        <x:f>IF(AND(BJ$6&lt;=$H21,BJ$6+6&gt;=$G21),1,"")</x:f>
      </x:c>
      <x:c r="BK21" s="167" t="str">
        <x:f>IF(AND(BK$6&lt;=$H21,BK$6+6&gt;=$G21),1,"")</x:f>
      </x:c>
      <x:c r="BL21" s="167" t="str">
        <x:f>IF(AND(BL$6&lt;=$H21,BL$6+6&gt;=$G21),1,"")</x:f>
      </x:c>
      <x:c r="BM21" s="167" t="str">
        <x:f>IF(AND(BM$6&lt;=$H21,BM$6+6&gt;=$G21),1,"")</x:f>
      </x:c>
      <x:c r="BN21" s="167" t="str">
        <x:f>IF(AND(BN$6&lt;=$H21,BN$6+6&gt;=$G21),1,"")</x:f>
      </x:c>
      <x:c r="BO21" s="168" t="str">
        <x:f>IF(AND(BO$6&lt;=$H21,BO$6+6&gt;=$G21),1,"")</x:f>
      </x:c>
    </x:row>
    <x:row r="22" ht="24" customHeight="1">
      <x:c r="A22" s="68" t="str">
        <x:f>'Task Register'!A20</x:f>
        <x:v>AI-109</x:v>
      </x:c>
      <x:c r="B22" s="68" t="str">
        <x:f>'Task Register'!B20</x:f>
        <x:v>M1</x:v>
      </x:c>
      <x:c r="C22" s="68" t="str">
        <x:f>'Task Register'!C20</x:f>
        <x:v>Modeling/Validation</x:v>
      </x:c>
      <x:c r="D22" s="68" t="str">
        <x:f>'Task Register'!D20</x:f>
        <x:v>Establish predictive learning curves</x:v>
      </x:c>
      <x:c r="E22" s="68" t="str">
        <x:f>'Task Register'!E20</x:f>
        <x:v>AI-107, AI-108</x:v>
      </x:c>
      <x:c r="F22" s="68" t="str">
        <x:f>'Task Register'!F20</x:f>
        <x:v>Active</x:v>
      </x:c>
      <x:c r="G22" s="94" t="n">
        <x:f>'Task Register'!I20</x:f>
        <x:v>46272</x:v>
      </x:c>
      <x:c r="H22" s="94" t="n">
        <x:f>'Task Register'!J20</x:f>
        <x:v>46273</x:v>
      </x:c>
      <x:c r="I22" s="166" t="str">
        <x:f>IF(AND(I$6&lt;=$H22,I$6+6&gt;=$G22),1,"")</x:f>
      </x:c>
      <x:c r="J22" s="167" t="str">
        <x:f>IF(AND(J$6&lt;=$H22,J$6+6&gt;=$G22),1,"")</x:f>
      </x:c>
      <x:c r="K22" s="167" t="str">
        <x:f>IF(AND(K$6&lt;=$H22,K$6+6&gt;=$G22),1,"")</x:f>
      </x:c>
      <x:c r="L22" s="167" t="str">
        <x:f>IF(AND(L$6&lt;=$H22,L$6+6&gt;=$G22),1,"")</x:f>
      </x:c>
      <x:c r="M22" s="167" t="str">
        <x:f>IF(AND(M$6&lt;=$H22,M$6+6&gt;=$G22),1,"")</x:f>
      </x:c>
      <x:c r="N22" s="167" t="n">
        <x:f>IF(AND(N$6&lt;=$H22,N$6+6&gt;=$G22),1,"")</x:f>
        <x:v>1</x:v>
      </x:c>
      <x:c r="O22" s="167" t="str">
        <x:f>IF(AND(O$6&lt;=$H22,O$6+6&gt;=$G22),1,"")</x:f>
      </x:c>
      <x:c r="P22" s="167" t="str">
        <x:f>IF(AND(P$6&lt;=$H22,P$6+6&gt;=$G22),1,"")</x:f>
      </x:c>
      <x:c r="Q22" s="167" t="str">
        <x:f>IF(AND(Q$6&lt;=$H22,Q$6+6&gt;=$G22),1,"")</x:f>
      </x:c>
      <x:c r="R22" s="167" t="str">
        <x:f>IF(AND(R$6&lt;=$H22,R$6+6&gt;=$G22),1,"")</x:f>
      </x:c>
      <x:c r="S22" s="167" t="str">
        <x:f>IF(AND(S$6&lt;=$H22,S$6+6&gt;=$G22),1,"")</x:f>
      </x:c>
      <x:c r="T22" s="167" t="str">
        <x:f>IF(AND(T$6&lt;=$H22,T$6+6&gt;=$G22),1,"")</x:f>
      </x:c>
      <x:c r="U22" s="167" t="str">
        <x:f>IF(AND(U$6&lt;=$H22,U$6+6&gt;=$G22),1,"")</x:f>
      </x:c>
      <x:c r="V22" s="167" t="str">
        <x:f>IF(AND(V$6&lt;=$H22,V$6+6&gt;=$G22),1,"")</x:f>
      </x:c>
      <x:c r="W22" s="167" t="str">
        <x:f>IF(AND(W$6&lt;=$H22,W$6+6&gt;=$G22),1,"")</x:f>
      </x:c>
      <x:c r="X22" s="167" t="str">
        <x:f>IF(AND(X$6&lt;=$H22,X$6+6&gt;=$G22),1,"")</x:f>
      </x:c>
      <x:c r="Y22" s="167" t="str">
        <x:f>IF(AND(Y$6&lt;=$H22,Y$6+6&gt;=$G22),1,"")</x:f>
      </x:c>
      <x:c r="Z22" s="167" t="str">
        <x:f>IF(AND(Z$6&lt;=$H22,Z$6+6&gt;=$G22),1,"")</x:f>
      </x:c>
      <x:c r="AA22" s="167" t="str">
        <x:f>IF(AND(AA$6&lt;=$H22,AA$6+6&gt;=$G22),1,"")</x:f>
      </x:c>
      <x:c r="AB22" s="167" t="str">
        <x:f>IF(AND(AB$6&lt;=$H22,AB$6+6&gt;=$G22),1,"")</x:f>
      </x:c>
      <x:c r="AC22" s="167" t="str">
        <x:f>IF(AND(AC$6&lt;=$H22,AC$6+6&gt;=$G22),1,"")</x:f>
      </x:c>
      <x:c r="AD22" s="167" t="str">
        <x:f>IF(AND(AD$6&lt;=$H22,AD$6+6&gt;=$G22),1,"")</x:f>
      </x:c>
      <x:c r="AE22" s="167" t="str">
        <x:f>IF(AND(AE$6&lt;=$H22,AE$6+6&gt;=$G22),1,"")</x:f>
      </x:c>
      <x:c r="AF22" s="167" t="str">
        <x:f>IF(AND(AF$6&lt;=$H22,AF$6+6&gt;=$G22),1,"")</x:f>
      </x:c>
      <x:c r="AG22" s="167" t="str">
        <x:f>IF(AND(AG$6&lt;=$H22,AG$6+6&gt;=$G22),1,"")</x:f>
      </x:c>
      <x:c r="AH22" s="167" t="str">
        <x:f>IF(AND(AH$6&lt;=$H22,AH$6+6&gt;=$G22),1,"")</x:f>
      </x:c>
      <x:c r="AI22" s="167" t="str">
        <x:f>IF(AND(AI$6&lt;=$H22,AI$6+6&gt;=$G22),1,"")</x:f>
      </x:c>
      <x:c r="AJ22" s="167" t="str">
        <x:f>IF(AND(AJ$6&lt;=$H22,AJ$6+6&gt;=$G22),1,"")</x:f>
      </x:c>
      <x:c r="AK22" s="167" t="str">
        <x:f>IF(AND(AK$6&lt;=$H22,AK$6+6&gt;=$G22),1,"")</x:f>
      </x:c>
      <x:c r="AL22" s="167" t="str">
        <x:f>IF(AND(AL$6&lt;=$H22,AL$6+6&gt;=$G22),1,"")</x:f>
      </x:c>
      <x:c r="AM22" s="167" t="str">
        <x:f>IF(AND(AM$6&lt;=$H22,AM$6+6&gt;=$G22),1,"")</x:f>
      </x:c>
      <x:c r="AN22" s="167" t="str">
        <x:f>IF(AND(AN$6&lt;=$H22,AN$6+6&gt;=$G22),1,"")</x:f>
      </x:c>
      <x:c r="AO22" s="167" t="str">
        <x:f>IF(AND(AO$6&lt;=$H22,AO$6+6&gt;=$G22),1,"")</x:f>
      </x:c>
      <x:c r="AP22" s="167" t="str">
        <x:f>IF(AND(AP$6&lt;=$H22,AP$6+6&gt;=$G22),1,"")</x:f>
      </x:c>
      <x:c r="AQ22" s="167" t="str">
        <x:f>IF(AND(AQ$6&lt;=$H22,AQ$6+6&gt;=$G22),1,"")</x:f>
      </x:c>
      <x:c r="AR22" s="167" t="str">
        <x:f>IF(AND(AR$6&lt;=$H22,AR$6+6&gt;=$G22),1,"")</x:f>
      </x:c>
      <x:c r="AS22" s="167" t="str">
        <x:f>IF(AND(AS$6&lt;=$H22,AS$6+6&gt;=$G22),1,"")</x:f>
      </x:c>
      <x:c r="AT22" s="167" t="str">
        <x:f>IF(AND(AT$6&lt;=$H22,AT$6+6&gt;=$G22),1,"")</x:f>
      </x:c>
      <x:c r="AU22" s="167" t="str">
        <x:f>IF(AND(AU$6&lt;=$H22,AU$6+6&gt;=$G22),1,"")</x:f>
      </x:c>
      <x:c r="AV22" s="167" t="str">
        <x:f>IF(AND(AV$6&lt;=$H22,AV$6+6&gt;=$G22),1,"")</x:f>
      </x:c>
      <x:c r="AW22" s="167" t="str">
        <x:f>IF(AND(AW$6&lt;=$H22,AW$6+6&gt;=$G22),1,"")</x:f>
      </x:c>
      <x:c r="AX22" s="167" t="str">
        <x:f>IF(AND(AX$6&lt;=$H22,AX$6+6&gt;=$G22),1,"")</x:f>
      </x:c>
      <x:c r="AY22" s="167" t="str">
        <x:f>IF(AND(AY$6&lt;=$H22,AY$6+6&gt;=$G22),1,"")</x:f>
      </x:c>
      <x:c r="AZ22" s="167" t="str">
        <x:f>IF(AND(AZ$6&lt;=$H22,AZ$6+6&gt;=$G22),1,"")</x:f>
      </x:c>
      <x:c r="BA22" s="167" t="str">
        <x:f>IF(AND(BA$6&lt;=$H22,BA$6+6&gt;=$G22),1,"")</x:f>
      </x:c>
      <x:c r="BB22" s="167" t="str">
        <x:f>IF(AND(BB$6&lt;=$H22,BB$6+6&gt;=$G22),1,"")</x:f>
      </x:c>
      <x:c r="BC22" s="167" t="str">
        <x:f>IF(AND(BC$6&lt;=$H22,BC$6+6&gt;=$G22),1,"")</x:f>
      </x:c>
      <x:c r="BD22" s="167" t="str">
        <x:f>IF(AND(BD$6&lt;=$H22,BD$6+6&gt;=$G22),1,"")</x:f>
      </x:c>
      <x:c r="BE22" s="167" t="str">
        <x:f>IF(AND(BE$6&lt;=$H22,BE$6+6&gt;=$G22),1,"")</x:f>
      </x:c>
      <x:c r="BF22" s="167" t="str">
        <x:f>IF(AND(BF$6&lt;=$H22,BF$6+6&gt;=$G22),1,"")</x:f>
      </x:c>
      <x:c r="BG22" s="167" t="str">
        <x:f>IF(AND(BG$6&lt;=$H22,BG$6+6&gt;=$G22),1,"")</x:f>
      </x:c>
      <x:c r="BH22" s="167" t="str">
        <x:f>IF(AND(BH$6&lt;=$H22,BH$6+6&gt;=$G22),1,"")</x:f>
      </x:c>
      <x:c r="BI22" s="167" t="str">
        <x:f>IF(AND(BI$6&lt;=$H22,BI$6+6&gt;=$G22),1,"")</x:f>
      </x:c>
      <x:c r="BJ22" s="167" t="str">
        <x:f>IF(AND(BJ$6&lt;=$H22,BJ$6+6&gt;=$G22),1,"")</x:f>
      </x:c>
      <x:c r="BK22" s="167" t="str">
        <x:f>IF(AND(BK$6&lt;=$H22,BK$6+6&gt;=$G22),1,"")</x:f>
      </x:c>
      <x:c r="BL22" s="167" t="str">
        <x:f>IF(AND(BL$6&lt;=$H22,BL$6+6&gt;=$G22),1,"")</x:f>
      </x:c>
      <x:c r="BM22" s="167" t="str">
        <x:f>IF(AND(BM$6&lt;=$H22,BM$6+6&gt;=$G22),1,"")</x:f>
      </x:c>
      <x:c r="BN22" s="167" t="str">
        <x:f>IF(AND(BN$6&lt;=$H22,BN$6+6&gt;=$G22),1,"")</x:f>
      </x:c>
      <x:c r="BO22" s="168" t="str">
        <x:f>IF(AND(BO$6&lt;=$H22,BO$6+6&gt;=$G22),1,"")</x:f>
      </x:c>
    </x:row>
    <x:row r="23" ht="24" customHeight="1">
      <x:c r="A23" s="68" t="str">
        <x:f>'Task Register'!A21</x:f>
        <x:v>AI-112</x:v>
      </x:c>
      <x:c r="B23" s="68" t="str">
        <x:f>'Task Register'!B21</x:f>
        <x:v>M1</x:v>
      </x:c>
      <x:c r="C23" s="68" t="str">
        <x:f>'Task Register'!C21</x:f>
        <x:v>Continual Learning/Research Ops</x:v>
      </x:c>
      <x:c r="D23" s="68" t="str">
        <x:f>'Task Register'!D21</x:f>
        <x:v>Define online learning and inheritance semantics</x:v>
      </x:c>
      <x:c r="E23" s="68" t="str">
        <x:f>'Task Register'!E21</x:f>
        <x:v>AI-101, AI-108</x:v>
      </x:c>
      <x:c r="F23" s="68" t="str">
        <x:f>'Task Register'!F21</x:f>
        <x:v>Ready</x:v>
      </x:c>
      <x:c r="G23" s="94" t="n">
        <x:f>'Task Register'!I21</x:f>
        <x:v>46274</x:v>
      </x:c>
      <x:c r="H23" s="94" t="n">
        <x:f>'Task Register'!J21</x:f>
        <x:v>46274</x:v>
      </x:c>
      <x:c r="I23" s="166" t="str">
        <x:f>IF(AND(I$6&lt;=$H23,I$6+6&gt;=$G23),1,"")</x:f>
      </x:c>
      <x:c r="J23" s="167" t="str">
        <x:f>IF(AND(J$6&lt;=$H23,J$6+6&gt;=$G23),1,"")</x:f>
      </x:c>
      <x:c r="K23" s="167" t="str">
        <x:f>IF(AND(K$6&lt;=$H23,K$6+6&gt;=$G23),1,"")</x:f>
      </x:c>
      <x:c r="L23" s="167" t="str">
        <x:f>IF(AND(L$6&lt;=$H23,L$6+6&gt;=$G23),1,"")</x:f>
      </x:c>
      <x:c r="M23" s="167" t="str">
        <x:f>IF(AND(M$6&lt;=$H23,M$6+6&gt;=$G23),1,"")</x:f>
      </x:c>
      <x:c r="N23" s="167" t="n">
        <x:f>IF(AND(N$6&lt;=$H23,N$6+6&gt;=$G23),1,"")</x:f>
        <x:v>1</x:v>
      </x:c>
      <x:c r="O23" s="167" t="str">
        <x:f>IF(AND(O$6&lt;=$H23,O$6+6&gt;=$G23),1,"")</x:f>
      </x:c>
      <x:c r="P23" s="167" t="str">
        <x:f>IF(AND(P$6&lt;=$H23,P$6+6&gt;=$G23),1,"")</x:f>
      </x:c>
      <x:c r="Q23" s="167" t="str">
        <x:f>IF(AND(Q$6&lt;=$H23,Q$6+6&gt;=$G23),1,"")</x:f>
      </x:c>
      <x:c r="R23" s="167" t="str">
        <x:f>IF(AND(R$6&lt;=$H23,R$6+6&gt;=$G23),1,"")</x:f>
      </x:c>
      <x:c r="S23" s="167" t="str">
        <x:f>IF(AND(S$6&lt;=$H23,S$6+6&gt;=$G23),1,"")</x:f>
      </x:c>
      <x:c r="T23" s="167" t="str">
        <x:f>IF(AND(T$6&lt;=$H23,T$6+6&gt;=$G23),1,"")</x:f>
      </x:c>
      <x:c r="U23" s="167" t="str">
        <x:f>IF(AND(U$6&lt;=$H23,U$6+6&gt;=$G23),1,"")</x:f>
      </x:c>
      <x:c r="V23" s="167" t="str">
        <x:f>IF(AND(V$6&lt;=$H23,V$6+6&gt;=$G23),1,"")</x:f>
      </x:c>
      <x:c r="W23" s="167" t="str">
        <x:f>IF(AND(W$6&lt;=$H23,W$6+6&gt;=$G23),1,"")</x:f>
      </x:c>
      <x:c r="X23" s="167" t="str">
        <x:f>IF(AND(X$6&lt;=$H23,X$6+6&gt;=$G23),1,"")</x:f>
      </x:c>
      <x:c r="Y23" s="167" t="str">
        <x:f>IF(AND(Y$6&lt;=$H23,Y$6+6&gt;=$G23),1,"")</x:f>
      </x:c>
      <x:c r="Z23" s="167" t="str">
        <x:f>IF(AND(Z$6&lt;=$H23,Z$6+6&gt;=$G23),1,"")</x:f>
      </x:c>
      <x:c r="AA23" s="167" t="str">
        <x:f>IF(AND(AA$6&lt;=$H23,AA$6+6&gt;=$G23),1,"")</x:f>
      </x:c>
      <x:c r="AB23" s="167" t="str">
        <x:f>IF(AND(AB$6&lt;=$H23,AB$6+6&gt;=$G23),1,"")</x:f>
      </x:c>
      <x:c r="AC23" s="167" t="str">
        <x:f>IF(AND(AC$6&lt;=$H23,AC$6+6&gt;=$G23),1,"")</x:f>
      </x:c>
      <x:c r="AD23" s="167" t="str">
        <x:f>IF(AND(AD$6&lt;=$H23,AD$6+6&gt;=$G23),1,"")</x:f>
      </x:c>
      <x:c r="AE23" s="167" t="str">
        <x:f>IF(AND(AE$6&lt;=$H23,AE$6+6&gt;=$G23),1,"")</x:f>
      </x:c>
      <x:c r="AF23" s="167" t="str">
        <x:f>IF(AND(AF$6&lt;=$H23,AF$6+6&gt;=$G23),1,"")</x:f>
      </x:c>
      <x:c r="AG23" s="167" t="str">
        <x:f>IF(AND(AG$6&lt;=$H23,AG$6+6&gt;=$G23),1,"")</x:f>
      </x:c>
      <x:c r="AH23" s="167" t="str">
        <x:f>IF(AND(AH$6&lt;=$H23,AH$6+6&gt;=$G23),1,"")</x:f>
      </x:c>
      <x:c r="AI23" s="167" t="str">
        <x:f>IF(AND(AI$6&lt;=$H23,AI$6+6&gt;=$G23),1,"")</x:f>
      </x:c>
      <x:c r="AJ23" s="167" t="str">
        <x:f>IF(AND(AJ$6&lt;=$H23,AJ$6+6&gt;=$G23),1,"")</x:f>
      </x:c>
      <x:c r="AK23" s="167" t="str">
        <x:f>IF(AND(AK$6&lt;=$H23,AK$6+6&gt;=$G23),1,"")</x:f>
      </x:c>
      <x:c r="AL23" s="167" t="str">
        <x:f>IF(AND(AL$6&lt;=$H23,AL$6+6&gt;=$G23),1,"")</x:f>
      </x:c>
      <x:c r="AM23" s="167" t="str">
        <x:f>IF(AND(AM$6&lt;=$H23,AM$6+6&gt;=$G23),1,"")</x:f>
      </x:c>
      <x:c r="AN23" s="167" t="str">
        <x:f>IF(AND(AN$6&lt;=$H23,AN$6+6&gt;=$G23),1,"")</x:f>
      </x:c>
      <x:c r="AO23" s="167" t="str">
        <x:f>IF(AND(AO$6&lt;=$H23,AO$6+6&gt;=$G23),1,"")</x:f>
      </x:c>
      <x:c r="AP23" s="167" t="str">
        <x:f>IF(AND(AP$6&lt;=$H23,AP$6+6&gt;=$G23),1,"")</x:f>
      </x:c>
      <x:c r="AQ23" s="167" t="str">
        <x:f>IF(AND(AQ$6&lt;=$H23,AQ$6+6&gt;=$G23),1,"")</x:f>
      </x:c>
      <x:c r="AR23" s="167" t="str">
        <x:f>IF(AND(AR$6&lt;=$H23,AR$6+6&gt;=$G23),1,"")</x:f>
      </x:c>
      <x:c r="AS23" s="167" t="str">
        <x:f>IF(AND(AS$6&lt;=$H23,AS$6+6&gt;=$G23),1,"")</x:f>
      </x:c>
      <x:c r="AT23" s="167" t="str">
        <x:f>IF(AND(AT$6&lt;=$H23,AT$6+6&gt;=$G23),1,"")</x:f>
      </x:c>
      <x:c r="AU23" s="167" t="str">
        <x:f>IF(AND(AU$6&lt;=$H23,AU$6+6&gt;=$G23),1,"")</x:f>
      </x:c>
      <x:c r="AV23" s="167" t="str">
        <x:f>IF(AND(AV$6&lt;=$H23,AV$6+6&gt;=$G23),1,"")</x:f>
      </x:c>
      <x:c r="AW23" s="167" t="str">
        <x:f>IF(AND(AW$6&lt;=$H23,AW$6+6&gt;=$G23),1,"")</x:f>
      </x:c>
      <x:c r="AX23" s="167" t="str">
        <x:f>IF(AND(AX$6&lt;=$H23,AX$6+6&gt;=$G23),1,"")</x:f>
      </x:c>
      <x:c r="AY23" s="167" t="str">
        <x:f>IF(AND(AY$6&lt;=$H23,AY$6+6&gt;=$G23),1,"")</x:f>
      </x:c>
      <x:c r="AZ23" s="167" t="str">
        <x:f>IF(AND(AZ$6&lt;=$H23,AZ$6+6&gt;=$G23),1,"")</x:f>
      </x:c>
      <x:c r="BA23" s="167" t="str">
        <x:f>IF(AND(BA$6&lt;=$H23,BA$6+6&gt;=$G23),1,"")</x:f>
      </x:c>
      <x:c r="BB23" s="167" t="str">
        <x:f>IF(AND(BB$6&lt;=$H23,BB$6+6&gt;=$G23),1,"")</x:f>
      </x:c>
      <x:c r="BC23" s="167" t="str">
        <x:f>IF(AND(BC$6&lt;=$H23,BC$6+6&gt;=$G23),1,"")</x:f>
      </x:c>
      <x:c r="BD23" s="167" t="str">
        <x:f>IF(AND(BD$6&lt;=$H23,BD$6+6&gt;=$G23),1,"")</x:f>
      </x:c>
      <x:c r="BE23" s="167" t="str">
        <x:f>IF(AND(BE$6&lt;=$H23,BE$6+6&gt;=$G23),1,"")</x:f>
      </x:c>
      <x:c r="BF23" s="167" t="str">
        <x:f>IF(AND(BF$6&lt;=$H23,BF$6+6&gt;=$G23),1,"")</x:f>
      </x:c>
      <x:c r="BG23" s="167" t="str">
        <x:f>IF(AND(BG$6&lt;=$H23,BG$6+6&gt;=$G23),1,"")</x:f>
      </x:c>
      <x:c r="BH23" s="167" t="str">
        <x:f>IF(AND(BH$6&lt;=$H23,BH$6+6&gt;=$G23),1,"")</x:f>
      </x:c>
      <x:c r="BI23" s="167" t="str">
        <x:f>IF(AND(BI$6&lt;=$H23,BI$6+6&gt;=$G23),1,"")</x:f>
      </x:c>
      <x:c r="BJ23" s="167" t="str">
        <x:f>IF(AND(BJ$6&lt;=$H23,BJ$6+6&gt;=$G23),1,"")</x:f>
      </x:c>
      <x:c r="BK23" s="167" t="str">
        <x:f>IF(AND(BK$6&lt;=$H23,BK$6+6&gt;=$G23),1,"")</x:f>
      </x:c>
      <x:c r="BL23" s="167" t="str">
        <x:f>IF(AND(BL$6&lt;=$H23,BL$6+6&gt;=$G23),1,"")</x:f>
      </x:c>
      <x:c r="BM23" s="167" t="str">
        <x:f>IF(AND(BM$6&lt;=$H23,BM$6+6&gt;=$G23),1,"")</x:f>
      </x:c>
      <x:c r="BN23" s="167" t="str">
        <x:f>IF(AND(BN$6&lt;=$H23,BN$6+6&gt;=$G23),1,"")</x:f>
      </x:c>
      <x:c r="BO23" s="168" t="str">
        <x:f>IF(AND(BO$6&lt;=$H23,BO$6+6&gt;=$G23),1,"")</x:f>
      </x:c>
    </x:row>
    <x:row r="24" ht="24" customHeight="1">
      <x:c r="A24" s="68" t="str">
        <x:f>'Task Register'!A22</x:f>
        <x:v>AI-113</x:v>
      </x:c>
      <x:c r="B24" s="68" t="str">
        <x:f>'Task Register'!B22</x:f>
        <x:v>M1</x:v>
      </x:c>
      <x:c r="C24" s="68" t="str">
        <x:f>'Task Register'!C22</x:f>
        <x:v>Performance/Feasibility</x:v>
      </x:c>
      <x:c r="D24" s="68" t="str">
        <x:f>'Task Register'!D22</x:f>
        <x:v>Profile inference, rollout, and learning separately</x:v>
      </x:c>
      <x:c r="E24" s="68" t="str">
        <x:f>'Task Register'!E22</x:f>
        <x:v>AI-109</x:v>
      </x:c>
      <x:c r="F24" s="68" t="str">
        <x:f>'Task Register'!F22</x:f>
        <x:v>Blocked</x:v>
      </x:c>
      <x:c r="G24" s="94" t="n">
        <x:f>'Task Register'!I22</x:f>
        <x:v>46275</x:v>
      </x:c>
      <x:c r="H24" s="94" t="n">
        <x:f>'Task Register'!J22</x:f>
        <x:v>46275</x:v>
      </x:c>
      <x:c r="I24" s="166" t="str">
        <x:f>IF(AND(I$6&lt;=$H24,I$6+6&gt;=$G24),1,"")</x:f>
      </x:c>
      <x:c r="J24" s="167" t="str">
        <x:f>IF(AND(J$6&lt;=$H24,J$6+6&gt;=$G24),1,"")</x:f>
      </x:c>
      <x:c r="K24" s="167" t="str">
        <x:f>IF(AND(K$6&lt;=$H24,K$6+6&gt;=$G24),1,"")</x:f>
      </x:c>
      <x:c r="L24" s="167" t="str">
        <x:f>IF(AND(L$6&lt;=$H24,L$6+6&gt;=$G24),1,"")</x:f>
      </x:c>
      <x:c r="M24" s="167" t="str">
        <x:f>IF(AND(M$6&lt;=$H24,M$6+6&gt;=$G24),1,"")</x:f>
      </x:c>
      <x:c r="N24" s="167" t="n">
        <x:f>IF(AND(N$6&lt;=$H24,N$6+6&gt;=$G24),1,"")</x:f>
        <x:v>1</x:v>
      </x:c>
      <x:c r="O24" s="167" t="str">
        <x:f>IF(AND(O$6&lt;=$H24,O$6+6&gt;=$G24),1,"")</x:f>
      </x:c>
      <x:c r="P24" s="167" t="str">
        <x:f>IF(AND(P$6&lt;=$H24,P$6+6&gt;=$G24),1,"")</x:f>
      </x:c>
      <x:c r="Q24" s="167" t="str">
        <x:f>IF(AND(Q$6&lt;=$H24,Q$6+6&gt;=$G24),1,"")</x:f>
      </x:c>
      <x:c r="R24" s="167" t="str">
        <x:f>IF(AND(R$6&lt;=$H24,R$6+6&gt;=$G24),1,"")</x:f>
      </x:c>
      <x:c r="S24" s="167" t="str">
        <x:f>IF(AND(S$6&lt;=$H24,S$6+6&gt;=$G24),1,"")</x:f>
      </x:c>
      <x:c r="T24" s="167" t="str">
        <x:f>IF(AND(T$6&lt;=$H24,T$6+6&gt;=$G24),1,"")</x:f>
      </x:c>
      <x:c r="U24" s="167" t="str">
        <x:f>IF(AND(U$6&lt;=$H24,U$6+6&gt;=$G24),1,"")</x:f>
      </x:c>
      <x:c r="V24" s="167" t="str">
        <x:f>IF(AND(V$6&lt;=$H24,V$6+6&gt;=$G24),1,"")</x:f>
      </x:c>
      <x:c r="W24" s="167" t="str">
        <x:f>IF(AND(W$6&lt;=$H24,W$6+6&gt;=$G24),1,"")</x:f>
      </x:c>
      <x:c r="X24" s="167" t="str">
        <x:f>IF(AND(X$6&lt;=$H24,X$6+6&gt;=$G24),1,"")</x:f>
      </x:c>
      <x:c r="Y24" s="167" t="str">
        <x:f>IF(AND(Y$6&lt;=$H24,Y$6+6&gt;=$G24),1,"")</x:f>
      </x:c>
      <x:c r="Z24" s="167" t="str">
        <x:f>IF(AND(Z$6&lt;=$H24,Z$6+6&gt;=$G24),1,"")</x:f>
      </x:c>
      <x:c r="AA24" s="167" t="str">
        <x:f>IF(AND(AA$6&lt;=$H24,AA$6+6&gt;=$G24),1,"")</x:f>
      </x:c>
      <x:c r="AB24" s="167" t="str">
        <x:f>IF(AND(AB$6&lt;=$H24,AB$6+6&gt;=$G24),1,"")</x:f>
      </x:c>
      <x:c r="AC24" s="167" t="str">
        <x:f>IF(AND(AC$6&lt;=$H24,AC$6+6&gt;=$G24),1,"")</x:f>
      </x:c>
      <x:c r="AD24" s="167" t="str">
        <x:f>IF(AND(AD$6&lt;=$H24,AD$6+6&gt;=$G24),1,"")</x:f>
      </x:c>
      <x:c r="AE24" s="167" t="str">
        <x:f>IF(AND(AE$6&lt;=$H24,AE$6+6&gt;=$G24),1,"")</x:f>
      </x:c>
      <x:c r="AF24" s="167" t="str">
        <x:f>IF(AND(AF$6&lt;=$H24,AF$6+6&gt;=$G24),1,"")</x:f>
      </x:c>
      <x:c r="AG24" s="167" t="str">
        <x:f>IF(AND(AG$6&lt;=$H24,AG$6+6&gt;=$G24),1,"")</x:f>
      </x:c>
      <x:c r="AH24" s="167" t="str">
        <x:f>IF(AND(AH$6&lt;=$H24,AH$6+6&gt;=$G24),1,"")</x:f>
      </x:c>
      <x:c r="AI24" s="167" t="str">
        <x:f>IF(AND(AI$6&lt;=$H24,AI$6+6&gt;=$G24),1,"")</x:f>
      </x:c>
      <x:c r="AJ24" s="167" t="str">
        <x:f>IF(AND(AJ$6&lt;=$H24,AJ$6+6&gt;=$G24),1,"")</x:f>
      </x:c>
      <x:c r="AK24" s="167" t="str">
        <x:f>IF(AND(AK$6&lt;=$H24,AK$6+6&gt;=$G24),1,"")</x:f>
      </x:c>
      <x:c r="AL24" s="167" t="str">
        <x:f>IF(AND(AL$6&lt;=$H24,AL$6+6&gt;=$G24),1,"")</x:f>
      </x:c>
      <x:c r="AM24" s="167" t="str">
        <x:f>IF(AND(AM$6&lt;=$H24,AM$6+6&gt;=$G24),1,"")</x:f>
      </x:c>
      <x:c r="AN24" s="167" t="str">
        <x:f>IF(AND(AN$6&lt;=$H24,AN$6+6&gt;=$G24),1,"")</x:f>
      </x:c>
      <x:c r="AO24" s="167" t="str">
        <x:f>IF(AND(AO$6&lt;=$H24,AO$6+6&gt;=$G24),1,"")</x:f>
      </x:c>
      <x:c r="AP24" s="167" t="str">
        <x:f>IF(AND(AP$6&lt;=$H24,AP$6+6&gt;=$G24),1,"")</x:f>
      </x:c>
      <x:c r="AQ24" s="167" t="str">
        <x:f>IF(AND(AQ$6&lt;=$H24,AQ$6+6&gt;=$G24),1,"")</x:f>
      </x:c>
      <x:c r="AR24" s="167" t="str">
        <x:f>IF(AND(AR$6&lt;=$H24,AR$6+6&gt;=$G24),1,"")</x:f>
      </x:c>
      <x:c r="AS24" s="167" t="str">
        <x:f>IF(AND(AS$6&lt;=$H24,AS$6+6&gt;=$G24),1,"")</x:f>
      </x:c>
      <x:c r="AT24" s="167" t="str">
        <x:f>IF(AND(AT$6&lt;=$H24,AT$6+6&gt;=$G24),1,"")</x:f>
      </x:c>
      <x:c r="AU24" s="167" t="str">
        <x:f>IF(AND(AU$6&lt;=$H24,AU$6+6&gt;=$G24),1,"")</x:f>
      </x:c>
      <x:c r="AV24" s="167" t="str">
        <x:f>IF(AND(AV$6&lt;=$H24,AV$6+6&gt;=$G24),1,"")</x:f>
      </x:c>
      <x:c r="AW24" s="167" t="str">
        <x:f>IF(AND(AW$6&lt;=$H24,AW$6+6&gt;=$G24),1,"")</x:f>
      </x:c>
      <x:c r="AX24" s="167" t="str">
        <x:f>IF(AND(AX$6&lt;=$H24,AX$6+6&gt;=$G24),1,"")</x:f>
      </x:c>
      <x:c r="AY24" s="167" t="str">
        <x:f>IF(AND(AY$6&lt;=$H24,AY$6+6&gt;=$G24),1,"")</x:f>
      </x:c>
      <x:c r="AZ24" s="167" t="str">
        <x:f>IF(AND(AZ$6&lt;=$H24,AZ$6+6&gt;=$G24),1,"")</x:f>
      </x:c>
      <x:c r="BA24" s="167" t="str">
        <x:f>IF(AND(BA$6&lt;=$H24,BA$6+6&gt;=$G24),1,"")</x:f>
      </x:c>
      <x:c r="BB24" s="167" t="str">
        <x:f>IF(AND(BB$6&lt;=$H24,BB$6+6&gt;=$G24),1,"")</x:f>
      </x:c>
      <x:c r="BC24" s="167" t="str">
        <x:f>IF(AND(BC$6&lt;=$H24,BC$6+6&gt;=$G24),1,"")</x:f>
      </x:c>
      <x:c r="BD24" s="167" t="str">
        <x:f>IF(AND(BD$6&lt;=$H24,BD$6+6&gt;=$G24),1,"")</x:f>
      </x:c>
      <x:c r="BE24" s="167" t="str">
        <x:f>IF(AND(BE$6&lt;=$H24,BE$6+6&gt;=$G24),1,"")</x:f>
      </x:c>
      <x:c r="BF24" s="167" t="str">
        <x:f>IF(AND(BF$6&lt;=$H24,BF$6+6&gt;=$G24),1,"")</x:f>
      </x:c>
      <x:c r="BG24" s="167" t="str">
        <x:f>IF(AND(BG$6&lt;=$H24,BG$6+6&gt;=$G24),1,"")</x:f>
      </x:c>
      <x:c r="BH24" s="167" t="str">
        <x:f>IF(AND(BH$6&lt;=$H24,BH$6+6&gt;=$G24),1,"")</x:f>
      </x:c>
      <x:c r="BI24" s="167" t="str">
        <x:f>IF(AND(BI$6&lt;=$H24,BI$6+6&gt;=$G24),1,"")</x:f>
      </x:c>
      <x:c r="BJ24" s="167" t="str">
        <x:f>IF(AND(BJ$6&lt;=$H24,BJ$6+6&gt;=$G24),1,"")</x:f>
      </x:c>
      <x:c r="BK24" s="167" t="str">
        <x:f>IF(AND(BK$6&lt;=$H24,BK$6+6&gt;=$G24),1,"")</x:f>
      </x:c>
      <x:c r="BL24" s="167" t="str">
        <x:f>IF(AND(BL$6&lt;=$H24,BL$6+6&gt;=$G24),1,"")</x:f>
      </x:c>
      <x:c r="BM24" s="167" t="str">
        <x:f>IF(AND(BM$6&lt;=$H24,BM$6+6&gt;=$G24),1,"")</x:f>
      </x:c>
      <x:c r="BN24" s="167" t="str">
        <x:f>IF(AND(BN$6&lt;=$H24,BN$6+6&gt;=$G24),1,"")</x:f>
      </x:c>
      <x:c r="BO24" s="168" t="str">
        <x:f>IF(AND(BO$6&lt;=$H24,BO$6+6&gt;=$G24),1,"")</x:f>
      </x:c>
    </x:row>
    <x:row r="25" ht="24" customHeight="1">
      <x:c r="A25" s="68" t="str">
        <x:f>'Task Register'!A23</x:f>
        <x:v>AI-110</x:v>
      </x:c>
      <x:c r="B25" s="68" t="str">
        <x:f>'Task Register'!B23</x:f>
        <x:v>M1</x:v>
      </x:c>
      <x:c r="C25" s="68" t="str">
        <x:f>'Task Register'!C23</x:f>
        <x:v>Active Inference/Preferences</x:v>
      </x:c>
      <x:c r="D25" s="68" t="str">
        <x:f>'Task Register'!D23</x:f>
        <x:v>Resolve the composition-preference closed loop</x:v>
      </x:c>
      <x:c r="E25" s="68" t="str">
        <x:f>'Task Register'!E23</x:f>
        <x:v>AI-101, AI-105, AI-109</x:v>
      </x:c>
      <x:c r="F25" s="68" t="str">
        <x:f>'Task Register'!F23</x:f>
        <x:v>Blocked</x:v>
      </x:c>
      <x:c r="G25" s="94" t="n">
        <x:f>'Task Register'!I23</x:f>
        <x:v>46276</x:v>
      </x:c>
      <x:c r="H25" s="94" t="n">
        <x:f>'Task Register'!J23</x:f>
        <x:v>46279</x:v>
      </x:c>
      <x:c r="I25" s="166" t="str">
        <x:f>IF(AND(I$6&lt;=$H25,I$6+6&gt;=$G25),1,"")</x:f>
      </x:c>
      <x:c r="J25" s="167" t="str">
        <x:f>IF(AND(J$6&lt;=$H25,J$6+6&gt;=$G25),1,"")</x:f>
      </x:c>
      <x:c r="K25" s="167" t="str">
        <x:f>IF(AND(K$6&lt;=$H25,K$6+6&gt;=$G25),1,"")</x:f>
      </x:c>
      <x:c r="L25" s="167" t="str">
        <x:f>IF(AND(L$6&lt;=$H25,L$6+6&gt;=$G25),1,"")</x:f>
      </x:c>
      <x:c r="M25" s="167" t="str">
        <x:f>IF(AND(M$6&lt;=$H25,M$6+6&gt;=$G25),1,"")</x:f>
      </x:c>
      <x:c r="N25" s="167" t="n">
        <x:f>IF(AND(N$6&lt;=$H25,N$6+6&gt;=$G25),1,"")</x:f>
        <x:v>1</x:v>
      </x:c>
      <x:c r="O25" s="167" t="n">
        <x:f>IF(AND(O$6&lt;=$H25,O$6+6&gt;=$G25),1,"")</x:f>
        <x:v>1</x:v>
      </x:c>
      <x:c r="P25" s="167" t="str">
        <x:f>IF(AND(P$6&lt;=$H25,P$6+6&gt;=$G25),1,"")</x:f>
      </x:c>
      <x:c r="Q25" s="167" t="str">
        <x:f>IF(AND(Q$6&lt;=$H25,Q$6+6&gt;=$G25),1,"")</x:f>
      </x:c>
      <x:c r="R25" s="167" t="str">
        <x:f>IF(AND(R$6&lt;=$H25,R$6+6&gt;=$G25),1,"")</x:f>
      </x:c>
      <x:c r="S25" s="167" t="str">
        <x:f>IF(AND(S$6&lt;=$H25,S$6+6&gt;=$G25),1,"")</x:f>
      </x:c>
      <x:c r="T25" s="167" t="str">
        <x:f>IF(AND(T$6&lt;=$H25,T$6+6&gt;=$G25),1,"")</x:f>
      </x:c>
      <x:c r="U25" s="167" t="str">
        <x:f>IF(AND(U$6&lt;=$H25,U$6+6&gt;=$G25),1,"")</x:f>
      </x:c>
      <x:c r="V25" s="167" t="str">
        <x:f>IF(AND(V$6&lt;=$H25,V$6+6&gt;=$G25),1,"")</x:f>
      </x:c>
      <x:c r="W25" s="167" t="str">
        <x:f>IF(AND(W$6&lt;=$H25,W$6+6&gt;=$G25),1,"")</x:f>
      </x:c>
      <x:c r="X25" s="167" t="str">
        <x:f>IF(AND(X$6&lt;=$H25,X$6+6&gt;=$G25),1,"")</x:f>
      </x:c>
      <x:c r="Y25" s="167" t="str">
        <x:f>IF(AND(Y$6&lt;=$H25,Y$6+6&gt;=$G25),1,"")</x:f>
      </x:c>
      <x:c r="Z25" s="167" t="str">
        <x:f>IF(AND(Z$6&lt;=$H25,Z$6+6&gt;=$G25),1,"")</x:f>
      </x:c>
      <x:c r="AA25" s="167" t="str">
        <x:f>IF(AND(AA$6&lt;=$H25,AA$6+6&gt;=$G25),1,"")</x:f>
      </x:c>
      <x:c r="AB25" s="167" t="str">
        <x:f>IF(AND(AB$6&lt;=$H25,AB$6+6&gt;=$G25),1,"")</x:f>
      </x:c>
      <x:c r="AC25" s="167" t="str">
        <x:f>IF(AND(AC$6&lt;=$H25,AC$6+6&gt;=$G25),1,"")</x:f>
      </x:c>
      <x:c r="AD25" s="167" t="str">
        <x:f>IF(AND(AD$6&lt;=$H25,AD$6+6&gt;=$G25),1,"")</x:f>
      </x:c>
      <x:c r="AE25" s="167" t="str">
        <x:f>IF(AND(AE$6&lt;=$H25,AE$6+6&gt;=$G25),1,"")</x:f>
      </x:c>
      <x:c r="AF25" s="167" t="str">
        <x:f>IF(AND(AF$6&lt;=$H25,AF$6+6&gt;=$G25),1,"")</x:f>
      </x:c>
      <x:c r="AG25" s="167" t="str">
        <x:f>IF(AND(AG$6&lt;=$H25,AG$6+6&gt;=$G25),1,"")</x:f>
      </x:c>
      <x:c r="AH25" s="167" t="str">
        <x:f>IF(AND(AH$6&lt;=$H25,AH$6+6&gt;=$G25),1,"")</x:f>
      </x:c>
      <x:c r="AI25" s="167" t="str">
        <x:f>IF(AND(AI$6&lt;=$H25,AI$6+6&gt;=$G25),1,"")</x:f>
      </x:c>
      <x:c r="AJ25" s="167" t="str">
        <x:f>IF(AND(AJ$6&lt;=$H25,AJ$6+6&gt;=$G25),1,"")</x:f>
      </x:c>
      <x:c r="AK25" s="167" t="str">
        <x:f>IF(AND(AK$6&lt;=$H25,AK$6+6&gt;=$G25),1,"")</x:f>
      </x:c>
      <x:c r="AL25" s="167" t="str">
        <x:f>IF(AND(AL$6&lt;=$H25,AL$6+6&gt;=$G25),1,"")</x:f>
      </x:c>
      <x:c r="AM25" s="167" t="str">
        <x:f>IF(AND(AM$6&lt;=$H25,AM$6+6&gt;=$G25),1,"")</x:f>
      </x:c>
      <x:c r="AN25" s="167" t="str">
        <x:f>IF(AND(AN$6&lt;=$H25,AN$6+6&gt;=$G25),1,"")</x:f>
      </x:c>
      <x:c r="AO25" s="167" t="str">
        <x:f>IF(AND(AO$6&lt;=$H25,AO$6+6&gt;=$G25),1,"")</x:f>
      </x:c>
      <x:c r="AP25" s="167" t="str">
        <x:f>IF(AND(AP$6&lt;=$H25,AP$6+6&gt;=$G25),1,"")</x:f>
      </x:c>
      <x:c r="AQ25" s="167" t="str">
        <x:f>IF(AND(AQ$6&lt;=$H25,AQ$6+6&gt;=$G25),1,"")</x:f>
      </x:c>
      <x:c r="AR25" s="167" t="str">
        <x:f>IF(AND(AR$6&lt;=$H25,AR$6+6&gt;=$G25),1,"")</x:f>
      </x:c>
      <x:c r="AS25" s="167" t="str">
        <x:f>IF(AND(AS$6&lt;=$H25,AS$6+6&gt;=$G25),1,"")</x:f>
      </x:c>
      <x:c r="AT25" s="167" t="str">
        <x:f>IF(AND(AT$6&lt;=$H25,AT$6+6&gt;=$G25),1,"")</x:f>
      </x:c>
      <x:c r="AU25" s="167" t="str">
        <x:f>IF(AND(AU$6&lt;=$H25,AU$6+6&gt;=$G25),1,"")</x:f>
      </x:c>
      <x:c r="AV25" s="167" t="str">
        <x:f>IF(AND(AV$6&lt;=$H25,AV$6+6&gt;=$G25),1,"")</x:f>
      </x:c>
      <x:c r="AW25" s="167" t="str">
        <x:f>IF(AND(AW$6&lt;=$H25,AW$6+6&gt;=$G25),1,"")</x:f>
      </x:c>
      <x:c r="AX25" s="167" t="str">
        <x:f>IF(AND(AX$6&lt;=$H25,AX$6+6&gt;=$G25),1,"")</x:f>
      </x:c>
      <x:c r="AY25" s="167" t="str">
        <x:f>IF(AND(AY$6&lt;=$H25,AY$6+6&gt;=$G25),1,"")</x:f>
      </x:c>
      <x:c r="AZ25" s="167" t="str">
        <x:f>IF(AND(AZ$6&lt;=$H25,AZ$6+6&gt;=$G25),1,"")</x:f>
      </x:c>
      <x:c r="BA25" s="167" t="str">
        <x:f>IF(AND(BA$6&lt;=$H25,BA$6+6&gt;=$G25),1,"")</x:f>
      </x:c>
      <x:c r="BB25" s="167" t="str">
        <x:f>IF(AND(BB$6&lt;=$H25,BB$6+6&gt;=$G25),1,"")</x:f>
      </x:c>
      <x:c r="BC25" s="167" t="str">
        <x:f>IF(AND(BC$6&lt;=$H25,BC$6+6&gt;=$G25),1,"")</x:f>
      </x:c>
      <x:c r="BD25" s="167" t="str">
        <x:f>IF(AND(BD$6&lt;=$H25,BD$6+6&gt;=$G25),1,"")</x:f>
      </x:c>
      <x:c r="BE25" s="167" t="str">
        <x:f>IF(AND(BE$6&lt;=$H25,BE$6+6&gt;=$G25),1,"")</x:f>
      </x:c>
      <x:c r="BF25" s="167" t="str">
        <x:f>IF(AND(BF$6&lt;=$H25,BF$6+6&gt;=$G25),1,"")</x:f>
      </x:c>
      <x:c r="BG25" s="167" t="str">
        <x:f>IF(AND(BG$6&lt;=$H25,BG$6+6&gt;=$G25),1,"")</x:f>
      </x:c>
      <x:c r="BH25" s="167" t="str">
        <x:f>IF(AND(BH$6&lt;=$H25,BH$6+6&gt;=$G25),1,"")</x:f>
      </x:c>
      <x:c r="BI25" s="167" t="str">
        <x:f>IF(AND(BI$6&lt;=$H25,BI$6+6&gt;=$G25),1,"")</x:f>
      </x:c>
      <x:c r="BJ25" s="167" t="str">
        <x:f>IF(AND(BJ$6&lt;=$H25,BJ$6+6&gt;=$G25),1,"")</x:f>
      </x:c>
      <x:c r="BK25" s="167" t="str">
        <x:f>IF(AND(BK$6&lt;=$H25,BK$6+6&gt;=$G25),1,"")</x:f>
      </x:c>
      <x:c r="BL25" s="167" t="str">
        <x:f>IF(AND(BL$6&lt;=$H25,BL$6+6&gt;=$G25),1,"")</x:f>
      </x:c>
      <x:c r="BM25" s="167" t="str">
        <x:f>IF(AND(BM$6&lt;=$H25,BM$6+6&gt;=$G25),1,"")</x:f>
      </x:c>
      <x:c r="BN25" s="167" t="str">
        <x:f>IF(AND(BN$6&lt;=$H25,BN$6+6&gt;=$G25),1,"")</x:f>
      </x:c>
      <x:c r="BO25" s="168" t="str">
        <x:f>IF(AND(BO$6&lt;=$H25,BO$6+6&gt;=$G25),1,"")</x:f>
      </x:c>
    </x:row>
    <x:row r="26" ht="24" customHeight="1">
      <x:c r="A26" s="68" t="str">
        <x:f>'Task Register'!A24</x:f>
        <x:v>AI-114</x:v>
      </x:c>
      <x:c r="B26" s="68" t="str">
        <x:f>'Task Register'!B24</x:f>
        <x:v>M1</x:v>
      </x:c>
      <x:c r="C26" s="68" t="str">
        <x:f>'Task Register'!C24</x:f>
        <x:v>Research Ops</x:v>
      </x:c>
      <x:c r="D26" s="68" t="str">
        <x:f>'Task Register'!D24</x:f>
        <x:v>Capture reproducible baseline replicas</x:v>
      </x:c>
      <x:c r="E26" s="68" t="str">
        <x:f>'Task Register'!E24</x:f>
        <x:v>AI-104, AI-105, AI-106, AI-107, AI-109, AI-110, AI-111, AI-113</x:v>
      </x:c>
      <x:c r="F26" s="68" t="str">
        <x:f>'Task Register'!F24</x:f>
        <x:v>Blocked</x:v>
      </x:c>
      <x:c r="G26" s="94" t="n">
        <x:f>'Task Register'!I24</x:f>
        <x:v>46280</x:v>
      </x:c>
      <x:c r="H26" s="94" t="n">
        <x:f>'Task Register'!J24</x:f>
        <x:v>46281</x:v>
      </x:c>
      <x:c r="I26" s="166" t="str">
        <x:f>IF(AND(I$6&lt;=$H26,I$6+6&gt;=$G26),1,"")</x:f>
      </x:c>
      <x:c r="J26" s="167" t="str">
        <x:f>IF(AND(J$6&lt;=$H26,J$6+6&gt;=$G26),1,"")</x:f>
      </x:c>
      <x:c r="K26" s="167" t="str">
        <x:f>IF(AND(K$6&lt;=$H26,K$6+6&gt;=$G26),1,"")</x:f>
      </x:c>
      <x:c r="L26" s="167" t="str">
        <x:f>IF(AND(L$6&lt;=$H26,L$6+6&gt;=$G26),1,"")</x:f>
      </x:c>
      <x:c r="M26" s="167" t="str">
        <x:f>IF(AND(M$6&lt;=$H26,M$6+6&gt;=$G26),1,"")</x:f>
      </x:c>
      <x:c r="N26" s="167" t="str">
        <x:f>IF(AND(N$6&lt;=$H26,N$6+6&gt;=$G26),1,"")</x:f>
      </x:c>
      <x:c r="O26" s="167" t="n">
        <x:f>IF(AND(O$6&lt;=$H26,O$6+6&gt;=$G26),1,"")</x:f>
        <x:v>1</x:v>
      </x:c>
      <x:c r="P26" s="167" t="str">
        <x:f>IF(AND(P$6&lt;=$H26,P$6+6&gt;=$G26),1,"")</x:f>
      </x:c>
      <x:c r="Q26" s="167" t="str">
        <x:f>IF(AND(Q$6&lt;=$H26,Q$6+6&gt;=$G26),1,"")</x:f>
      </x:c>
      <x:c r="R26" s="167" t="str">
        <x:f>IF(AND(R$6&lt;=$H26,R$6+6&gt;=$G26),1,"")</x:f>
      </x:c>
      <x:c r="S26" s="167" t="str">
        <x:f>IF(AND(S$6&lt;=$H26,S$6+6&gt;=$G26),1,"")</x:f>
      </x:c>
      <x:c r="T26" s="167" t="str">
        <x:f>IF(AND(T$6&lt;=$H26,T$6+6&gt;=$G26),1,"")</x:f>
      </x:c>
      <x:c r="U26" s="167" t="str">
        <x:f>IF(AND(U$6&lt;=$H26,U$6+6&gt;=$G26),1,"")</x:f>
      </x:c>
      <x:c r="V26" s="167" t="str">
        <x:f>IF(AND(V$6&lt;=$H26,V$6+6&gt;=$G26),1,"")</x:f>
      </x:c>
      <x:c r="W26" s="167" t="str">
        <x:f>IF(AND(W$6&lt;=$H26,W$6+6&gt;=$G26),1,"")</x:f>
      </x:c>
      <x:c r="X26" s="167" t="str">
        <x:f>IF(AND(X$6&lt;=$H26,X$6+6&gt;=$G26),1,"")</x:f>
      </x:c>
      <x:c r="Y26" s="167" t="str">
        <x:f>IF(AND(Y$6&lt;=$H26,Y$6+6&gt;=$G26),1,"")</x:f>
      </x:c>
      <x:c r="Z26" s="167" t="str">
        <x:f>IF(AND(Z$6&lt;=$H26,Z$6+6&gt;=$G26),1,"")</x:f>
      </x:c>
      <x:c r="AA26" s="167" t="str">
        <x:f>IF(AND(AA$6&lt;=$H26,AA$6+6&gt;=$G26),1,"")</x:f>
      </x:c>
      <x:c r="AB26" s="167" t="str">
        <x:f>IF(AND(AB$6&lt;=$H26,AB$6+6&gt;=$G26),1,"")</x:f>
      </x:c>
      <x:c r="AC26" s="167" t="str">
        <x:f>IF(AND(AC$6&lt;=$H26,AC$6+6&gt;=$G26),1,"")</x:f>
      </x:c>
      <x:c r="AD26" s="167" t="str">
        <x:f>IF(AND(AD$6&lt;=$H26,AD$6+6&gt;=$G26),1,"")</x:f>
      </x:c>
      <x:c r="AE26" s="167" t="str">
        <x:f>IF(AND(AE$6&lt;=$H26,AE$6+6&gt;=$G26),1,"")</x:f>
      </x:c>
      <x:c r="AF26" s="167" t="str">
        <x:f>IF(AND(AF$6&lt;=$H26,AF$6+6&gt;=$G26),1,"")</x:f>
      </x:c>
      <x:c r="AG26" s="167" t="str">
        <x:f>IF(AND(AG$6&lt;=$H26,AG$6+6&gt;=$G26),1,"")</x:f>
      </x:c>
      <x:c r="AH26" s="167" t="str">
        <x:f>IF(AND(AH$6&lt;=$H26,AH$6+6&gt;=$G26),1,"")</x:f>
      </x:c>
      <x:c r="AI26" s="167" t="str">
        <x:f>IF(AND(AI$6&lt;=$H26,AI$6+6&gt;=$G26),1,"")</x:f>
      </x:c>
      <x:c r="AJ26" s="167" t="str">
        <x:f>IF(AND(AJ$6&lt;=$H26,AJ$6+6&gt;=$G26),1,"")</x:f>
      </x:c>
      <x:c r="AK26" s="167" t="str">
        <x:f>IF(AND(AK$6&lt;=$H26,AK$6+6&gt;=$G26),1,"")</x:f>
      </x:c>
      <x:c r="AL26" s="167" t="str">
        <x:f>IF(AND(AL$6&lt;=$H26,AL$6+6&gt;=$G26),1,"")</x:f>
      </x:c>
      <x:c r="AM26" s="167" t="str">
        <x:f>IF(AND(AM$6&lt;=$H26,AM$6+6&gt;=$G26),1,"")</x:f>
      </x:c>
      <x:c r="AN26" s="167" t="str">
        <x:f>IF(AND(AN$6&lt;=$H26,AN$6+6&gt;=$G26),1,"")</x:f>
      </x:c>
      <x:c r="AO26" s="167" t="str">
        <x:f>IF(AND(AO$6&lt;=$H26,AO$6+6&gt;=$G26),1,"")</x:f>
      </x:c>
      <x:c r="AP26" s="167" t="str">
        <x:f>IF(AND(AP$6&lt;=$H26,AP$6+6&gt;=$G26),1,"")</x:f>
      </x:c>
      <x:c r="AQ26" s="167" t="str">
        <x:f>IF(AND(AQ$6&lt;=$H26,AQ$6+6&gt;=$G26),1,"")</x:f>
      </x:c>
      <x:c r="AR26" s="167" t="str">
        <x:f>IF(AND(AR$6&lt;=$H26,AR$6+6&gt;=$G26),1,"")</x:f>
      </x:c>
      <x:c r="AS26" s="167" t="str">
        <x:f>IF(AND(AS$6&lt;=$H26,AS$6+6&gt;=$G26),1,"")</x:f>
      </x:c>
      <x:c r="AT26" s="167" t="str">
        <x:f>IF(AND(AT$6&lt;=$H26,AT$6+6&gt;=$G26),1,"")</x:f>
      </x:c>
      <x:c r="AU26" s="167" t="str">
        <x:f>IF(AND(AU$6&lt;=$H26,AU$6+6&gt;=$G26),1,"")</x:f>
      </x:c>
      <x:c r="AV26" s="167" t="str">
        <x:f>IF(AND(AV$6&lt;=$H26,AV$6+6&gt;=$G26),1,"")</x:f>
      </x:c>
      <x:c r="AW26" s="167" t="str">
        <x:f>IF(AND(AW$6&lt;=$H26,AW$6+6&gt;=$G26),1,"")</x:f>
      </x:c>
      <x:c r="AX26" s="167" t="str">
        <x:f>IF(AND(AX$6&lt;=$H26,AX$6+6&gt;=$G26),1,"")</x:f>
      </x:c>
      <x:c r="AY26" s="167" t="str">
        <x:f>IF(AND(AY$6&lt;=$H26,AY$6+6&gt;=$G26),1,"")</x:f>
      </x:c>
      <x:c r="AZ26" s="167" t="str">
        <x:f>IF(AND(AZ$6&lt;=$H26,AZ$6+6&gt;=$G26),1,"")</x:f>
      </x:c>
      <x:c r="BA26" s="167" t="str">
        <x:f>IF(AND(BA$6&lt;=$H26,BA$6+6&gt;=$G26),1,"")</x:f>
      </x:c>
      <x:c r="BB26" s="167" t="str">
        <x:f>IF(AND(BB$6&lt;=$H26,BB$6+6&gt;=$G26),1,"")</x:f>
      </x:c>
      <x:c r="BC26" s="167" t="str">
        <x:f>IF(AND(BC$6&lt;=$H26,BC$6+6&gt;=$G26),1,"")</x:f>
      </x:c>
      <x:c r="BD26" s="167" t="str">
        <x:f>IF(AND(BD$6&lt;=$H26,BD$6+6&gt;=$G26),1,"")</x:f>
      </x:c>
      <x:c r="BE26" s="167" t="str">
        <x:f>IF(AND(BE$6&lt;=$H26,BE$6+6&gt;=$G26),1,"")</x:f>
      </x:c>
      <x:c r="BF26" s="167" t="str">
        <x:f>IF(AND(BF$6&lt;=$H26,BF$6+6&gt;=$G26),1,"")</x:f>
      </x:c>
      <x:c r="BG26" s="167" t="str">
        <x:f>IF(AND(BG$6&lt;=$H26,BG$6+6&gt;=$G26),1,"")</x:f>
      </x:c>
      <x:c r="BH26" s="167" t="str">
        <x:f>IF(AND(BH$6&lt;=$H26,BH$6+6&gt;=$G26),1,"")</x:f>
      </x:c>
      <x:c r="BI26" s="167" t="str">
        <x:f>IF(AND(BI$6&lt;=$H26,BI$6+6&gt;=$G26),1,"")</x:f>
      </x:c>
      <x:c r="BJ26" s="167" t="str">
        <x:f>IF(AND(BJ$6&lt;=$H26,BJ$6+6&gt;=$G26),1,"")</x:f>
      </x:c>
      <x:c r="BK26" s="167" t="str">
        <x:f>IF(AND(BK$6&lt;=$H26,BK$6+6&gt;=$G26),1,"")</x:f>
      </x:c>
      <x:c r="BL26" s="167" t="str">
        <x:f>IF(AND(BL$6&lt;=$H26,BL$6+6&gt;=$G26),1,"")</x:f>
      </x:c>
      <x:c r="BM26" s="167" t="str">
        <x:f>IF(AND(BM$6&lt;=$H26,BM$6+6&gt;=$G26),1,"")</x:f>
      </x:c>
      <x:c r="BN26" s="167" t="str">
        <x:f>IF(AND(BN$6&lt;=$H26,BN$6+6&gt;=$G26),1,"")</x:f>
      </x:c>
      <x:c r="BO26" s="168" t="str">
        <x:f>IF(AND(BO$6&lt;=$H26,BO$6+6&gt;=$G26),1,"")</x:f>
      </x:c>
    </x:row>
    <x:row r="27" ht="24" customHeight="1">
      <x:c r="A27" s="68" t="str">
        <x:f>'Task Register'!A25</x:f>
        <x:v>AI-115</x:v>
      </x:c>
      <x:c r="B27" s="68" t="str">
        <x:f>'Task Register'!B25</x:f>
        <x:v>M1</x:v>
      </x:c>
      <x:c r="C27" s="68" t="str">
        <x:f>'Task Register'!C25</x:f>
        <x:v>Validation</x:v>
      </x:c>
      <x:c r="D27" s="68" t="str">
        <x:f>'Task Register'!D25</x:f>
        <x:v>M1 lock decision</x:v>
      </x:c>
      <x:c r="E27" s="68" t="str">
        <x:f>'Task Register'!E25</x:f>
        <x:v>AI-114</x:v>
      </x:c>
      <x:c r="F27" s="68" t="str">
        <x:f>'Task Register'!F25</x:f>
        <x:v>Blocked</x:v>
      </x:c>
      <x:c r="G27" s="94" t="n">
        <x:f>'Task Register'!I25</x:f>
        <x:v>46282</x:v>
      </x:c>
      <x:c r="H27" s="94" t="n">
        <x:f>'Task Register'!J25</x:f>
        <x:v>46282</x:v>
      </x:c>
      <x:c r="I27" s="166" t="str">
        <x:f>IF(AND(I$6&lt;=$H27,I$6+6&gt;=$G27),1,"")</x:f>
      </x:c>
      <x:c r="J27" s="167" t="str">
        <x:f>IF(AND(J$6&lt;=$H27,J$6+6&gt;=$G27),1,"")</x:f>
      </x:c>
      <x:c r="K27" s="167" t="str">
        <x:f>IF(AND(K$6&lt;=$H27,K$6+6&gt;=$G27),1,"")</x:f>
      </x:c>
      <x:c r="L27" s="167" t="str">
        <x:f>IF(AND(L$6&lt;=$H27,L$6+6&gt;=$G27),1,"")</x:f>
      </x:c>
      <x:c r="M27" s="167" t="str">
        <x:f>IF(AND(M$6&lt;=$H27,M$6+6&gt;=$G27),1,"")</x:f>
      </x:c>
      <x:c r="N27" s="167" t="str">
        <x:f>IF(AND(N$6&lt;=$H27,N$6+6&gt;=$G27),1,"")</x:f>
      </x:c>
      <x:c r="O27" s="167" t="n">
        <x:f>IF(AND(O$6&lt;=$H27,O$6+6&gt;=$G27),1,"")</x:f>
        <x:v>1</x:v>
      </x:c>
      <x:c r="P27" s="167" t="str">
        <x:f>IF(AND(P$6&lt;=$H27,P$6+6&gt;=$G27),1,"")</x:f>
      </x:c>
      <x:c r="Q27" s="167" t="str">
        <x:f>IF(AND(Q$6&lt;=$H27,Q$6+6&gt;=$G27),1,"")</x:f>
      </x:c>
      <x:c r="R27" s="167" t="str">
        <x:f>IF(AND(R$6&lt;=$H27,R$6+6&gt;=$G27),1,"")</x:f>
      </x:c>
      <x:c r="S27" s="167" t="str">
        <x:f>IF(AND(S$6&lt;=$H27,S$6+6&gt;=$G27),1,"")</x:f>
      </x:c>
      <x:c r="T27" s="167" t="str">
        <x:f>IF(AND(T$6&lt;=$H27,T$6+6&gt;=$G27),1,"")</x:f>
      </x:c>
      <x:c r="U27" s="167" t="str">
        <x:f>IF(AND(U$6&lt;=$H27,U$6+6&gt;=$G27),1,"")</x:f>
      </x:c>
      <x:c r="V27" s="167" t="str">
        <x:f>IF(AND(V$6&lt;=$H27,V$6+6&gt;=$G27),1,"")</x:f>
      </x:c>
      <x:c r="W27" s="167" t="str">
        <x:f>IF(AND(W$6&lt;=$H27,W$6+6&gt;=$G27),1,"")</x:f>
      </x:c>
      <x:c r="X27" s="167" t="str">
        <x:f>IF(AND(X$6&lt;=$H27,X$6+6&gt;=$G27),1,"")</x:f>
      </x:c>
      <x:c r="Y27" s="167" t="str">
        <x:f>IF(AND(Y$6&lt;=$H27,Y$6+6&gt;=$G27),1,"")</x:f>
      </x:c>
      <x:c r="Z27" s="167" t="str">
        <x:f>IF(AND(Z$6&lt;=$H27,Z$6+6&gt;=$G27),1,"")</x:f>
      </x:c>
      <x:c r="AA27" s="167" t="str">
        <x:f>IF(AND(AA$6&lt;=$H27,AA$6+6&gt;=$G27),1,"")</x:f>
      </x:c>
      <x:c r="AB27" s="167" t="str">
        <x:f>IF(AND(AB$6&lt;=$H27,AB$6+6&gt;=$G27),1,"")</x:f>
      </x:c>
      <x:c r="AC27" s="167" t="str">
        <x:f>IF(AND(AC$6&lt;=$H27,AC$6+6&gt;=$G27),1,"")</x:f>
      </x:c>
      <x:c r="AD27" s="167" t="str">
        <x:f>IF(AND(AD$6&lt;=$H27,AD$6+6&gt;=$G27),1,"")</x:f>
      </x:c>
      <x:c r="AE27" s="167" t="str">
        <x:f>IF(AND(AE$6&lt;=$H27,AE$6+6&gt;=$G27),1,"")</x:f>
      </x:c>
      <x:c r="AF27" s="167" t="str">
        <x:f>IF(AND(AF$6&lt;=$H27,AF$6+6&gt;=$G27),1,"")</x:f>
      </x:c>
      <x:c r="AG27" s="167" t="str">
        <x:f>IF(AND(AG$6&lt;=$H27,AG$6+6&gt;=$G27),1,"")</x:f>
      </x:c>
      <x:c r="AH27" s="167" t="str">
        <x:f>IF(AND(AH$6&lt;=$H27,AH$6+6&gt;=$G27),1,"")</x:f>
      </x:c>
      <x:c r="AI27" s="167" t="str">
        <x:f>IF(AND(AI$6&lt;=$H27,AI$6+6&gt;=$G27),1,"")</x:f>
      </x:c>
      <x:c r="AJ27" s="167" t="str">
        <x:f>IF(AND(AJ$6&lt;=$H27,AJ$6+6&gt;=$G27),1,"")</x:f>
      </x:c>
      <x:c r="AK27" s="167" t="str">
        <x:f>IF(AND(AK$6&lt;=$H27,AK$6+6&gt;=$G27),1,"")</x:f>
      </x:c>
      <x:c r="AL27" s="167" t="str">
        <x:f>IF(AND(AL$6&lt;=$H27,AL$6+6&gt;=$G27),1,"")</x:f>
      </x:c>
      <x:c r="AM27" s="167" t="str">
        <x:f>IF(AND(AM$6&lt;=$H27,AM$6+6&gt;=$G27),1,"")</x:f>
      </x:c>
      <x:c r="AN27" s="167" t="str">
        <x:f>IF(AND(AN$6&lt;=$H27,AN$6+6&gt;=$G27),1,"")</x:f>
      </x:c>
      <x:c r="AO27" s="167" t="str">
        <x:f>IF(AND(AO$6&lt;=$H27,AO$6+6&gt;=$G27),1,"")</x:f>
      </x:c>
      <x:c r="AP27" s="167" t="str">
        <x:f>IF(AND(AP$6&lt;=$H27,AP$6+6&gt;=$G27),1,"")</x:f>
      </x:c>
      <x:c r="AQ27" s="167" t="str">
        <x:f>IF(AND(AQ$6&lt;=$H27,AQ$6+6&gt;=$G27),1,"")</x:f>
      </x:c>
      <x:c r="AR27" s="167" t="str">
        <x:f>IF(AND(AR$6&lt;=$H27,AR$6+6&gt;=$G27),1,"")</x:f>
      </x:c>
      <x:c r="AS27" s="167" t="str">
        <x:f>IF(AND(AS$6&lt;=$H27,AS$6+6&gt;=$G27),1,"")</x:f>
      </x:c>
      <x:c r="AT27" s="167" t="str">
        <x:f>IF(AND(AT$6&lt;=$H27,AT$6+6&gt;=$G27),1,"")</x:f>
      </x:c>
      <x:c r="AU27" s="167" t="str">
        <x:f>IF(AND(AU$6&lt;=$H27,AU$6+6&gt;=$G27),1,"")</x:f>
      </x:c>
      <x:c r="AV27" s="167" t="str">
        <x:f>IF(AND(AV$6&lt;=$H27,AV$6+6&gt;=$G27),1,"")</x:f>
      </x:c>
      <x:c r="AW27" s="167" t="str">
        <x:f>IF(AND(AW$6&lt;=$H27,AW$6+6&gt;=$G27),1,"")</x:f>
      </x:c>
      <x:c r="AX27" s="167" t="str">
        <x:f>IF(AND(AX$6&lt;=$H27,AX$6+6&gt;=$G27),1,"")</x:f>
      </x:c>
      <x:c r="AY27" s="167" t="str">
        <x:f>IF(AND(AY$6&lt;=$H27,AY$6+6&gt;=$G27),1,"")</x:f>
      </x:c>
      <x:c r="AZ27" s="167" t="str">
        <x:f>IF(AND(AZ$6&lt;=$H27,AZ$6+6&gt;=$G27),1,"")</x:f>
      </x:c>
      <x:c r="BA27" s="167" t="str">
        <x:f>IF(AND(BA$6&lt;=$H27,BA$6+6&gt;=$G27),1,"")</x:f>
      </x:c>
      <x:c r="BB27" s="167" t="str">
        <x:f>IF(AND(BB$6&lt;=$H27,BB$6+6&gt;=$G27),1,"")</x:f>
      </x:c>
      <x:c r="BC27" s="167" t="str">
        <x:f>IF(AND(BC$6&lt;=$H27,BC$6+6&gt;=$G27),1,"")</x:f>
      </x:c>
      <x:c r="BD27" s="167" t="str">
        <x:f>IF(AND(BD$6&lt;=$H27,BD$6+6&gt;=$G27),1,"")</x:f>
      </x:c>
      <x:c r="BE27" s="167" t="str">
        <x:f>IF(AND(BE$6&lt;=$H27,BE$6+6&gt;=$G27),1,"")</x:f>
      </x:c>
      <x:c r="BF27" s="167" t="str">
        <x:f>IF(AND(BF$6&lt;=$H27,BF$6+6&gt;=$G27),1,"")</x:f>
      </x:c>
      <x:c r="BG27" s="167" t="str">
        <x:f>IF(AND(BG$6&lt;=$H27,BG$6+6&gt;=$G27),1,"")</x:f>
      </x:c>
      <x:c r="BH27" s="167" t="str">
        <x:f>IF(AND(BH$6&lt;=$H27,BH$6+6&gt;=$G27),1,"")</x:f>
      </x:c>
      <x:c r="BI27" s="167" t="str">
        <x:f>IF(AND(BI$6&lt;=$H27,BI$6+6&gt;=$G27),1,"")</x:f>
      </x:c>
      <x:c r="BJ27" s="167" t="str">
        <x:f>IF(AND(BJ$6&lt;=$H27,BJ$6+6&gt;=$G27),1,"")</x:f>
      </x:c>
      <x:c r="BK27" s="167" t="str">
        <x:f>IF(AND(BK$6&lt;=$H27,BK$6+6&gt;=$G27),1,"")</x:f>
      </x:c>
      <x:c r="BL27" s="167" t="str">
        <x:f>IF(AND(BL$6&lt;=$H27,BL$6+6&gt;=$G27),1,"")</x:f>
      </x:c>
      <x:c r="BM27" s="167" t="str">
        <x:f>IF(AND(BM$6&lt;=$H27,BM$6+6&gt;=$G27),1,"")</x:f>
      </x:c>
      <x:c r="BN27" s="167" t="str">
        <x:f>IF(AND(BN$6&lt;=$H27,BN$6+6&gt;=$G27),1,"")</x:f>
      </x:c>
      <x:c r="BO27" s="168" t="str">
        <x:f>IF(AND(BO$6&lt;=$H27,BO$6+6&gt;=$G27),1,"")</x:f>
      </x:c>
    </x:row>
    <x:row r="28" ht="24" customHeight="1">
      <x:c r="A28" s="68" t="str">
        <x:f>'Task Register'!A26</x:f>
        <x:v>AI-201</x:v>
      </x:c>
      <x:c r="B28" s="68" t="str">
        <x:f>'Task Register'!B26</x:f>
        <x:v>M2</x:v>
      </x:c>
      <x:c r="C28" s="68" t="str">
        <x:f>'Task Register'!C26</x:f>
        <x:v>Sensors/Active Inference</x:v>
      </x:c>
      <x:c r="D28" s="68" t="str">
        <x:f>'Task Register'!D26</x:f>
        <x:v>Define the sensor-grounded M2 observation package</x:v>
      </x:c>
      <x:c r="E28" s="68" t="str">
        <x:f>'Task Register'!E26</x:f>
        <x:v>M1</x:v>
      </x:c>
      <x:c r="F28" s="68" t="str">
        <x:f>'Task Register'!F26</x:f>
        <x:v>Active</x:v>
      </x:c>
      <x:c r="G28" s="94" t="n">
        <x:f>'Task Register'!I26</x:f>
        <x:v>46293</x:v>
      </x:c>
      <x:c r="H28" s="94" t="n">
        <x:f>'Task Register'!J26</x:f>
        <x:v>46294</x:v>
      </x:c>
      <x:c r="I28" s="166" t="str">
        <x:f>IF(AND(I$6&lt;=$H28,I$6+6&gt;=$G28),1,"")</x:f>
      </x:c>
      <x:c r="J28" s="167" t="str">
        <x:f>IF(AND(J$6&lt;=$H28,J$6+6&gt;=$G28),1,"")</x:f>
      </x:c>
      <x:c r="K28" s="167" t="str">
        <x:f>IF(AND(K$6&lt;=$H28,K$6+6&gt;=$G28),1,"")</x:f>
      </x:c>
      <x:c r="L28" s="167" t="str">
        <x:f>IF(AND(L$6&lt;=$H28,L$6+6&gt;=$G28),1,"")</x:f>
      </x:c>
      <x:c r="M28" s="167" t="str">
        <x:f>IF(AND(M$6&lt;=$H28,M$6+6&gt;=$G28),1,"")</x:f>
      </x:c>
      <x:c r="N28" s="167" t="str">
        <x:f>IF(AND(N$6&lt;=$H28,N$6+6&gt;=$G28),1,"")</x:f>
      </x:c>
      <x:c r="O28" s="167" t="str">
        <x:f>IF(AND(O$6&lt;=$H28,O$6+6&gt;=$G28),1,"")</x:f>
      </x:c>
      <x:c r="P28" s="167" t="str">
        <x:f>IF(AND(P$6&lt;=$H28,P$6+6&gt;=$G28),1,"")</x:f>
      </x:c>
      <x:c r="Q28" s="167" t="n">
        <x:f>IF(AND(Q$6&lt;=$H28,Q$6+6&gt;=$G28),1,"")</x:f>
        <x:v>1</x:v>
      </x:c>
      <x:c r="R28" s="167" t="str">
        <x:f>IF(AND(R$6&lt;=$H28,R$6+6&gt;=$G28),1,"")</x:f>
      </x:c>
      <x:c r="S28" s="167" t="str">
        <x:f>IF(AND(S$6&lt;=$H28,S$6+6&gt;=$G28),1,"")</x:f>
      </x:c>
      <x:c r="T28" s="167" t="str">
        <x:f>IF(AND(T$6&lt;=$H28,T$6+6&gt;=$G28),1,"")</x:f>
      </x:c>
      <x:c r="U28" s="167" t="str">
        <x:f>IF(AND(U$6&lt;=$H28,U$6+6&gt;=$G28),1,"")</x:f>
      </x:c>
      <x:c r="V28" s="167" t="str">
        <x:f>IF(AND(V$6&lt;=$H28,V$6+6&gt;=$G28),1,"")</x:f>
      </x:c>
      <x:c r="W28" s="167" t="str">
        <x:f>IF(AND(W$6&lt;=$H28,W$6+6&gt;=$G28),1,"")</x:f>
      </x:c>
      <x:c r="X28" s="167" t="str">
        <x:f>IF(AND(X$6&lt;=$H28,X$6+6&gt;=$G28),1,"")</x:f>
      </x:c>
      <x:c r="Y28" s="167" t="str">
        <x:f>IF(AND(Y$6&lt;=$H28,Y$6+6&gt;=$G28),1,"")</x:f>
      </x:c>
      <x:c r="Z28" s="167" t="str">
        <x:f>IF(AND(Z$6&lt;=$H28,Z$6+6&gt;=$G28),1,"")</x:f>
      </x:c>
      <x:c r="AA28" s="167" t="str">
        <x:f>IF(AND(AA$6&lt;=$H28,AA$6+6&gt;=$G28),1,"")</x:f>
      </x:c>
      <x:c r="AB28" s="167" t="str">
        <x:f>IF(AND(AB$6&lt;=$H28,AB$6+6&gt;=$G28),1,"")</x:f>
      </x:c>
      <x:c r="AC28" s="167" t="str">
        <x:f>IF(AND(AC$6&lt;=$H28,AC$6+6&gt;=$G28),1,"")</x:f>
      </x:c>
      <x:c r="AD28" s="167" t="str">
        <x:f>IF(AND(AD$6&lt;=$H28,AD$6+6&gt;=$G28),1,"")</x:f>
      </x:c>
      <x:c r="AE28" s="167" t="str">
        <x:f>IF(AND(AE$6&lt;=$H28,AE$6+6&gt;=$G28),1,"")</x:f>
      </x:c>
      <x:c r="AF28" s="167" t="str">
        <x:f>IF(AND(AF$6&lt;=$H28,AF$6+6&gt;=$G28),1,"")</x:f>
      </x:c>
      <x:c r="AG28" s="167" t="str">
        <x:f>IF(AND(AG$6&lt;=$H28,AG$6+6&gt;=$G28),1,"")</x:f>
      </x:c>
      <x:c r="AH28" s="167" t="str">
        <x:f>IF(AND(AH$6&lt;=$H28,AH$6+6&gt;=$G28),1,"")</x:f>
      </x:c>
      <x:c r="AI28" s="167" t="str">
        <x:f>IF(AND(AI$6&lt;=$H28,AI$6+6&gt;=$G28),1,"")</x:f>
      </x:c>
      <x:c r="AJ28" s="167" t="str">
        <x:f>IF(AND(AJ$6&lt;=$H28,AJ$6+6&gt;=$G28),1,"")</x:f>
      </x:c>
      <x:c r="AK28" s="167" t="str">
        <x:f>IF(AND(AK$6&lt;=$H28,AK$6+6&gt;=$G28),1,"")</x:f>
      </x:c>
      <x:c r="AL28" s="167" t="str">
        <x:f>IF(AND(AL$6&lt;=$H28,AL$6+6&gt;=$G28),1,"")</x:f>
      </x:c>
      <x:c r="AM28" s="167" t="str">
        <x:f>IF(AND(AM$6&lt;=$H28,AM$6+6&gt;=$G28),1,"")</x:f>
      </x:c>
      <x:c r="AN28" s="167" t="str">
        <x:f>IF(AND(AN$6&lt;=$H28,AN$6+6&gt;=$G28),1,"")</x:f>
      </x:c>
      <x:c r="AO28" s="167" t="str">
        <x:f>IF(AND(AO$6&lt;=$H28,AO$6+6&gt;=$G28),1,"")</x:f>
      </x:c>
      <x:c r="AP28" s="167" t="str">
        <x:f>IF(AND(AP$6&lt;=$H28,AP$6+6&gt;=$G28),1,"")</x:f>
      </x:c>
      <x:c r="AQ28" s="167" t="str">
        <x:f>IF(AND(AQ$6&lt;=$H28,AQ$6+6&gt;=$G28),1,"")</x:f>
      </x:c>
      <x:c r="AR28" s="167" t="str">
        <x:f>IF(AND(AR$6&lt;=$H28,AR$6+6&gt;=$G28),1,"")</x:f>
      </x:c>
      <x:c r="AS28" s="167" t="str">
        <x:f>IF(AND(AS$6&lt;=$H28,AS$6+6&gt;=$G28),1,"")</x:f>
      </x:c>
      <x:c r="AT28" s="167" t="str">
        <x:f>IF(AND(AT$6&lt;=$H28,AT$6+6&gt;=$G28),1,"")</x:f>
      </x:c>
      <x:c r="AU28" s="167" t="str">
        <x:f>IF(AND(AU$6&lt;=$H28,AU$6+6&gt;=$G28),1,"")</x:f>
      </x:c>
      <x:c r="AV28" s="167" t="str">
        <x:f>IF(AND(AV$6&lt;=$H28,AV$6+6&gt;=$G28),1,"")</x:f>
      </x:c>
      <x:c r="AW28" s="167" t="str">
        <x:f>IF(AND(AW$6&lt;=$H28,AW$6+6&gt;=$G28),1,"")</x:f>
      </x:c>
      <x:c r="AX28" s="167" t="str">
        <x:f>IF(AND(AX$6&lt;=$H28,AX$6+6&gt;=$G28),1,"")</x:f>
      </x:c>
      <x:c r="AY28" s="167" t="str">
        <x:f>IF(AND(AY$6&lt;=$H28,AY$6+6&gt;=$G28),1,"")</x:f>
      </x:c>
      <x:c r="AZ28" s="167" t="str">
        <x:f>IF(AND(AZ$6&lt;=$H28,AZ$6+6&gt;=$G28),1,"")</x:f>
      </x:c>
      <x:c r="BA28" s="167" t="str">
        <x:f>IF(AND(BA$6&lt;=$H28,BA$6+6&gt;=$G28),1,"")</x:f>
      </x:c>
      <x:c r="BB28" s="167" t="str">
        <x:f>IF(AND(BB$6&lt;=$H28,BB$6+6&gt;=$G28),1,"")</x:f>
      </x:c>
      <x:c r="BC28" s="167" t="str">
        <x:f>IF(AND(BC$6&lt;=$H28,BC$6+6&gt;=$G28),1,"")</x:f>
      </x:c>
      <x:c r="BD28" s="167" t="str">
        <x:f>IF(AND(BD$6&lt;=$H28,BD$6+6&gt;=$G28),1,"")</x:f>
      </x:c>
      <x:c r="BE28" s="167" t="str">
        <x:f>IF(AND(BE$6&lt;=$H28,BE$6+6&gt;=$G28),1,"")</x:f>
      </x:c>
      <x:c r="BF28" s="167" t="str">
        <x:f>IF(AND(BF$6&lt;=$H28,BF$6+6&gt;=$G28),1,"")</x:f>
      </x:c>
      <x:c r="BG28" s="167" t="str">
        <x:f>IF(AND(BG$6&lt;=$H28,BG$6+6&gt;=$G28),1,"")</x:f>
      </x:c>
      <x:c r="BH28" s="167" t="str">
        <x:f>IF(AND(BH$6&lt;=$H28,BH$6+6&gt;=$G28),1,"")</x:f>
      </x:c>
      <x:c r="BI28" s="167" t="str">
        <x:f>IF(AND(BI$6&lt;=$H28,BI$6+6&gt;=$G28),1,"")</x:f>
      </x:c>
      <x:c r="BJ28" s="167" t="str">
        <x:f>IF(AND(BJ$6&lt;=$H28,BJ$6+6&gt;=$G28),1,"")</x:f>
      </x:c>
      <x:c r="BK28" s="167" t="str">
        <x:f>IF(AND(BK$6&lt;=$H28,BK$6+6&gt;=$G28),1,"")</x:f>
      </x:c>
      <x:c r="BL28" s="167" t="str">
        <x:f>IF(AND(BL$6&lt;=$H28,BL$6+6&gt;=$G28),1,"")</x:f>
      </x:c>
      <x:c r="BM28" s="167" t="str">
        <x:f>IF(AND(BM$6&lt;=$H28,BM$6+6&gt;=$G28),1,"")</x:f>
      </x:c>
      <x:c r="BN28" s="167" t="str">
        <x:f>IF(AND(BN$6&lt;=$H28,BN$6+6&gt;=$G28),1,"")</x:f>
      </x:c>
      <x:c r="BO28" s="168" t="str">
        <x:f>IF(AND(BO$6&lt;=$H28,BO$6+6&gt;=$G28),1,"")</x:f>
      </x:c>
    </x:row>
    <x:row r="29" ht="24" customHeight="1">
      <x:c r="A29" s="68" t="str">
        <x:f>'Task Register'!A27</x:f>
        <x:v>AI-202</x:v>
      </x:c>
      <x:c r="B29" s="68" t="str">
        <x:f>'Task Register'!B27</x:f>
        <x:v>M2</x:v>
      </x:c>
      <x:c r="C29" s="68" t="str">
        <x:f>'Task Register'!C27</x:f>
        <x:v>Generative Process/Sensors</x:v>
      </x:c>
      <x:c r="D29" s="68" t="str">
        <x:f>'Task Register'!D27</x:f>
        <x:v>Implement the fixed-view observation generative process</x:v>
      </x:c>
      <x:c r="E29" s="68" t="str">
        <x:f>'Task Register'!E27</x:f>
        <x:v>AI-201, T-101, T-102</x:v>
      </x:c>
      <x:c r="F29" s="68" t="str">
        <x:f>'Task Register'!F27</x:f>
        <x:v>Active</x:v>
      </x:c>
      <x:c r="G29" s="94" t="n">
        <x:f>'Task Register'!I27</x:f>
        <x:v>46295</x:v>
      </x:c>
      <x:c r="H29" s="94" t="n">
        <x:f>'Task Register'!J27</x:f>
        <x:v>46297</x:v>
      </x:c>
      <x:c r="I29" s="166" t="str">
        <x:f>IF(AND(I$6&lt;=$H29,I$6+6&gt;=$G29),1,"")</x:f>
      </x:c>
      <x:c r="J29" s="167" t="str">
        <x:f>IF(AND(J$6&lt;=$H29,J$6+6&gt;=$G29),1,"")</x:f>
      </x:c>
      <x:c r="K29" s="167" t="str">
        <x:f>IF(AND(K$6&lt;=$H29,K$6+6&gt;=$G29),1,"")</x:f>
      </x:c>
      <x:c r="L29" s="167" t="str">
        <x:f>IF(AND(L$6&lt;=$H29,L$6+6&gt;=$G29),1,"")</x:f>
      </x:c>
      <x:c r="M29" s="167" t="str">
        <x:f>IF(AND(M$6&lt;=$H29,M$6+6&gt;=$G29),1,"")</x:f>
      </x:c>
      <x:c r="N29" s="167" t="str">
        <x:f>IF(AND(N$6&lt;=$H29,N$6+6&gt;=$G29),1,"")</x:f>
      </x:c>
      <x:c r="O29" s="167" t="str">
        <x:f>IF(AND(O$6&lt;=$H29,O$6+6&gt;=$G29),1,"")</x:f>
      </x:c>
      <x:c r="P29" s="167" t="str">
        <x:f>IF(AND(P$6&lt;=$H29,P$6+6&gt;=$G29),1,"")</x:f>
      </x:c>
      <x:c r="Q29" s="167" t="n">
        <x:f>IF(AND(Q$6&lt;=$H29,Q$6+6&gt;=$G29),1,"")</x:f>
        <x:v>1</x:v>
      </x:c>
      <x:c r="R29" s="167" t="str">
        <x:f>IF(AND(R$6&lt;=$H29,R$6+6&gt;=$G29),1,"")</x:f>
      </x:c>
      <x:c r="S29" s="167" t="str">
        <x:f>IF(AND(S$6&lt;=$H29,S$6+6&gt;=$G29),1,"")</x:f>
      </x:c>
      <x:c r="T29" s="167" t="str">
        <x:f>IF(AND(T$6&lt;=$H29,T$6+6&gt;=$G29),1,"")</x:f>
      </x:c>
      <x:c r="U29" s="167" t="str">
        <x:f>IF(AND(U$6&lt;=$H29,U$6+6&gt;=$G29),1,"")</x:f>
      </x:c>
      <x:c r="V29" s="167" t="str">
        <x:f>IF(AND(V$6&lt;=$H29,V$6+6&gt;=$G29),1,"")</x:f>
      </x:c>
      <x:c r="W29" s="167" t="str">
        <x:f>IF(AND(W$6&lt;=$H29,W$6+6&gt;=$G29),1,"")</x:f>
      </x:c>
      <x:c r="X29" s="167" t="str">
        <x:f>IF(AND(X$6&lt;=$H29,X$6+6&gt;=$G29),1,"")</x:f>
      </x:c>
      <x:c r="Y29" s="167" t="str">
        <x:f>IF(AND(Y$6&lt;=$H29,Y$6+6&gt;=$G29),1,"")</x:f>
      </x:c>
      <x:c r="Z29" s="167" t="str">
        <x:f>IF(AND(Z$6&lt;=$H29,Z$6+6&gt;=$G29),1,"")</x:f>
      </x:c>
      <x:c r="AA29" s="167" t="str">
        <x:f>IF(AND(AA$6&lt;=$H29,AA$6+6&gt;=$G29),1,"")</x:f>
      </x:c>
      <x:c r="AB29" s="167" t="str">
        <x:f>IF(AND(AB$6&lt;=$H29,AB$6+6&gt;=$G29),1,"")</x:f>
      </x:c>
      <x:c r="AC29" s="167" t="str">
        <x:f>IF(AND(AC$6&lt;=$H29,AC$6+6&gt;=$G29),1,"")</x:f>
      </x:c>
      <x:c r="AD29" s="167" t="str">
        <x:f>IF(AND(AD$6&lt;=$H29,AD$6+6&gt;=$G29),1,"")</x:f>
      </x:c>
      <x:c r="AE29" s="167" t="str">
        <x:f>IF(AND(AE$6&lt;=$H29,AE$6+6&gt;=$G29),1,"")</x:f>
      </x:c>
      <x:c r="AF29" s="167" t="str">
        <x:f>IF(AND(AF$6&lt;=$H29,AF$6+6&gt;=$G29),1,"")</x:f>
      </x:c>
      <x:c r="AG29" s="167" t="str">
        <x:f>IF(AND(AG$6&lt;=$H29,AG$6+6&gt;=$G29),1,"")</x:f>
      </x:c>
      <x:c r="AH29" s="167" t="str">
        <x:f>IF(AND(AH$6&lt;=$H29,AH$6+6&gt;=$G29),1,"")</x:f>
      </x:c>
      <x:c r="AI29" s="167" t="str">
        <x:f>IF(AND(AI$6&lt;=$H29,AI$6+6&gt;=$G29),1,"")</x:f>
      </x:c>
      <x:c r="AJ29" s="167" t="str">
        <x:f>IF(AND(AJ$6&lt;=$H29,AJ$6+6&gt;=$G29),1,"")</x:f>
      </x:c>
      <x:c r="AK29" s="167" t="str">
        <x:f>IF(AND(AK$6&lt;=$H29,AK$6+6&gt;=$G29),1,"")</x:f>
      </x:c>
      <x:c r="AL29" s="167" t="str">
        <x:f>IF(AND(AL$6&lt;=$H29,AL$6+6&gt;=$G29),1,"")</x:f>
      </x:c>
      <x:c r="AM29" s="167" t="str">
        <x:f>IF(AND(AM$6&lt;=$H29,AM$6+6&gt;=$G29),1,"")</x:f>
      </x:c>
      <x:c r="AN29" s="167" t="str">
        <x:f>IF(AND(AN$6&lt;=$H29,AN$6+6&gt;=$G29),1,"")</x:f>
      </x:c>
      <x:c r="AO29" s="167" t="str">
        <x:f>IF(AND(AO$6&lt;=$H29,AO$6+6&gt;=$G29),1,"")</x:f>
      </x:c>
      <x:c r="AP29" s="167" t="str">
        <x:f>IF(AND(AP$6&lt;=$H29,AP$6+6&gt;=$G29),1,"")</x:f>
      </x:c>
      <x:c r="AQ29" s="167" t="str">
        <x:f>IF(AND(AQ$6&lt;=$H29,AQ$6+6&gt;=$G29),1,"")</x:f>
      </x:c>
      <x:c r="AR29" s="167" t="str">
        <x:f>IF(AND(AR$6&lt;=$H29,AR$6+6&gt;=$G29),1,"")</x:f>
      </x:c>
      <x:c r="AS29" s="167" t="str">
        <x:f>IF(AND(AS$6&lt;=$H29,AS$6+6&gt;=$G29),1,"")</x:f>
      </x:c>
      <x:c r="AT29" s="167" t="str">
        <x:f>IF(AND(AT$6&lt;=$H29,AT$6+6&gt;=$G29),1,"")</x:f>
      </x:c>
      <x:c r="AU29" s="167" t="str">
        <x:f>IF(AND(AU$6&lt;=$H29,AU$6+6&gt;=$G29),1,"")</x:f>
      </x:c>
      <x:c r="AV29" s="167" t="str">
        <x:f>IF(AND(AV$6&lt;=$H29,AV$6+6&gt;=$G29),1,"")</x:f>
      </x:c>
      <x:c r="AW29" s="167" t="str">
        <x:f>IF(AND(AW$6&lt;=$H29,AW$6+6&gt;=$G29),1,"")</x:f>
      </x:c>
      <x:c r="AX29" s="167" t="str">
        <x:f>IF(AND(AX$6&lt;=$H29,AX$6+6&gt;=$G29),1,"")</x:f>
      </x:c>
      <x:c r="AY29" s="167" t="str">
        <x:f>IF(AND(AY$6&lt;=$H29,AY$6+6&gt;=$G29),1,"")</x:f>
      </x:c>
      <x:c r="AZ29" s="167" t="str">
        <x:f>IF(AND(AZ$6&lt;=$H29,AZ$6+6&gt;=$G29),1,"")</x:f>
      </x:c>
      <x:c r="BA29" s="167" t="str">
        <x:f>IF(AND(BA$6&lt;=$H29,BA$6+6&gt;=$G29),1,"")</x:f>
      </x:c>
      <x:c r="BB29" s="167" t="str">
        <x:f>IF(AND(BB$6&lt;=$H29,BB$6+6&gt;=$G29),1,"")</x:f>
      </x:c>
      <x:c r="BC29" s="167" t="str">
        <x:f>IF(AND(BC$6&lt;=$H29,BC$6+6&gt;=$G29),1,"")</x:f>
      </x:c>
      <x:c r="BD29" s="167" t="str">
        <x:f>IF(AND(BD$6&lt;=$H29,BD$6+6&gt;=$G29),1,"")</x:f>
      </x:c>
      <x:c r="BE29" s="167" t="str">
        <x:f>IF(AND(BE$6&lt;=$H29,BE$6+6&gt;=$G29),1,"")</x:f>
      </x:c>
      <x:c r="BF29" s="167" t="str">
        <x:f>IF(AND(BF$6&lt;=$H29,BF$6+6&gt;=$G29),1,"")</x:f>
      </x:c>
      <x:c r="BG29" s="167" t="str">
        <x:f>IF(AND(BG$6&lt;=$H29,BG$6+6&gt;=$G29),1,"")</x:f>
      </x:c>
      <x:c r="BH29" s="167" t="str">
        <x:f>IF(AND(BH$6&lt;=$H29,BH$6+6&gt;=$G29),1,"")</x:f>
      </x:c>
      <x:c r="BI29" s="167" t="str">
        <x:f>IF(AND(BI$6&lt;=$H29,BI$6+6&gt;=$G29),1,"")</x:f>
      </x:c>
      <x:c r="BJ29" s="167" t="str">
        <x:f>IF(AND(BJ$6&lt;=$H29,BJ$6+6&gt;=$G29),1,"")</x:f>
      </x:c>
      <x:c r="BK29" s="167" t="str">
        <x:f>IF(AND(BK$6&lt;=$H29,BK$6+6&gt;=$G29),1,"")</x:f>
      </x:c>
      <x:c r="BL29" s="167" t="str">
        <x:f>IF(AND(BL$6&lt;=$H29,BL$6+6&gt;=$G29),1,"")</x:f>
      </x:c>
      <x:c r="BM29" s="167" t="str">
        <x:f>IF(AND(BM$6&lt;=$H29,BM$6+6&gt;=$G29),1,"")</x:f>
      </x:c>
      <x:c r="BN29" s="167" t="str">
        <x:f>IF(AND(BN$6&lt;=$H29,BN$6+6&gt;=$G29),1,"")</x:f>
      </x:c>
      <x:c r="BO29" s="168" t="str">
        <x:f>IF(AND(BO$6&lt;=$H29,BO$6+6&gt;=$G29),1,"")</x:f>
      </x:c>
    </x:row>
    <x:row r="30" ht="24" customHeight="1">
      <x:c r="A30" s="68" t="str">
        <x:f>'Task Register'!A28</x:f>
        <x:v>AI-203</x:v>
      </x:c>
      <x:c r="B30" s="68" t="str">
        <x:f>'Task Register'!B28</x:f>
        <x:v>M2</x:v>
      </x:c>
      <x:c r="C30" s="68" t="str">
        <x:f>'Task Register'!C28</x:f>
        <x:v>Generative Model</x:v>
      </x:c>
      <x:c r="D30" s="68" t="str">
        <x:f>'Task Register'!D28</x:f>
        <x:v>Specify and implement the observation likelihood</x:v>
      </x:c>
      <x:c r="E30" s="68" t="str">
        <x:f>'Task Register'!E28</x:f>
        <x:v>AI-201, AI-202</x:v>
      </x:c>
      <x:c r="F30" s="68" t="str">
        <x:f>'Task Register'!F28</x:f>
        <x:v>Active</x:v>
      </x:c>
      <x:c r="G30" s="94" t="n">
        <x:f>'Task Register'!I28</x:f>
        <x:v>46300</x:v>
      </x:c>
      <x:c r="H30" s="94" t="n">
        <x:f>'Task Register'!J28</x:f>
        <x:v>46303</x:v>
      </x:c>
      <x:c r="I30" s="166" t="str">
        <x:f>IF(AND(I$6&lt;=$H30,I$6+6&gt;=$G30),1,"")</x:f>
      </x:c>
      <x:c r="J30" s="167" t="str">
        <x:f>IF(AND(J$6&lt;=$H30,J$6+6&gt;=$G30),1,"")</x:f>
      </x:c>
      <x:c r="K30" s="167" t="str">
        <x:f>IF(AND(K$6&lt;=$H30,K$6+6&gt;=$G30),1,"")</x:f>
      </x:c>
      <x:c r="L30" s="167" t="str">
        <x:f>IF(AND(L$6&lt;=$H30,L$6+6&gt;=$G30),1,"")</x:f>
      </x:c>
      <x:c r="M30" s="167" t="str">
        <x:f>IF(AND(M$6&lt;=$H30,M$6+6&gt;=$G30),1,"")</x:f>
      </x:c>
      <x:c r="N30" s="167" t="str">
        <x:f>IF(AND(N$6&lt;=$H30,N$6+6&gt;=$G30),1,"")</x:f>
      </x:c>
      <x:c r="O30" s="167" t="str">
        <x:f>IF(AND(O$6&lt;=$H30,O$6+6&gt;=$G30),1,"")</x:f>
      </x:c>
      <x:c r="P30" s="167" t="str">
        <x:f>IF(AND(P$6&lt;=$H30,P$6+6&gt;=$G30),1,"")</x:f>
      </x:c>
      <x:c r="Q30" s="167" t="str">
        <x:f>IF(AND(Q$6&lt;=$H30,Q$6+6&gt;=$G30),1,"")</x:f>
      </x:c>
      <x:c r="R30" s="167" t="n">
        <x:f>IF(AND(R$6&lt;=$H30,R$6+6&gt;=$G30),1,"")</x:f>
        <x:v>1</x:v>
      </x:c>
      <x:c r="S30" s="167" t="str">
        <x:f>IF(AND(S$6&lt;=$H30,S$6+6&gt;=$G30),1,"")</x:f>
      </x:c>
      <x:c r="T30" s="167" t="str">
        <x:f>IF(AND(T$6&lt;=$H30,T$6+6&gt;=$G30),1,"")</x:f>
      </x:c>
      <x:c r="U30" s="167" t="str">
        <x:f>IF(AND(U$6&lt;=$H30,U$6+6&gt;=$G30),1,"")</x:f>
      </x:c>
      <x:c r="V30" s="167" t="str">
        <x:f>IF(AND(V$6&lt;=$H30,V$6+6&gt;=$G30),1,"")</x:f>
      </x:c>
      <x:c r="W30" s="167" t="str">
        <x:f>IF(AND(W$6&lt;=$H30,W$6+6&gt;=$G30),1,"")</x:f>
      </x:c>
      <x:c r="X30" s="167" t="str">
        <x:f>IF(AND(X$6&lt;=$H30,X$6+6&gt;=$G30),1,"")</x:f>
      </x:c>
      <x:c r="Y30" s="167" t="str">
        <x:f>IF(AND(Y$6&lt;=$H30,Y$6+6&gt;=$G30),1,"")</x:f>
      </x:c>
      <x:c r="Z30" s="167" t="str">
        <x:f>IF(AND(Z$6&lt;=$H30,Z$6+6&gt;=$G30),1,"")</x:f>
      </x:c>
      <x:c r="AA30" s="167" t="str">
        <x:f>IF(AND(AA$6&lt;=$H30,AA$6+6&gt;=$G30),1,"")</x:f>
      </x:c>
      <x:c r="AB30" s="167" t="str">
        <x:f>IF(AND(AB$6&lt;=$H30,AB$6+6&gt;=$G30),1,"")</x:f>
      </x:c>
      <x:c r="AC30" s="167" t="str">
        <x:f>IF(AND(AC$6&lt;=$H30,AC$6+6&gt;=$G30),1,"")</x:f>
      </x:c>
      <x:c r="AD30" s="167" t="str">
        <x:f>IF(AND(AD$6&lt;=$H30,AD$6+6&gt;=$G30),1,"")</x:f>
      </x:c>
      <x:c r="AE30" s="167" t="str">
        <x:f>IF(AND(AE$6&lt;=$H30,AE$6+6&gt;=$G30),1,"")</x:f>
      </x:c>
      <x:c r="AF30" s="167" t="str">
        <x:f>IF(AND(AF$6&lt;=$H30,AF$6+6&gt;=$G30),1,"")</x:f>
      </x:c>
      <x:c r="AG30" s="167" t="str">
        <x:f>IF(AND(AG$6&lt;=$H30,AG$6+6&gt;=$G30),1,"")</x:f>
      </x:c>
      <x:c r="AH30" s="167" t="str">
        <x:f>IF(AND(AH$6&lt;=$H30,AH$6+6&gt;=$G30),1,"")</x:f>
      </x:c>
      <x:c r="AI30" s="167" t="str">
        <x:f>IF(AND(AI$6&lt;=$H30,AI$6+6&gt;=$G30),1,"")</x:f>
      </x:c>
      <x:c r="AJ30" s="167" t="str">
        <x:f>IF(AND(AJ$6&lt;=$H30,AJ$6+6&gt;=$G30),1,"")</x:f>
      </x:c>
      <x:c r="AK30" s="167" t="str">
        <x:f>IF(AND(AK$6&lt;=$H30,AK$6+6&gt;=$G30),1,"")</x:f>
      </x:c>
      <x:c r="AL30" s="167" t="str">
        <x:f>IF(AND(AL$6&lt;=$H30,AL$6+6&gt;=$G30),1,"")</x:f>
      </x:c>
      <x:c r="AM30" s="167" t="str">
        <x:f>IF(AND(AM$6&lt;=$H30,AM$6+6&gt;=$G30),1,"")</x:f>
      </x:c>
      <x:c r="AN30" s="167" t="str">
        <x:f>IF(AND(AN$6&lt;=$H30,AN$6+6&gt;=$G30),1,"")</x:f>
      </x:c>
      <x:c r="AO30" s="167" t="str">
        <x:f>IF(AND(AO$6&lt;=$H30,AO$6+6&gt;=$G30),1,"")</x:f>
      </x:c>
      <x:c r="AP30" s="167" t="str">
        <x:f>IF(AND(AP$6&lt;=$H30,AP$6+6&gt;=$G30),1,"")</x:f>
      </x:c>
      <x:c r="AQ30" s="167" t="str">
        <x:f>IF(AND(AQ$6&lt;=$H30,AQ$6+6&gt;=$G30),1,"")</x:f>
      </x:c>
      <x:c r="AR30" s="167" t="str">
        <x:f>IF(AND(AR$6&lt;=$H30,AR$6+6&gt;=$G30),1,"")</x:f>
      </x:c>
      <x:c r="AS30" s="167" t="str">
        <x:f>IF(AND(AS$6&lt;=$H30,AS$6+6&gt;=$G30),1,"")</x:f>
      </x:c>
      <x:c r="AT30" s="167" t="str">
        <x:f>IF(AND(AT$6&lt;=$H30,AT$6+6&gt;=$G30),1,"")</x:f>
      </x:c>
      <x:c r="AU30" s="167" t="str">
        <x:f>IF(AND(AU$6&lt;=$H30,AU$6+6&gt;=$G30),1,"")</x:f>
      </x:c>
      <x:c r="AV30" s="167" t="str">
        <x:f>IF(AND(AV$6&lt;=$H30,AV$6+6&gt;=$G30),1,"")</x:f>
      </x:c>
      <x:c r="AW30" s="167" t="str">
        <x:f>IF(AND(AW$6&lt;=$H30,AW$6+6&gt;=$G30),1,"")</x:f>
      </x:c>
      <x:c r="AX30" s="167" t="str">
        <x:f>IF(AND(AX$6&lt;=$H30,AX$6+6&gt;=$G30),1,"")</x:f>
      </x:c>
      <x:c r="AY30" s="167" t="str">
        <x:f>IF(AND(AY$6&lt;=$H30,AY$6+6&gt;=$G30),1,"")</x:f>
      </x:c>
      <x:c r="AZ30" s="167" t="str">
        <x:f>IF(AND(AZ$6&lt;=$H30,AZ$6+6&gt;=$G30),1,"")</x:f>
      </x:c>
      <x:c r="BA30" s="167" t="str">
        <x:f>IF(AND(BA$6&lt;=$H30,BA$6+6&gt;=$G30),1,"")</x:f>
      </x:c>
      <x:c r="BB30" s="167" t="str">
        <x:f>IF(AND(BB$6&lt;=$H30,BB$6+6&gt;=$G30),1,"")</x:f>
      </x:c>
      <x:c r="BC30" s="167" t="str">
        <x:f>IF(AND(BC$6&lt;=$H30,BC$6+6&gt;=$G30),1,"")</x:f>
      </x:c>
      <x:c r="BD30" s="167" t="str">
        <x:f>IF(AND(BD$6&lt;=$H30,BD$6+6&gt;=$G30),1,"")</x:f>
      </x:c>
      <x:c r="BE30" s="167" t="str">
        <x:f>IF(AND(BE$6&lt;=$H30,BE$6+6&gt;=$G30),1,"")</x:f>
      </x:c>
      <x:c r="BF30" s="167" t="str">
        <x:f>IF(AND(BF$6&lt;=$H30,BF$6+6&gt;=$G30),1,"")</x:f>
      </x:c>
      <x:c r="BG30" s="167" t="str">
        <x:f>IF(AND(BG$6&lt;=$H30,BG$6+6&gt;=$G30),1,"")</x:f>
      </x:c>
      <x:c r="BH30" s="167" t="str">
        <x:f>IF(AND(BH$6&lt;=$H30,BH$6+6&gt;=$G30),1,"")</x:f>
      </x:c>
      <x:c r="BI30" s="167" t="str">
        <x:f>IF(AND(BI$6&lt;=$H30,BI$6+6&gt;=$G30),1,"")</x:f>
      </x:c>
      <x:c r="BJ30" s="167" t="str">
        <x:f>IF(AND(BJ$6&lt;=$H30,BJ$6+6&gt;=$G30),1,"")</x:f>
      </x:c>
      <x:c r="BK30" s="167" t="str">
        <x:f>IF(AND(BK$6&lt;=$H30,BK$6+6&gt;=$G30),1,"")</x:f>
      </x:c>
      <x:c r="BL30" s="167" t="str">
        <x:f>IF(AND(BL$6&lt;=$H30,BL$6+6&gt;=$G30),1,"")</x:f>
      </x:c>
      <x:c r="BM30" s="167" t="str">
        <x:f>IF(AND(BM$6&lt;=$H30,BM$6+6&gt;=$G30),1,"")</x:f>
      </x:c>
      <x:c r="BN30" s="167" t="str">
        <x:f>IF(AND(BN$6&lt;=$H30,BN$6+6&gt;=$G30),1,"")</x:f>
      </x:c>
      <x:c r="BO30" s="168" t="str">
        <x:f>IF(AND(BO$6&lt;=$H30,BO$6+6&gt;=$G30),1,"")</x:f>
      </x:c>
    </x:row>
    <x:row r="31" ht="24" customHeight="1">
      <x:c r="A31" s="68" t="str">
        <x:f>'Task Register'!A29</x:f>
        <x:v>AI-204</x:v>
      </x:c>
      <x:c r="B31" s="68" t="str">
        <x:f>'Task Register'!B29</x:f>
        <x:v>M2</x:v>
      </x:c>
      <x:c r="C31" s="68" t="str">
        <x:f>'Task Register'!C29</x:f>
        <x:v>Variational Inference</x:v>
      </x:c>
      <x:c r="D31" s="68" t="str">
        <x:f>'Task Register'!D29</x:f>
        <x:v>Build the compact state-inference path</x:v>
      </x:c>
      <x:c r="E31" s="68" t="str">
        <x:f>'Task Register'!E29</x:f>
        <x:v>AI-203</x:v>
      </x:c>
      <x:c r="F31" s="68" t="str">
        <x:f>'Task Register'!F29</x:f>
        <x:v>Active</x:v>
      </x:c>
      <x:c r="G31" s="94" t="n">
        <x:f>'Task Register'!I29</x:f>
        <x:v>46304</x:v>
      </x:c>
      <x:c r="H31" s="94" t="n">
        <x:f>'Task Register'!J29</x:f>
        <x:v>46310</x:v>
      </x:c>
      <x:c r="I31" s="166" t="str">
        <x:f>IF(AND(I$6&lt;=$H31,I$6+6&gt;=$G31),1,"")</x:f>
      </x:c>
      <x:c r="J31" s="167" t="str">
        <x:f>IF(AND(J$6&lt;=$H31,J$6+6&gt;=$G31),1,"")</x:f>
      </x:c>
      <x:c r="K31" s="167" t="str">
        <x:f>IF(AND(K$6&lt;=$H31,K$6+6&gt;=$G31),1,"")</x:f>
      </x:c>
      <x:c r="L31" s="167" t="str">
        <x:f>IF(AND(L$6&lt;=$H31,L$6+6&gt;=$G31),1,"")</x:f>
      </x:c>
      <x:c r="M31" s="167" t="str">
        <x:f>IF(AND(M$6&lt;=$H31,M$6+6&gt;=$G31),1,"")</x:f>
      </x:c>
      <x:c r="N31" s="167" t="str">
        <x:f>IF(AND(N$6&lt;=$H31,N$6+6&gt;=$G31),1,"")</x:f>
      </x:c>
      <x:c r="O31" s="167" t="str">
        <x:f>IF(AND(O$6&lt;=$H31,O$6+6&gt;=$G31),1,"")</x:f>
      </x:c>
      <x:c r="P31" s="167" t="str">
        <x:f>IF(AND(P$6&lt;=$H31,P$6+6&gt;=$G31),1,"")</x:f>
      </x:c>
      <x:c r="Q31" s="167" t="str">
        <x:f>IF(AND(Q$6&lt;=$H31,Q$6+6&gt;=$G31),1,"")</x:f>
      </x:c>
      <x:c r="R31" s="167" t="n">
        <x:f>IF(AND(R$6&lt;=$H31,R$6+6&gt;=$G31),1,"")</x:f>
        <x:v>1</x:v>
      </x:c>
      <x:c r="S31" s="167" t="n">
        <x:f>IF(AND(S$6&lt;=$H31,S$6+6&gt;=$G31),1,"")</x:f>
        <x:v>1</x:v>
      </x:c>
      <x:c r="T31" s="167" t="str">
        <x:f>IF(AND(T$6&lt;=$H31,T$6+6&gt;=$G31),1,"")</x:f>
      </x:c>
      <x:c r="U31" s="167" t="str">
        <x:f>IF(AND(U$6&lt;=$H31,U$6+6&gt;=$G31),1,"")</x:f>
      </x:c>
      <x:c r="V31" s="167" t="str">
        <x:f>IF(AND(V$6&lt;=$H31,V$6+6&gt;=$G31),1,"")</x:f>
      </x:c>
      <x:c r="W31" s="167" t="str">
        <x:f>IF(AND(W$6&lt;=$H31,W$6+6&gt;=$G31),1,"")</x:f>
      </x:c>
      <x:c r="X31" s="167" t="str">
        <x:f>IF(AND(X$6&lt;=$H31,X$6+6&gt;=$G31),1,"")</x:f>
      </x:c>
      <x:c r="Y31" s="167" t="str">
        <x:f>IF(AND(Y$6&lt;=$H31,Y$6+6&gt;=$G31),1,"")</x:f>
      </x:c>
      <x:c r="Z31" s="167" t="str">
        <x:f>IF(AND(Z$6&lt;=$H31,Z$6+6&gt;=$G31),1,"")</x:f>
      </x:c>
      <x:c r="AA31" s="167" t="str">
        <x:f>IF(AND(AA$6&lt;=$H31,AA$6+6&gt;=$G31),1,"")</x:f>
      </x:c>
      <x:c r="AB31" s="167" t="str">
        <x:f>IF(AND(AB$6&lt;=$H31,AB$6+6&gt;=$G31),1,"")</x:f>
      </x:c>
      <x:c r="AC31" s="167" t="str">
        <x:f>IF(AND(AC$6&lt;=$H31,AC$6+6&gt;=$G31),1,"")</x:f>
      </x:c>
      <x:c r="AD31" s="167" t="str">
        <x:f>IF(AND(AD$6&lt;=$H31,AD$6+6&gt;=$G31),1,"")</x:f>
      </x:c>
      <x:c r="AE31" s="167" t="str">
        <x:f>IF(AND(AE$6&lt;=$H31,AE$6+6&gt;=$G31),1,"")</x:f>
      </x:c>
      <x:c r="AF31" s="167" t="str">
        <x:f>IF(AND(AF$6&lt;=$H31,AF$6+6&gt;=$G31),1,"")</x:f>
      </x:c>
      <x:c r="AG31" s="167" t="str">
        <x:f>IF(AND(AG$6&lt;=$H31,AG$6+6&gt;=$G31),1,"")</x:f>
      </x:c>
      <x:c r="AH31" s="167" t="str">
        <x:f>IF(AND(AH$6&lt;=$H31,AH$6+6&gt;=$G31),1,"")</x:f>
      </x:c>
      <x:c r="AI31" s="167" t="str">
        <x:f>IF(AND(AI$6&lt;=$H31,AI$6+6&gt;=$G31),1,"")</x:f>
      </x:c>
      <x:c r="AJ31" s="167" t="str">
        <x:f>IF(AND(AJ$6&lt;=$H31,AJ$6+6&gt;=$G31),1,"")</x:f>
      </x:c>
      <x:c r="AK31" s="167" t="str">
        <x:f>IF(AND(AK$6&lt;=$H31,AK$6+6&gt;=$G31),1,"")</x:f>
      </x:c>
      <x:c r="AL31" s="167" t="str">
        <x:f>IF(AND(AL$6&lt;=$H31,AL$6+6&gt;=$G31),1,"")</x:f>
      </x:c>
      <x:c r="AM31" s="167" t="str">
        <x:f>IF(AND(AM$6&lt;=$H31,AM$6+6&gt;=$G31),1,"")</x:f>
      </x:c>
      <x:c r="AN31" s="167" t="str">
        <x:f>IF(AND(AN$6&lt;=$H31,AN$6+6&gt;=$G31),1,"")</x:f>
      </x:c>
      <x:c r="AO31" s="167" t="str">
        <x:f>IF(AND(AO$6&lt;=$H31,AO$6+6&gt;=$G31),1,"")</x:f>
      </x:c>
      <x:c r="AP31" s="167" t="str">
        <x:f>IF(AND(AP$6&lt;=$H31,AP$6+6&gt;=$G31),1,"")</x:f>
      </x:c>
      <x:c r="AQ31" s="167" t="str">
        <x:f>IF(AND(AQ$6&lt;=$H31,AQ$6+6&gt;=$G31),1,"")</x:f>
      </x:c>
      <x:c r="AR31" s="167" t="str">
        <x:f>IF(AND(AR$6&lt;=$H31,AR$6+6&gt;=$G31),1,"")</x:f>
      </x:c>
      <x:c r="AS31" s="167" t="str">
        <x:f>IF(AND(AS$6&lt;=$H31,AS$6+6&gt;=$G31),1,"")</x:f>
      </x:c>
      <x:c r="AT31" s="167" t="str">
        <x:f>IF(AND(AT$6&lt;=$H31,AT$6+6&gt;=$G31),1,"")</x:f>
      </x:c>
      <x:c r="AU31" s="167" t="str">
        <x:f>IF(AND(AU$6&lt;=$H31,AU$6+6&gt;=$G31),1,"")</x:f>
      </x:c>
      <x:c r="AV31" s="167" t="str">
        <x:f>IF(AND(AV$6&lt;=$H31,AV$6+6&gt;=$G31),1,"")</x:f>
      </x:c>
      <x:c r="AW31" s="167" t="str">
        <x:f>IF(AND(AW$6&lt;=$H31,AW$6+6&gt;=$G31),1,"")</x:f>
      </x:c>
      <x:c r="AX31" s="167" t="str">
        <x:f>IF(AND(AX$6&lt;=$H31,AX$6+6&gt;=$G31),1,"")</x:f>
      </x:c>
      <x:c r="AY31" s="167" t="str">
        <x:f>IF(AND(AY$6&lt;=$H31,AY$6+6&gt;=$G31),1,"")</x:f>
      </x:c>
      <x:c r="AZ31" s="167" t="str">
        <x:f>IF(AND(AZ$6&lt;=$H31,AZ$6+6&gt;=$G31),1,"")</x:f>
      </x:c>
      <x:c r="BA31" s="167" t="str">
        <x:f>IF(AND(BA$6&lt;=$H31,BA$6+6&gt;=$G31),1,"")</x:f>
      </x:c>
      <x:c r="BB31" s="167" t="str">
        <x:f>IF(AND(BB$6&lt;=$H31,BB$6+6&gt;=$G31),1,"")</x:f>
      </x:c>
      <x:c r="BC31" s="167" t="str">
        <x:f>IF(AND(BC$6&lt;=$H31,BC$6+6&gt;=$G31),1,"")</x:f>
      </x:c>
      <x:c r="BD31" s="167" t="str">
        <x:f>IF(AND(BD$6&lt;=$H31,BD$6+6&gt;=$G31),1,"")</x:f>
      </x:c>
      <x:c r="BE31" s="167" t="str">
        <x:f>IF(AND(BE$6&lt;=$H31,BE$6+6&gt;=$G31),1,"")</x:f>
      </x:c>
      <x:c r="BF31" s="167" t="str">
        <x:f>IF(AND(BF$6&lt;=$H31,BF$6+6&gt;=$G31),1,"")</x:f>
      </x:c>
      <x:c r="BG31" s="167" t="str">
        <x:f>IF(AND(BG$6&lt;=$H31,BG$6+6&gt;=$G31),1,"")</x:f>
      </x:c>
      <x:c r="BH31" s="167" t="str">
        <x:f>IF(AND(BH$6&lt;=$H31,BH$6+6&gt;=$G31),1,"")</x:f>
      </x:c>
      <x:c r="BI31" s="167" t="str">
        <x:f>IF(AND(BI$6&lt;=$H31,BI$6+6&gt;=$G31),1,"")</x:f>
      </x:c>
      <x:c r="BJ31" s="167" t="str">
        <x:f>IF(AND(BJ$6&lt;=$H31,BJ$6+6&gt;=$G31),1,"")</x:f>
      </x:c>
      <x:c r="BK31" s="167" t="str">
        <x:f>IF(AND(BK$6&lt;=$H31,BK$6+6&gt;=$G31),1,"")</x:f>
      </x:c>
      <x:c r="BL31" s="167" t="str">
        <x:f>IF(AND(BL$6&lt;=$H31,BL$6+6&gt;=$G31),1,"")</x:f>
      </x:c>
      <x:c r="BM31" s="167" t="str">
        <x:f>IF(AND(BM$6&lt;=$H31,BM$6+6&gt;=$G31),1,"")</x:f>
      </x:c>
      <x:c r="BN31" s="167" t="str">
        <x:f>IF(AND(BN$6&lt;=$H31,BN$6+6&gt;=$G31),1,"")</x:f>
      </x:c>
      <x:c r="BO31" s="168" t="str">
        <x:f>IF(AND(BO$6&lt;=$H31,BO$6+6&gt;=$G31),1,"")</x:f>
      </x:c>
    </x:row>
    <x:row r="32" ht="24" customHeight="1">
      <x:c r="A32" s="68" t="str">
        <x:f>'Task Register'!A30</x:f>
        <x:v>AI-205</x:v>
      </x:c>
      <x:c r="B32" s="68" t="str">
        <x:f>'Task Register'!B30</x:f>
        <x:v>M2</x:v>
      </x:c>
      <x:c r="C32" s="68" t="str">
        <x:f>'Task Register'!C30</x:f>
        <x:v>Transition Model/Data</x:v>
      </x:c>
      <x:c r="D32" s="68" t="str">
        <x:f>'Task Register'!D30</x:f>
        <x:v>Align local visual dynamics training with live execution</x:v>
      </x:c>
      <x:c r="E32" s="68" t="str">
        <x:f>'Task Register'!E30</x:f>
        <x:v>AI-108, AI-202</x:v>
      </x:c>
      <x:c r="F32" s="68" t="str">
        <x:f>'Task Register'!F30</x:f>
        <x:v>Blocked</x:v>
      </x:c>
      <x:c r="G32" s="94" t="n">
        <x:f>'Task Register'!I30</x:f>
        <x:v>46311</x:v>
      </x:c>
      <x:c r="H32" s="94" t="n">
        <x:f>'Task Register'!J30</x:f>
        <x:v>46315</x:v>
      </x:c>
      <x:c r="I32" s="166" t="str">
        <x:f>IF(AND(I$6&lt;=$H32,I$6+6&gt;=$G32),1,"")</x:f>
      </x:c>
      <x:c r="J32" s="167" t="str">
        <x:f>IF(AND(J$6&lt;=$H32,J$6+6&gt;=$G32),1,"")</x:f>
      </x:c>
      <x:c r="K32" s="167" t="str">
        <x:f>IF(AND(K$6&lt;=$H32,K$6+6&gt;=$G32),1,"")</x:f>
      </x:c>
      <x:c r="L32" s="167" t="str">
        <x:f>IF(AND(L$6&lt;=$H32,L$6+6&gt;=$G32),1,"")</x:f>
      </x:c>
      <x:c r="M32" s="167" t="str">
        <x:f>IF(AND(M$6&lt;=$H32,M$6+6&gt;=$G32),1,"")</x:f>
      </x:c>
      <x:c r="N32" s="167" t="str">
        <x:f>IF(AND(N$6&lt;=$H32,N$6+6&gt;=$G32),1,"")</x:f>
      </x:c>
      <x:c r="O32" s="167" t="str">
        <x:f>IF(AND(O$6&lt;=$H32,O$6+6&gt;=$G32),1,"")</x:f>
      </x:c>
      <x:c r="P32" s="167" t="str">
        <x:f>IF(AND(P$6&lt;=$H32,P$6+6&gt;=$G32),1,"")</x:f>
      </x:c>
      <x:c r="Q32" s="167" t="str">
        <x:f>IF(AND(Q$6&lt;=$H32,Q$6+6&gt;=$G32),1,"")</x:f>
      </x:c>
      <x:c r="R32" s="167" t="str">
        <x:f>IF(AND(R$6&lt;=$H32,R$6+6&gt;=$G32),1,"")</x:f>
      </x:c>
      <x:c r="S32" s="167" t="n">
        <x:f>IF(AND(S$6&lt;=$H32,S$6+6&gt;=$G32),1,"")</x:f>
        <x:v>1</x:v>
      </x:c>
      <x:c r="T32" s="167" t="n">
        <x:f>IF(AND(T$6&lt;=$H32,T$6+6&gt;=$G32),1,"")</x:f>
        <x:v>1</x:v>
      </x:c>
      <x:c r="U32" s="167" t="str">
        <x:f>IF(AND(U$6&lt;=$H32,U$6+6&gt;=$G32),1,"")</x:f>
      </x:c>
      <x:c r="V32" s="167" t="str">
        <x:f>IF(AND(V$6&lt;=$H32,V$6+6&gt;=$G32),1,"")</x:f>
      </x:c>
      <x:c r="W32" s="167" t="str">
        <x:f>IF(AND(W$6&lt;=$H32,W$6+6&gt;=$G32),1,"")</x:f>
      </x:c>
      <x:c r="X32" s="167" t="str">
        <x:f>IF(AND(X$6&lt;=$H32,X$6+6&gt;=$G32),1,"")</x:f>
      </x:c>
      <x:c r="Y32" s="167" t="str">
        <x:f>IF(AND(Y$6&lt;=$H32,Y$6+6&gt;=$G32),1,"")</x:f>
      </x:c>
      <x:c r="Z32" s="167" t="str">
        <x:f>IF(AND(Z$6&lt;=$H32,Z$6+6&gt;=$G32),1,"")</x:f>
      </x:c>
      <x:c r="AA32" s="167" t="str">
        <x:f>IF(AND(AA$6&lt;=$H32,AA$6+6&gt;=$G32),1,"")</x:f>
      </x:c>
      <x:c r="AB32" s="167" t="str">
        <x:f>IF(AND(AB$6&lt;=$H32,AB$6+6&gt;=$G32),1,"")</x:f>
      </x:c>
      <x:c r="AC32" s="167" t="str">
        <x:f>IF(AND(AC$6&lt;=$H32,AC$6+6&gt;=$G32),1,"")</x:f>
      </x:c>
      <x:c r="AD32" s="167" t="str">
        <x:f>IF(AND(AD$6&lt;=$H32,AD$6+6&gt;=$G32),1,"")</x:f>
      </x:c>
      <x:c r="AE32" s="167" t="str">
        <x:f>IF(AND(AE$6&lt;=$H32,AE$6+6&gt;=$G32),1,"")</x:f>
      </x:c>
      <x:c r="AF32" s="167" t="str">
        <x:f>IF(AND(AF$6&lt;=$H32,AF$6+6&gt;=$G32),1,"")</x:f>
      </x:c>
      <x:c r="AG32" s="167" t="str">
        <x:f>IF(AND(AG$6&lt;=$H32,AG$6+6&gt;=$G32),1,"")</x:f>
      </x:c>
      <x:c r="AH32" s="167" t="str">
        <x:f>IF(AND(AH$6&lt;=$H32,AH$6+6&gt;=$G32),1,"")</x:f>
      </x:c>
      <x:c r="AI32" s="167" t="str">
        <x:f>IF(AND(AI$6&lt;=$H32,AI$6+6&gt;=$G32),1,"")</x:f>
      </x:c>
      <x:c r="AJ32" s="167" t="str">
        <x:f>IF(AND(AJ$6&lt;=$H32,AJ$6+6&gt;=$G32),1,"")</x:f>
      </x:c>
      <x:c r="AK32" s="167" t="str">
        <x:f>IF(AND(AK$6&lt;=$H32,AK$6+6&gt;=$G32),1,"")</x:f>
      </x:c>
      <x:c r="AL32" s="167" t="str">
        <x:f>IF(AND(AL$6&lt;=$H32,AL$6+6&gt;=$G32),1,"")</x:f>
      </x:c>
      <x:c r="AM32" s="167" t="str">
        <x:f>IF(AND(AM$6&lt;=$H32,AM$6+6&gt;=$G32),1,"")</x:f>
      </x:c>
      <x:c r="AN32" s="167" t="str">
        <x:f>IF(AND(AN$6&lt;=$H32,AN$6+6&gt;=$G32),1,"")</x:f>
      </x:c>
      <x:c r="AO32" s="167" t="str">
        <x:f>IF(AND(AO$6&lt;=$H32,AO$6+6&gt;=$G32),1,"")</x:f>
      </x:c>
      <x:c r="AP32" s="167" t="str">
        <x:f>IF(AND(AP$6&lt;=$H32,AP$6+6&gt;=$G32),1,"")</x:f>
      </x:c>
      <x:c r="AQ32" s="167" t="str">
        <x:f>IF(AND(AQ$6&lt;=$H32,AQ$6+6&gt;=$G32),1,"")</x:f>
      </x:c>
      <x:c r="AR32" s="167" t="str">
        <x:f>IF(AND(AR$6&lt;=$H32,AR$6+6&gt;=$G32),1,"")</x:f>
      </x:c>
      <x:c r="AS32" s="167" t="str">
        <x:f>IF(AND(AS$6&lt;=$H32,AS$6+6&gt;=$G32),1,"")</x:f>
      </x:c>
      <x:c r="AT32" s="167" t="str">
        <x:f>IF(AND(AT$6&lt;=$H32,AT$6+6&gt;=$G32),1,"")</x:f>
      </x:c>
      <x:c r="AU32" s="167" t="str">
        <x:f>IF(AND(AU$6&lt;=$H32,AU$6+6&gt;=$G32),1,"")</x:f>
      </x:c>
      <x:c r="AV32" s="167" t="str">
        <x:f>IF(AND(AV$6&lt;=$H32,AV$6+6&gt;=$G32),1,"")</x:f>
      </x:c>
      <x:c r="AW32" s="167" t="str">
        <x:f>IF(AND(AW$6&lt;=$H32,AW$6+6&gt;=$G32),1,"")</x:f>
      </x:c>
      <x:c r="AX32" s="167" t="str">
        <x:f>IF(AND(AX$6&lt;=$H32,AX$6+6&gt;=$G32),1,"")</x:f>
      </x:c>
      <x:c r="AY32" s="167" t="str">
        <x:f>IF(AND(AY$6&lt;=$H32,AY$6+6&gt;=$G32),1,"")</x:f>
      </x:c>
      <x:c r="AZ32" s="167" t="str">
        <x:f>IF(AND(AZ$6&lt;=$H32,AZ$6+6&gt;=$G32),1,"")</x:f>
      </x:c>
      <x:c r="BA32" s="167" t="str">
        <x:f>IF(AND(BA$6&lt;=$H32,BA$6+6&gt;=$G32),1,"")</x:f>
      </x:c>
      <x:c r="BB32" s="167" t="str">
        <x:f>IF(AND(BB$6&lt;=$H32,BB$6+6&gt;=$G32),1,"")</x:f>
      </x:c>
      <x:c r="BC32" s="167" t="str">
        <x:f>IF(AND(BC$6&lt;=$H32,BC$6+6&gt;=$G32),1,"")</x:f>
      </x:c>
      <x:c r="BD32" s="167" t="str">
        <x:f>IF(AND(BD$6&lt;=$H32,BD$6+6&gt;=$G32),1,"")</x:f>
      </x:c>
      <x:c r="BE32" s="167" t="str">
        <x:f>IF(AND(BE$6&lt;=$H32,BE$6+6&gt;=$G32),1,"")</x:f>
      </x:c>
      <x:c r="BF32" s="167" t="str">
        <x:f>IF(AND(BF$6&lt;=$H32,BF$6+6&gt;=$G32),1,"")</x:f>
      </x:c>
      <x:c r="BG32" s="167" t="str">
        <x:f>IF(AND(BG$6&lt;=$H32,BG$6+6&gt;=$G32),1,"")</x:f>
      </x:c>
      <x:c r="BH32" s="167" t="str">
        <x:f>IF(AND(BH$6&lt;=$H32,BH$6+6&gt;=$G32),1,"")</x:f>
      </x:c>
      <x:c r="BI32" s="167" t="str">
        <x:f>IF(AND(BI$6&lt;=$H32,BI$6+6&gt;=$G32),1,"")</x:f>
      </x:c>
      <x:c r="BJ32" s="167" t="str">
        <x:f>IF(AND(BJ$6&lt;=$H32,BJ$6+6&gt;=$G32),1,"")</x:f>
      </x:c>
      <x:c r="BK32" s="167" t="str">
        <x:f>IF(AND(BK$6&lt;=$H32,BK$6+6&gt;=$G32),1,"")</x:f>
      </x:c>
      <x:c r="BL32" s="167" t="str">
        <x:f>IF(AND(BL$6&lt;=$H32,BL$6+6&gt;=$G32),1,"")</x:f>
      </x:c>
      <x:c r="BM32" s="167" t="str">
        <x:f>IF(AND(BM$6&lt;=$H32,BM$6+6&gt;=$G32),1,"")</x:f>
      </x:c>
      <x:c r="BN32" s="167" t="str">
        <x:f>IF(AND(BN$6&lt;=$H32,BN$6+6&gt;=$G32),1,"")</x:f>
      </x:c>
      <x:c r="BO32" s="168" t="str">
        <x:f>IF(AND(BO$6&lt;=$H32,BO$6+6&gt;=$G32),1,"")</x:f>
      </x:c>
    </x:row>
    <x:row r="33" ht="24" customHeight="1">
      <x:c r="A33" s="68" t="str">
        <x:f>'Task Register'!A31</x:f>
        <x:v>AI-206</x:v>
      </x:c>
      <x:c r="B33" s="68" t="str">
        <x:f>'Task Register'!B31</x:f>
        <x:v>M2</x:v>
      </x:c>
      <x:c r="C33" s="68" t="str">
        <x:f>'Task Register'!C31</x:f>
        <x:v>Transition Model/Validation</x:v>
      </x:c>
      <x:c r="D33" s="68" t="str">
        <x:f>'Task Register'!D31</x:f>
        <x:v>Validate multi-step visual prediction</x:v>
      </x:c>
      <x:c r="E33" s="68" t="str">
        <x:f>'Task Register'!E31</x:f>
        <x:v>AI-204, AI-205</x:v>
      </x:c>
      <x:c r="F33" s="68" t="str">
        <x:f>'Task Register'!F31</x:f>
        <x:v>Blocked</x:v>
      </x:c>
      <x:c r="G33" s="94" t="n">
        <x:f>'Task Register'!I31</x:f>
        <x:v>46316</x:v>
      </x:c>
      <x:c r="H33" s="94" t="n">
        <x:f>'Task Register'!J31</x:f>
        <x:v>46318</x:v>
      </x:c>
      <x:c r="I33" s="166" t="str">
        <x:f>IF(AND(I$6&lt;=$H33,I$6+6&gt;=$G33),1,"")</x:f>
      </x:c>
      <x:c r="J33" s="167" t="str">
        <x:f>IF(AND(J$6&lt;=$H33,J$6+6&gt;=$G33),1,"")</x:f>
      </x:c>
      <x:c r="K33" s="167" t="str">
        <x:f>IF(AND(K$6&lt;=$H33,K$6+6&gt;=$G33),1,"")</x:f>
      </x:c>
      <x:c r="L33" s="167" t="str">
        <x:f>IF(AND(L$6&lt;=$H33,L$6+6&gt;=$G33),1,"")</x:f>
      </x:c>
      <x:c r="M33" s="167" t="str">
        <x:f>IF(AND(M$6&lt;=$H33,M$6+6&gt;=$G33),1,"")</x:f>
      </x:c>
      <x:c r="N33" s="167" t="str">
        <x:f>IF(AND(N$6&lt;=$H33,N$6+6&gt;=$G33),1,"")</x:f>
      </x:c>
      <x:c r="O33" s="167" t="str">
        <x:f>IF(AND(O$6&lt;=$H33,O$6+6&gt;=$G33),1,"")</x:f>
      </x:c>
      <x:c r="P33" s="167" t="str">
        <x:f>IF(AND(P$6&lt;=$H33,P$6+6&gt;=$G33),1,"")</x:f>
      </x:c>
      <x:c r="Q33" s="167" t="str">
        <x:f>IF(AND(Q$6&lt;=$H33,Q$6+6&gt;=$G33),1,"")</x:f>
      </x:c>
      <x:c r="R33" s="167" t="str">
        <x:f>IF(AND(R$6&lt;=$H33,R$6+6&gt;=$G33),1,"")</x:f>
      </x:c>
      <x:c r="S33" s="167" t="str">
        <x:f>IF(AND(S$6&lt;=$H33,S$6+6&gt;=$G33),1,"")</x:f>
      </x:c>
      <x:c r="T33" s="167" t="n">
        <x:f>IF(AND(T$6&lt;=$H33,T$6+6&gt;=$G33),1,"")</x:f>
        <x:v>1</x:v>
      </x:c>
      <x:c r="U33" s="167" t="str">
        <x:f>IF(AND(U$6&lt;=$H33,U$6+6&gt;=$G33),1,"")</x:f>
      </x:c>
      <x:c r="V33" s="167" t="str">
        <x:f>IF(AND(V$6&lt;=$H33,V$6+6&gt;=$G33),1,"")</x:f>
      </x:c>
      <x:c r="W33" s="167" t="str">
        <x:f>IF(AND(W$6&lt;=$H33,W$6+6&gt;=$G33),1,"")</x:f>
      </x:c>
      <x:c r="X33" s="167" t="str">
        <x:f>IF(AND(X$6&lt;=$H33,X$6+6&gt;=$G33),1,"")</x:f>
      </x:c>
      <x:c r="Y33" s="167" t="str">
        <x:f>IF(AND(Y$6&lt;=$H33,Y$6+6&gt;=$G33),1,"")</x:f>
      </x:c>
      <x:c r="Z33" s="167" t="str">
        <x:f>IF(AND(Z$6&lt;=$H33,Z$6+6&gt;=$G33),1,"")</x:f>
      </x:c>
      <x:c r="AA33" s="167" t="str">
        <x:f>IF(AND(AA$6&lt;=$H33,AA$6+6&gt;=$G33),1,"")</x:f>
      </x:c>
      <x:c r="AB33" s="167" t="str">
        <x:f>IF(AND(AB$6&lt;=$H33,AB$6+6&gt;=$G33),1,"")</x:f>
      </x:c>
      <x:c r="AC33" s="167" t="str">
        <x:f>IF(AND(AC$6&lt;=$H33,AC$6+6&gt;=$G33),1,"")</x:f>
      </x:c>
      <x:c r="AD33" s="167" t="str">
        <x:f>IF(AND(AD$6&lt;=$H33,AD$6+6&gt;=$G33),1,"")</x:f>
      </x:c>
      <x:c r="AE33" s="167" t="str">
        <x:f>IF(AND(AE$6&lt;=$H33,AE$6+6&gt;=$G33),1,"")</x:f>
      </x:c>
      <x:c r="AF33" s="167" t="str">
        <x:f>IF(AND(AF$6&lt;=$H33,AF$6+6&gt;=$G33),1,"")</x:f>
      </x:c>
      <x:c r="AG33" s="167" t="str">
        <x:f>IF(AND(AG$6&lt;=$H33,AG$6+6&gt;=$G33),1,"")</x:f>
      </x:c>
      <x:c r="AH33" s="167" t="str">
        <x:f>IF(AND(AH$6&lt;=$H33,AH$6+6&gt;=$G33),1,"")</x:f>
      </x:c>
      <x:c r="AI33" s="167" t="str">
        <x:f>IF(AND(AI$6&lt;=$H33,AI$6+6&gt;=$G33),1,"")</x:f>
      </x:c>
      <x:c r="AJ33" s="167" t="str">
        <x:f>IF(AND(AJ$6&lt;=$H33,AJ$6+6&gt;=$G33),1,"")</x:f>
      </x:c>
      <x:c r="AK33" s="167" t="str">
        <x:f>IF(AND(AK$6&lt;=$H33,AK$6+6&gt;=$G33),1,"")</x:f>
      </x:c>
      <x:c r="AL33" s="167" t="str">
        <x:f>IF(AND(AL$6&lt;=$H33,AL$6+6&gt;=$G33),1,"")</x:f>
      </x:c>
      <x:c r="AM33" s="167" t="str">
        <x:f>IF(AND(AM$6&lt;=$H33,AM$6+6&gt;=$G33),1,"")</x:f>
      </x:c>
      <x:c r="AN33" s="167" t="str">
        <x:f>IF(AND(AN$6&lt;=$H33,AN$6+6&gt;=$G33),1,"")</x:f>
      </x:c>
      <x:c r="AO33" s="167" t="str">
        <x:f>IF(AND(AO$6&lt;=$H33,AO$6+6&gt;=$G33),1,"")</x:f>
      </x:c>
      <x:c r="AP33" s="167" t="str">
        <x:f>IF(AND(AP$6&lt;=$H33,AP$6+6&gt;=$G33),1,"")</x:f>
      </x:c>
      <x:c r="AQ33" s="167" t="str">
        <x:f>IF(AND(AQ$6&lt;=$H33,AQ$6+6&gt;=$G33),1,"")</x:f>
      </x:c>
      <x:c r="AR33" s="167" t="str">
        <x:f>IF(AND(AR$6&lt;=$H33,AR$6+6&gt;=$G33),1,"")</x:f>
      </x:c>
      <x:c r="AS33" s="167" t="str">
        <x:f>IF(AND(AS$6&lt;=$H33,AS$6+6&gt;=$G33),1,"")</x:f>
      </x:c>
      <x:c r="AT33" s="167" t="str">
        <x:f>IF(AND(AT$6&lt;=$H33,AT$6+6&gt;=$G33),1,"")</x:f>
      </x:c>
      <x:c r="AU33" s="167" t="str">
        <x:f>IF(AND(AU$6&lt;=$H33,AU$6+6&gt;=$G33),1,"")</x:f>
      </x:c>
      <x:c r="AV33" s="167" t="str">
        <x:f>IF(AND(AV$6&lt;=$H33,AV$6+6&gt;=$G33),1,"")</x:f>
      </x:c>
      <x:c r="AW33" s="167" t="str">
        <x:f>IF(AND(AW$6&lt;=$H33,AW$6+6&gt;=$G33),1,"")</x:f>
      </x:c>
      <x:c r="AX33" s="167" t="str">
        <x:f>IF(AND(AX$6&lt;=$H33,AX$6+6&gt;=$G33),1,"")</x:f>
      </x:c>
      <x:c r="AY33" s="167" t="str">
        <x:f>IF(AND(AY$6&lt;=$H33,AY$6+6&gt;=$G33),1,"")</x:f>
      </x:c>
      <x:c r="AZ33" s="167" t="str">
        <x:f>IF(AND(AZ$6&lt;=$H33,AZ$6+6&gt;=$G33),1,"")</x:f>
      </x:c>
      <x:c r="BA33" s="167" t="str">
        <x:f>IF(AND(BA$6&lt;=$H33,BA$6+6&gt;=$G33),1,"")</x:f>
      </x:c>
      <x:c r="BB33" s="167" t="str">
        <x:f>IF(AND(BB$6&lt;=$H33,BB$6+6&gt;=$G33),1,"")</x:f>
      </x:c>
      <x:c r="BC33" s="167" t="str">
        <x:f>IF(AND(BC$6&lt;=$H33,BC$6+6&gt;=$G33),1,"")</x:f>
      </x:c>
      <x:c r="BD33" s="167" t="str">
        <x:f>IF(AND(BD$6&lt;=$H33,BD$6+6&gt;=$G33),1,"")</x:f>
      </x:c>
      <x:c r="BE33" s="167" t="str">
        <x:f>IF(AND(BE$6&lt;=$H33,BE$6+6&gt;=$G33),1,"")</x:f>
      </x:c>
      <x:c r="BF33" s="167" t="str">
        <x:f>IF(AND(BF$6&lt;=$H33,BF$6+6&gt;=$G33),1,"")</x:f>
      </x:c>
      <x:c r="BG33" s="167" t="str">
        <x:f>IF(AND(BG$6&lt;=$H33,BG$6+6&gt;=$G33),1,"")</x:f>
      </x:c>
      <x:c r="BH33" s="167" t="str">
        <x:f>IF(AND(BH$6&lt;=$H33,BH$6+6&gt;=$G33),1,"")</x:f>
      </x:c>
      <x:c r="BI33" s="167" t="str">
        <x:f>IF(AND(BI$6&lt;=$H33,BI$6+6&gt;=$G33),1,"")</x:f>
      </x:c>
      <x:c r="BJ33" s="167" t="str">
        <x:f>IF(AND(BJ$6&lt;=$H33,BJ$6+6&gt;=$G33),1,"")</x:f>
      </x:c>
      <x:c r="BK33" s="167" t="str">
        <x:f>IF(AND(BK$6&lt;=$H33,BK$6+6&gt;=$G33),1,"")</x:f>
      </x:c>
      <x:c r="BL33" s="167" t="str">
        <x:f>IF(AND(BL$6&lt;=$H33,BL$6+6&gt;=$G33),1,"")</x:f>
      </x:c>
      <x:c r="BM33" s="167" t="str">
        <x:f>IF(AND(BM$6&lt;=$H33,BM$6+6&gt;=$G33),1,"")</x:f>
      </x:c>
      <x:c r="BN33" s="167" t="str">
        <x:f>IF(AND(BN$6&lt;=$H33,BN$6+6&gt;=$G33),1,"")</x:f>
      </x:c>
      <x:c r="BO33" s="168" t="str">
        <x:f>IF(AND(BO$6&lt;=$H33,BO$6+6&gt;=$G33),1,"")</x:f>
      </x:c>
    </x:row>
    <x:row r="34" ht="24" customHeight="1">
      <x:c r="A34" s="68" t="str">
        <x:f>'Task Register'!A32</x:f>
        <x:v>AI-207</x:v>
      </x:c>
      <x:c r="B34" s="68" t="str">
        <x:f>'Task Register'!B32</x:f>
        <x:v>M2</x:v>
      </x:c>
      <x:c r="C34" s="68" t="str">
        <x:f>'Task Register'!C32</x:f>
        <x:v>Hierarchical Active Inference</x:v>
      </x:c>
      <x:c r="D34" s="68" t="str">
        <x:f>'Task Register'!D32</x:f>
        <x:v>Define the multiscale latent clocks and messages</x:v>
      </x:c>
      <x:c r="E34" s="68" t="str">
        <x:f>'Task Register'!E32</x:f>
        <x:v>AI-101, AI-204</x:v>
      </x:c>
      <x:c r="F34" s="68" t="str">
        <x:f>'Task Register'!F32</x:f>
        <x:v>Blocked</x:v>
      </x:c>
      <x:c r="G34" s="94" t="n">
        <x:f>'Task Register'!I32</x:f>
        <x:v>46321</x:v>
      </x:c>
      <x:c r="H34" s="94" t="n">
        <x:f>'Task Register'!J32</x:f>
        <x:v>46322</x:v>
      </x:c>
      <x:c r="I34" s="166" t="str">
        <x:f>IF(AND(I$6&lt;=$H34,I$6+6&gt;=$G34),1,"")</x:f>
      </x:c>
      <x:c r="J34" s="167" t="str">
        <x:f>IF(AND(J$6&lt;=$H34,J$6+6&gt;=$G34),1,"")</x:f>
      </x:c>
      <x:c r="K34" s="167" t="str">
        <x:f>IF(AND(K$6&lt;=$H34,K$6+6&gt;=$G34),1,"")</x:f>
      </x:c>
      <x:c r="L34" s="167" t="str">
        <x:f>IF(AND(L$6&lt;=$H34,L$6+6&gt;=$G34),1,"")</x:f>
      </x:c>
      <x:c r="M34" s="167" t="str">
        <x:f>IF(AND(M$6&lt;=$H34,M$6+6&gt;=$G34),1,"")</x:f>
      </x:c>
      <x:c r="N34" s="167" t="str">
        <x:f>IF(AND(N$6&lt;=$H34,N$6+6&gt;=$G34),1,"")</x:f>
      </x:c>
      <x:c r="O34" s="167" t="str">
        <x:f>IF(AND(O$6&lt;=$H34,O$6+6&gt;=$G34),1,"")</x:f>
      </x:c>
      <x:c r="P34" s="167" t="str">
        <x:f>IF(AND(P$6&lt;=$H34,P$6+6&gt;=$G34),1,"")</x:f>
      </x:c>
      <x:c r="Q34" s="167" t="str">
        <x:f>IF(AND(Q$6&lt;=$H34,Q$6+6&gt;=$G34),1,"")</x:f>
      </x:c>
      <x:c r="R34" s="167" t="str">
        <x:f>IF(AND(R$6&lt;=$H34,R$6+6&gt;=$G34),1,"")</x:f>
      </x:c>
      <x:c r="S34" s="167" t="str">
        <x:f>IF(AND(S$6&lt;=$H34,S$6+6&gt;=$G34),1,"")</x:f>
      </x:c>
      <x:c r="T34" s="167" t="str">
        <x:f>IF(AND(T$6&lt;=$H34,T$6+6&gt;=$G34),1,"")</x:f>
      </x:c>
      <x:c r="U34" s="167" t="n">
        <x:f>IF(AND(U$6&lt;=$H34,U$6+6&gt;=$G34),1,"")</x:f>
        <x:v>1</x:v>
      </x:c>
      <x:c r="V34" s="167" t="str">
        <x:f>IF(AND(V$6&lt;=$H34,V$6+6&gt;=$G34),1,"")</x:f>
      </x:c>
      <x:c r="W34" s="167" t="str">
        <x:f>IF(AND(W$6&lt;=$H34,W$6+6&gt;=$G34),1,"")</x:f>
      </x:c>
      <x:c r="X34" s="167" t="str">
        <x:f>IF(AND(X$6&lt;=$H34,X$6+6&gt;=$G34),1,"")</x:f>
      </x:c>
      <x:c r="Y34" s="167" t="str">
        <x:f>IF(AND(Y$6&lt;=$H34,Y$6+6&gt;=$G34),1,"")</x:f>
      </x:c>
      <x:c r="Z34" s="167" t="str">
        <x:f>IF(AND(Z$6&lt;=$H34,Z$6+6&gt;=$G34),1,"")</x:f>
      </x:c>
      <x:c r="AA34" s="167" t="str">
        <x:f>IF(AND(AA$6&lt;=$H34,AA$6+6&gt;=$G34),1,"")</x:f>
      </x:c>
      <x:c r="AB34" s="167" t="str">
        <x:f>IF(AND(AB$6&lt;=$H34,AB$6+6&gt;=$G34),1,"")</x:f>
      </x:c>
      <x:c r="AC34" s="167" t="str">
        <x:f>IF(AND(AC$6&lt;=$H34,AC$6+6&gt;=$G34),1,"")</x:f>
      </x:c>
      <x:c r="AD34" s="167" t="str">
        <x:f>IF(AND(AD$6&lt;=$H34,AD$6+6&gt;=$G34),1,"")</x:f>
      </x:c>
      <x:c r="AE34" s="167" t="str">
        <x:f>IF(AND(AE$6&lt;=$H34,AE$6+6&gt;=$G34),1,"")</x:f>
      </x:c>
      <x:c r="AF34" s="167" t="str">
        <x:f>IF(AND(AF$6&lt;=$H34,AF$6+6&gt;=$G34),1,"")</x:f>
      </x:c>
      <x:c r="AG34" s="167" t="str">
        <x:f>IF(AND(AG$6&lt;=$H34,AG$6+6&gt;=$G34),1,"")</x:f>
      </x:c>
      <x:c r="AH34" s="167" t="str">
        <x:f>IF(AND(AH$6&lt;=$H34,AH$6+6&gt;=$G34),1,"")</x:f>
      </x:c>
      <x:c r="AI34" s="167" t="str">
        <x:f>IF(AND(AI$6&lt;=$H34,AI$6+6&gt;=$G34),1,"")</x:f>
      </x:c>
      <x:c r="AJ34" s="167" t="str">
        <x:f>IF(AND(AJ$6&lt;=$H34,AJ$6+6&gt;=$G34),1,"")</x:f>
      </x:c>
      <x:c r="AK34" s="167" t="str">
        <x:f>IF(AND(AK$6&lt;=$H34,AK$6+6&gt;=$G34),1,"")</x:f>
      </x:c>
      <x:c r="AL34" s="167" t="str">
        <x:f>IF(AND(AL$6&lt;=$H34,AL$6+6&gt;=$G34),1,"")</x:f>
      </x:c>
      <x:c r="AM34" s="167" t="str">
        <x:f>IF(AND(AM$6&lt;=$H34,AM$6+6&gt;=$G34),1,"")</x:f>
      </x:c>
      <x:c r="AN34" s="167" t="str">
        <x:f>IF(AND(AN$6&lt;=$H34,AN$6+6&gt;=$G34),1,"")</x:f>
      </x:c>
      <x:c r="AO34" s="167" t="str">
        <x:f>IF(AND(AO$6&lt;=$H34,AO$6+6&gt;=$G34),1,"")</x:f>
      </x:c>
      <x:c r="AP34" s="167" t="str">
        <x:f>IF(AND(AP$6&lt;=$H34,AP$6+6&gt;=$G34),1,"")</x:f>
      </x:c>
      <x:c r="AQ34" s="167" t="str">
        <x:f>IF(AND(AQ$6&lt;=$H34,AQ$6+6&gt;=$G34),1,"")</x:f>
      </x:c>
      <x:c r="AR34" s="167" t="str">
        <x:f>IF(AND(AR$6&lt;=$H34,AR$6+6&gt;=$G34),1,"")</x:f>
      </x:c>
      <x:c r="AS34" s="167" t="str">
        <x:f>IF(AND(AS$6&lt;=$H34,AS$6+6&gt;=$G34),1,"")</x:f>
      </x:c>
      <x:c r="AT34" s="167" t="str">
        <x:f>IF(AND(AT$6&lt;=$H34,AT$6+6&gt;=$G34),1,"")</x:f>
      </x:c>
      <x:c r="AU34" s="167" t="str">
        <x:f>IF(AND(AU$6&lt;=$H34,AU$6+6&gt;=$G34),1,"")</x:f>
      </x:c>
      <x:c r="AV34" s="167" t="str">
        <x:f>IF(AND(AV$6&lt;=$H34,AV$6+6&gt;=$G34),1,"")</x:f>
      </x:c>
      <x:c r="AW34" s="167" t="str">
        <x:f>IF(AND(AW$6&lt;=$H34,AW$6+6&gt;=$G34),1,"")</x:f>
      </x:c>
      <x:c r="AX34" s="167" t="str">
        <x:f>IF(AND(AX$6&lt;=$H34,AX$6+6&gt;=$G34),1,"")</x:f>
      </x:c>
      <x:c r="AY34" s="167" t="str">
        <x:f>IF(AND(AY$6&lt;=$H34,AY$6+6&gt;=$G34),1,"")</x:f>
      </x:c>
      <x:c r="AZ34" s="167" t="str">
        <x:f>IF(AND(AZ$6&lt;=$H34,AZ$6+6&gt;=$G34),1,"")</x:f>
      </x:c>
      <x:c r="BA34" s="167" t="str">
        <x:f>IF(AND(BA$6&lt;=$H34,BA$6+6&gt;=$G34),1,"")</x:f>
      </x:c>
      <x:c r="BB34" s="167" t="str">
        <x:f>IF(AND(BB$6&lt;=$H34,BB$6+6&gt;=$G34),1,"")</x:f>
      </x:c>
      <x:c r="BC34" s="167" t="str">
        <x:f>IF(AND(BC$6&lt;=$H34,BC$6+6&gt;=$G34),1,"")</x:f>
      </x:c>
      <x:c r="BD34" s="167" t="str">
        <x:f>IF(AND(BD$6&lt;=$H34,BD$6+6&gt;=$G34),1,"")</x:f>
      </x:c>
      <x:c r="BE34" s="167" t="str">
        <x:f>IF(AND(BE$6&lt;=$H34,BE$6+6&gt;=$G34),1,"")</x:f>
      </x:c>
      <x:c r="BF34" s="167" t="str">
        <x:f>IF(AND(BF$6&lt;=$H34,BF$6+6&gt;=$G34),1,"")</x:f>
      </x:c>
      <x:c r="BG34" s="167" t="str">
        <x:f>IF(AND(BG$6&lt;=$H34,BG$6+6&gt;=$G34),1,"")</x:f>
      </x:c>
      <x:c r="BH34" s="167" t="str">
        <x:f>IF(AND(BH$6&lt;=$H34,BH$6+6&gt;=$G34),1,"")</x:f>
      </x:c>
      <x:c r="BI34" s="167" t="str">
        <x:f>IF(AND(BI$6&lt;=$H34,BI$6+6&gt;=$G34),1,"")</x:f>
      </x:c>
      <x:c r="BJ34" s="167" t="str">
        <x:f>IF(AND(BJ$6&lt;=$H34,BJ$6+6&gt;=$G34),1,"")</x:f>
      </x:c>
      <x:c r="BK34" s="167" t="str">
        <x:f>IF(AND(BK$6&lt;=$H34,BK$6+6&gt;=$G34),1,"")</x:f>
      </x:c>
      <x:c r="BL34" s="167" t="str">
        <x:f>IF(AND(BL$6&lt;=$H34,BL$6+6&gt;=$G34),1,"")</x:f>
      </x:c>
      <x:c r="BM34" s="167" t="str">
        <x:f>IF(AND(BM$6&lt;=$H34,BM$6+6&gt;=$G34),1,"")</x:f>
      </x:c>
      <x:c r="BN34" s="167" t="str">
        <x:f>IF(AND(BN$6&lt;=$H34,BN$6+6&gt;=$G34),1,"")</x:f>
      </x:c>
      <x:c r="BO34" s="168" t="str">
        <x:f>IF(AND(BO$6&lt;=$H34,BO$6+6&gt;=$G34),1,"")</x:f>
      </x:c>
    </x:row>
    <x:row r="35" ht="24" customHeight="1">
      <x:c r="A35" s="68" t="str">
        <x:f>'Task Register'!A33</x:f>
        <x:v>AI-208</x:v>
      </x:c>
      <x:c r="B35" s="68" t="str">
        <x:f>'Task Register'!B33</x:f>
        <x:v>M2</x:v>
      </x:c>
      <x:c r="C35" s="68" t="str">
        <x:f>'Task Register'!C33</x:f>
        <x:v>Hierarchical Modeling</x:v>
      </x:c>
      <x:c r="D35" s="68" t="str">
        <x:f>'Task Register'!D33</x:f>
        <x:v>Make the global canvas latent predictively necessary</x:v>
      </x:c>
      <x:c r="E35" s="68" t="str">
        <x:f>'Task Register'!E33</x:f>
        <x:v>AI-206, AI-207</x:v>
      </x:c>
      <x:c r="F35" s="68" t="str">
        <x:f>'Task Register'!F33</x:f>
        <x:v>Blocked</x:v>
      </x:c>
      <x:c r="G35" s="94" t="n">
        <x:f>'Task Register'!I33</x:f>
        <x:v>46323</x:v>
      </x:c>
      <x:c r="H35" s="94" t="n">
        <x:f>'Task Register'!J33</x:f>
        <x:v>46328</x:v>
      </x:c>
      <x:c r="I35" s="166" t="str">
        <x:f>IF(AND(I$6&lt;=$H35,I$6+6&gt;=$G35),1,"")</x:f>
      </x:c>
      <x:c r="J35" s="167" t="str">
        <x:f>IF(AND(J$6&lt;=$H35,J$6+6&gt;=$G35),1,"")</x:f>
      </x:c>
      <x:c r="K35" s="167" t="str">
        <x:f>IF(AND(K$6&lt;=$H35,K$6+6&gt;=$G35),1,"")</x:f>
      </x:c>
      <x:c r="L35" s="167" t="str">
        <x:f>IF(AND(L$6&lt;=$H35,L$6+6&gt;=$G35),1,"")</x:f>
      </x:c>
      <x:c r="M35" s="167" t="str">
        <x:f>IF(AND(M$6&lt;=$H35,M$6+6&gt;=$G35),1,"")</x:f>
      </x:c>
      <x:c r="N35" s="167" t="str">
        <x:f>IF(AND(N$6&lt;=$H35,N$6+6&gt;=$G35),1,"")</x:f>
      </x:c>
      <x:c r="O35" s="167" t="str">
        <x:f>IF(AND(O$6&lt;=$H35,O$6+6&gt;=$G35),1,"")</x:f>
      </x:c>
      <x:c r="P35" s="167" t="str">
        <x:f>IF(AND(P$6&lt;=$H35,P$6+6&gt;=$G35),1,"")</x:f>
      </x:c>
      <x:c r="Q35" s="167" t="str">
        <x:f>IF(AND(Q$6&lt;=$H35,Q$6+6&gt;=$G35),1,"")</x:f>
      </x:c>
      <x:c r="R35" s="167" t="str">
        <x:f>IF(AND(R$6&lt;=$H35,R$6+6&gt;=$G35),1,"")</x:f>
      </x:c>
      <x:c r="S35" s="167" t="str">
        <x:f>IF(AND(S$6&lt;=$H35,S$6+6&gt;=$G35),1,"")</x:f>
      </x:c>
      <x:c r="T35" s="167" t="str">
        <x:f>IF(AND(T$6&lt;=$H35,T$6+6&gt;=$G35),1,"")</x:f>
      </x:c>
      <x:c r="U35" s="167" t="n">
        <x:f>IF(AND(U$6&lt;=$H35,U$6+6&gt;=$G35),1,"")</x:f>
        <x:v>1</x:v>
      </x:c>
      <x:c r="V35" s="167" t="n">
        <x:f>IF(AND(V$6&lt;=$H35,V$6+6&gt;=$G35),1,"")</x:f>
        <x:v>1</x:v>
      </x:c>
      <x:c r="W35" s="167" t="str">
        <x:f>IF(AND(W$6&lt;=$H35,W$6+6&gt;=$G35),1,"")</x:f>
      </x:c>
      <x:c r="X35" s="167" t="str">
        <x:f>IF(AND(X$6&lt;=$H35,X$6+6&gt;=$G35),1,"")</x:f>
      </x:c>
      <x:c r="Y35" s="167" t="str">
        <x:f>IF(AND(Y$6&lt;=$H35,Y$6+6&gt;=$G35),1,"")</x:f>
      </x:c>
      <x:c r="Z35" s="167" t="str">
        <x:f>IF(AND(Z$6&lt;=$H35,Z$6+6&gt;=$G35),1,"")</x:f>
      </x:c>
      <x:c r="AA35" s="167" t="str">
        <x:f>IF(AND(AA$6&lt;=$H35,AA$6+6&gt;=$G35),1,"")</x:f>
      </x:c>
      <x:c r="AB35" s="167" t="str">
        <x:f>IF(AND(AB$6&lt;=$H35,AB$6+6&gt;=$G35),1,"")</x:f>
      </x:c>
      <x:c r="AC35" s="167" t="str">
        <x:f>IF(AND(AC$6&lt;=$H35,AC$6+6&gt;=$G35),1,"")</x:f>
      </x:c>
      <x:c r="AD35" s="167" t="str">
        <x:f>IF(AND(AD$6&lt;=$H35,AD$6+6&gt;=$G35),1,"")</x:f>
      </x:c>
      <x:c r="AE35" s="167" t="str">
        <x:f>IF(AND(AE$6&lt;=$H35,AE$6+6&gt;=$G35),1,"")</x:f>
      </x:c>
      <x:c r="AF35" s="167" t="str">
        <x:f>IF(AND(AF$6&lt;=$H35,AF$6+6&gt;=$G35),1,"")</x:f>
      </x:c>
      <x:c r="AG35" s="167" t="str">
        <x:f>IF(AND(AG$6&lt;=$H35,AG$6+6&gt;=$G35),1,"")</x:f>
      </x:c>
      <x:c r="AH35" s="167" t="str">
        <x:f>IF(AND(AH$6&lt;=$H35,AH$6+6&gt;=$G35),1,"")</x:f>
      </x:c>
      <x:c r="AI35" s="167" t="str">
        <x:f>IF(AND(AI$6&lt;=$H35,AI$6+6&gt;=$G35),1,"")</x:f>
      </x:c>
      <x:c r="AJ35" s="167" t="str">
        <x:f>IF(AND(AJ$6&lt;=$H35,AJ$6+6&gt;=$G35),1,"")</x:f>
      </x:c>
      <x:c r="AK35" s="167" t="str">
        <x:f>IF(AND(AK$6&lt;=$H35,AK$6+6&gt;=$G35),1,"")</x:f>
      </x:c>
      <x:c r="AL35" s="167" t="str">
        <x:f>IF(AND(AL$6&lt;=$H35,AL$6+6&gt;=$G35),1,"")</x:f>
      </x:c>
      <x:c r="AM35" s="167" t="str">
        <x:f>IF(AND(AM$6&lt;=$H35,AM$6+6&gt;=$G35),1,"")</x:f>
      </x:c>
      <x:c r="AN35" s="167" t="str">
        <x:f>IF(AND(AN$6&lt;=$H35,AN$6+6&gt;=$G35),1,"")</x:f>
      </x:c>
      <x:c r="AO35" s="167" t="str">
        <x:f>IF(AND(AO$6&lt;=$H35,AO$6+6&gt;=$G35),1,"")</x:f>
      </x:c>
      <x:c r="AP35" s="167" t="str">
        <x:f>IF(AND(AP$6&lt;=$H35,AP$6+6&gt;=$G35),1,"")</x:f>
      </x:c>
      <x:c r="AQ35" s="167" t="str">
        <x:f>IF(AND(AQ$6&lt;=$H35,AQ$6+6&gt;=$G35),1,"")</x:f>
      </x:c>
      <x:c r="AR35" s="167" t="str">
        <x:f>IF(AND(AR$6&lt;=$H35,AR$6+6&gt;=$G35),1,"")</x:f>
      </x:c>
      <x:c r="AS35" s="167" t="str">
        <x:f>IF(AND(AS$6&lt;=$H35,AS$6+6&gt;=$G35),1,"")</x:f>
      </x:c>
      <x:c r="AT35" s="167" t="str">
        <x:f>IF(AND(AT$6&lt;=$H35,AT$6+6&gt;=$G35),1,"")</x:f>
      </x:c>
      <x:c r="AU35" s="167" t="str">
        <x:f>IF(AND(AU$6&lt;=$H35,AU$6+6&gt;=$G35),1,"")</x:f>
      </x:c>
      <x:c r="AV35" s="167" t="str">
        <x:f>IF(AND(AV$6&lt;=$H35,AV$6+6&gt;=$G35),1,"")</x:f>
      </x:c>
      <x:c r="AW35" s="167" t="str">
        <x:f>IF(AND(AW$6&lt;=$H35,AW$6+6&gt;=$G35),1,"")</x:f>
      </x:c>
      <x:c r="AX35" s="167" t="str">
        <x:f>IF(AND(AX$6&lt;=$H35,AX$6+6&gt;=$G35),1,"")</x:f>
      </x:c>
      <x:c r="AY35" s="167" t="str">
        <x:f>IF(AND(AY$6&lt;=$H35,AY$6+6&gt;=$G35),1,"")</x:f>
      </x:c>
      <x:c r="AZ35" s="167" t="str">
        <x:f>IF(AND(AZ$6&lt;=$H35,AZ$6+6&gt;=$G35),1,"")</x:f>
      </x:c>
      <x:c r="BA35" s="167" t="str">
        <x:f>IF(AND(BA$6&lt;=$H35,BA$6+6&gt;=$G35),1,"")</x:f>
      </x:c>
      <x:c r="BB35" s="167" t="str">
        <x:f>IF(AND(BB$6&lt;=$H35,BB$6+6&gt;=$G35),1,"")</x:f>
      </x:c>
      <x:c r="BC35" s="167" t="str">
        <x:f>IF(AND(BC$6&lt;=$H35,BC$6+6&gt;=$G35),1,"")</x:f>
      </x:c>
      <x:c r="BD35" s="167" t="str">
        <x:f>IF(AND(BD$6&lt;=$H35,BD$6+6&gt;=$G35),1,"")</x:f>
      </x:c>
      <x:c r="BE35" s="167" t="str">
        <x:f>IF(AND(BE$6&lt;=$H35,BE$6+6&gt;=$G35),1,"")</x:f>
      </x:c>
      <x:c r="BF35" s="167" t="str">
        <x:f>IF(AND(BF$6&lt;=$H35,BF$6+6&gt;=$G35),1,"")</x:f>
      </x:c>
      <x:c r="BG35" s="167" t="str">
        <x:f>IF(AND(BG$6&lt;=$H35,BG$6+6&gt;=$G35),1,"")</x:f>
      </x:c>
      <x:c r="BH35" s="167" t="str">
        <x:f>IF(AND(BH$6&lt;=$H35,BH$6+6&gt;=$G35),1,"")</x:f>
      </x:c>
      <x:c r="BI35" s="167" t="str">
        <x:f>IF(AND(BI$6&lt;=$H35,BI$6+6&gt;=$G35),1,"")</x:f>
      </x:c>
      <x:c r="BJ35" s="167" t="str">
        <x:f>IF(AND(BJ$6&lt;=$H35,BJ$6+6&gt;=$G35),1,"")</x:f>
      </x:c>
      <x:c r="BK35" s="167" t="str">
        <x:f>IF(AND(BK$6&lt;=$H35,BK$6+6&gt;=$G35),1,"")</x:f>
      </x:c>
      <x:c r="BL35" s="167" t="str">
        <x:f>IF(AND(BL$6&lt;=$H35,BL$6+6&gt;=$G35),1,"")</x:f>
      </x:c>
      <x:c r="BM35" s="167" t="str">
        <x:f>IF(AND(BM$6&lt;=$H35,BM$6+6&gt;=$G35),1,"")</x:f>
      </x:c>
      <x:c r="BN35" s="167" t="str">
        <x:f>IF(AND(BN$6&lt;=$H35,BN$6+6&gt;=$G35),1,"")</x:f>
      </x:c>
      <x:c r="BO35" s="168" t="str">
        <x:f>IF(AND(BO$6&lt;=$H35,BO$6+6&gt;=$G35),1,"")</x:f>
      </x:c>
    </x:row>
    <x:row r="36" ht="24" customHeight="1">
      <x:c r="A36" s="68" t="str">
        <x:f>'Task Register'!A34</x:f>
        <x:v>AI-209</x:v>
      </x:c>
      <x:c r="B36" s="68" t="str">
        <x:f>'Task Register'!B34</x:f>
        <x:v>M2</x:v>
      </x:c>
      <x:c r="C36" s="68" t="str">
        <x:f>'Task Register'!C34</x:f>
        <x:v>Relational Inference</x:v>
      </x:c>
      <x:c r="D36" s="68" t="str">
        <x:f>'Task Register'!D34</x:f>
        <x:v>Replace or demote deterministic relational beliefs</x:v>
      </x:c>
      <x:c r="E36" s="68" t="str">
        <x:f>'Task Register'!E34</x:f>
        <x:v>AI-207, AI-208</x:v>
      </x:c>
      <x:c r="F36" s="68" t="str">
        <x:f>'Task Register'!F34</x:f>
        <x:v>Blocked</x:v>
      </x:c>
      <x:c r="G36" s="94" t="n">
        <x:f>'Task Register'!I34</x:f>
        <x:v>46329</x:v>
      </x:c>
      <x:c r="H36" s="94" t="n">
        <x:f>'Task Register'!J34</x:f>
        <x:v>46335</x:v>
      </x:c>
      <x:c r="I36" s="166" t="str">
        <x:f>IF(AND(I$6&lt;=$H36,I$6+6&gt;=$G36),1,"")</x:f>
      </x:c>
      <x:c r="J36" s="167" t="str">
        <x:f>IF(AND(J$6&lt;=$H36,J$6+6&gt;=$G36),1,"")</x:f>
      </x:c>
      <x:c r="K36" s="167" t="str">
        <x:f>IF(AND(K$6&lt;=$H36,K$6+6&gt;=$G36),1,"")</x:f>
      </x:c>
      <x:c r="L36" s="167" t="str">
        <x:f>IF(AND(L$6&lt;=$H36,L$6+6&gt;=$G36),1,"")</x:f>
      </x:c>
      <x:c r="M36" s="167" t="str">
        <x:f>IF(AND(M$6&lt;=$H36,M$6+6&gt;=$G36),1,"")</x:f>
      </x:c>
      <x:c r="N36" s="167" t="str">
        <x:f>IF(AND(N$6&lt;=$H36,N$6+6&gt;=$G36),1,"")</x:f>
      </x:c>
      <x:c r="O36" s="167" t="str">
        <x:f>IF(AND(O$6&lt;=$H36,O$6+6&gt;=$G36),1,"")</x:f>
      </x:c>
      <x:c r="P36" s="167" t="str">
        <x:f>IF(AND(P$6&lt;=$H36,P$6+6&gt;=$G36),1,"")</x:f>
      </x:c>
      <x:c r="Q36" s="167" t="str">
        <x:f>IF(AND(Q$6&lt;=$H36,Q$6+6&gt;=$G36),1,"")</x:f>
      </x:c>
      <x:c r="R36" s="167" t="str">
        <x:f>IF(AND(R$6&lt;=$H36,R$6+6&gt;=$G36),1,"")</x:f>
      </x:c>
      <x:c r="S36" s="167" t="str">
        <x:f>IF(AND(S$6&lt;=$H36,S$6+6&gt;=$G36),1,"")</x:f>
      </x:c>
      <x:c r="T36" s="167" t="str">
        <x:f>IF(AND(T$6&lt;=$H36,T$6+6&gt;=$G36),1,"")</x:f>
      </x:c>
      <x:c r="U36" s="167" t="str">
        <x:f>IF(AND(U$6&lt;=$H36,U$6+6&gt;=$G36),1,"")</x:f>
      </x:c>
      <x:c r="V36" s="167" t="n">
        <x:f>IF(AND(V$6&lt;=$H36,V$6+6&gt;=$G36),1,"")</x:f>
        <x:v>1</x:v>
      </x:c>
      <x:c r="W36" s="167" t="n">
        <x:f>IF(AND(W$6&lt;=$H36,W$6+6&gt;=$G36),1,"")</x:f>
        <x:v>1</x:v>
      </x:c>
      <x:c r="X36" s="167" t="str">
        <x:f>IF(AND(X$6&lt;=$H36,X$6+6&gt;=$G36),1,"")</x:f>
      </x:c>
      <x:c r="Y36" s="167" t="str">
        <x:f>IF(AND(Y$6&lt;=$H36,Y$6+6&gt;=$G36),1,"")</x:f>
      </x:c>
      <x:c r="Z36" s="167" t="str">
        <x:f>IF(AND(Z$6&lt;=$H36,Z$6+6&gt;=$G36),1,"")</x:f>
      </x:c>
      <x:c r="AA36" s="167" t="str">
        <x:f>IF(AND(AA$6&lt;=$H36,AA$6+6&gt;=$G36),1,"")</x:f>
      </x:c>
      <x:c r="AB36" s="167" t="str">
        <x:f>IF(AND(AB$6&lt;=$H36,AB$6+6&gt;=$G36),1,"")</x:f>
      </x:c>
      <x:c r="AC36" s="167" t="str">
        <x:f>IF(AND(AC$6&lt;=$H36,AC$6+6&gt;=$G36),1,"")</x:f>
      </x:c>
      <x:c r="AD36" s="167" t="str">
        <x:f>IF(AND(AD$6&lt;=$H36,AD$6+6&gt;=$G36),1,"")</x:f>
      </x:c>
      <x:c r="AE36" s="167" t="str">
        <x:f>IF(AND(AE$6&lt;=$H36,AE$6+6&gt;=$G36),1,"")</x:f>
      </x:c>
      <x:c r="AF36" s="167" t="str">
        <x:f>IF(AND(AF$6&lt;=$H36,AF$6+6&gt;=$G36),1,"")</x:f>
      </x:c>
      <x:c r="AG36" s="167" t="str">
        <x:f>IF(AND(AG$6&lt;=$H36,AG$6+6&gt;=$G36),1,"")</x:f>
      </x:c>
      <x:c r="AH36" s="167" t="str">
        <x:f>IF(AND(AH$6&lt;=$H36,AH$6+6&gt;=$G36),1,"")</x:f>
      </x:c>
      <x:c r="AI36" s="167" t="str">
        <x:f>IF(AND(AI$6&lt;=$H36,AI$6+6&gt;=$G36),1,"")</x:f>
      </x:c>
      <x:c r="AJ36" s="167" t="str">
        <x:f>IF(AND(AJ$6&lt;=$H36,AJ$6+6&gt;=$G36),1,"")</x:f>
      </x:c>
      <x:c r="AK36" s="167" t="str">
        <x:f>IF(AND(AK$6&lt;=$H36,AK$6+6&gt;=$G36),1,"")</x:f>
      </x:c>
      <x:c r="AL36" s="167" t="str">
        <x:f>IF(AND(AL$6&lt;=$H36,AL$6+6&gt;=$G36),1,"")</x:f>
      </x:c>
      <x:c r="AM36" s="167" t="str">
        <x:f>IF(AND(AM$6&lt;=$H36,AM$6+6&gt;=$G36),1,"")</x:f>
      </x:c>
      <x:c r="AN36" s="167" t="str">
        <x:f>IF(AND(AN$6&lt;=$H36,AN$6+6&gt;=$G36),1,"")</x:f>
      </x:c>
      <x:c r="AO36" s="167" t="str">
        <x:f>IF(AND(AO$6&lt;=$H36,AO$6+6&gt;=$G36),1,"")</x:f>
      </x:c>
      <x:c r="AP36" s="167" t="str">
        <x:f>IF(AND(AP$6&lt;=$H36,AP$6+6&gt;=$G36),1,"")</x:f>
      </x:c>
      <x:c r="AQ36" s="167" t="str">
        <x:f>IF(AND(AQ$6&lt;=$H36,AQ$6+6&gt;=$G36),1,"")</x:f>
      </x:c>
      <x:c r="AR36" s="167" t="str">
        <x:f>IF(AND(AR$6&lt;=$H36,AR$6+6&gt;=$G36),1,"")</x:f>
      </x:c>
      <x:c r="AS36" s="167" t="str">
        <x:f>IF(AND(AS$6&lt;=$H36,AS$6+6&gt;=$G36),1,"")</x:f>
      </x:c>
      <x:c r="AT36" s="167" t="str">
        <x:f>IF(AND(AT$6&lt;=$H36,AT$6+6&gt;=$G36),1,"")</x:f>
      </x:c>
      <x:c r="AU36" s="167" t="str">
        <x:f>IF(AND(AU$6&lt;=$H36,AU$6+6&gt;=$G36),1,"")</x:f>
      </x:c>
      <x:c r="AV36" s="167" t="str">
        <x:f>IF(AND(AV$6&lt;=$H36,AV$6+6&gt;=$G36),1,"")</x:f>
      </x:c>
      <x:c r="AW36" s="167" t="str">
        <x:f>IF(AND(AW$6&lt;=$H36,AW$6+6&gt;=$G36),1,"")</x:f>
      </x:c>
      <x:c r="AX36" s="167" t="str">
        <x:f>IF(AND(AX$6&lt;=$H36,AX$6+6&gt;=$G36),1,"")</x:f>
      </x:c>
      <x:c r="AY36" s="167" t="str">
        <x:f>IF(AND(AY$6&lt;=$H36,AY$6+6&gt;=$G36),1,"")</x:f>
      </x:c>
      <x:c r="AZ36" s="167" t="str">
        <x:f>IF(AND(AZ$6&lt;=$H36,AZ$6+6&gt;=$G36),1,"")</x:f>
      </x:c>
      <x:c r="BA36" s="167" t="str">
        <x:f>IF(AND(BA$6&lt;=$H36,BA$6+6&gt;=$G36),1,"")</x:f>
      </x:c>
      <x:c r="BB36" s="167" t="str">
        <x:f>IF(AND(BB$6&lt;=$H36,BB$6+6&gt;=$G36),1,"")</x:f>
      </x:c>
      <x:c r="BC36" s="167" t="str">
        <x:f>IF(AND(BC$6&lt;=$H36,BC$6+6&gt;=$G36),1,"")</x:f>
      </x:c>
      <x:c r="BD36" s="167" t="str">
        <x:f>IF(AND(BD$6&lt;=$H36,BD$6+6&gt;=$G36),1,"")</x:f>
      </x:c>
      <x:c r="BE36" s="167" t="str">
        <x:f>IF(AND(BE$6&lt;=$H36,BE$6+6&gt;=$G36),1,"")</x:f>
      </x:c>
      <x:c r="BF36" s="167" t="str">
        <x:f>IF(AND(BF$6&lt;=$H36,BF$6+6&gt;=$G36),1,"")</x:f>
      </x:c>
      <x:c r="BG36" s="167" t="str">
        <x:f>IF(AND(BG$6&lt;=$H36,BG$6+6&gt;=$G36),1,"")</x:f>
      </x:c>
      <x:c r="BH36" s="167" t="str">
        <x:f>IF(AND(BH$6&lt;=$H36,BH$6+6&gt;=$G36),1,"")</x:f>
      </x:c>
      <x:c r="BI36" s="167" t="str">
        <x:f>IF(AND(BI$6&lt;=$H36,BI$6+6&gt;=$G36),1,"")</x:f>
      </x:c>
      <x:c r="BJ36" s="167" t="str">
        <x:f>IF(AND(BJ$6&lt;=$H36,BJ$6+6&gt;=$G36),1,"")</x:f>
      </x:c>
      <x:c r="BK36" s="167" t="str">
        <x:f>IF(AND(BK$6&lt;=$H36,BK$6+6&gt;=$G36),1,"")</x:f>
      </x:c>
      <x:c r="BL36" s="167" t="str">
        <x:f>IF(AND(BL$6&lt;=$H36,BL$6+6&gt;=$G36),1,"")</x:f>
      </x:c>
      <x:c r="BM36" s="167" t="str">
        <x:f>IF(AND(BM$6&lt;=$H36,BM$6+6&gt;=$G36),1,"")</x:f>
      </x:c>
      <x:c r="BN36" s="167" t="str">
        <x:f>IF(AND(BN$6&lt;=$H36,BN$6+6&gt;=$G36),1,"")</x:f>
      </x:c>
      <x:c r="BO36" s="168" t="str">
        <x:f>IF(AND(BO$6&lt;=$H36,BO$6+6&gt;=$G36),1,"")</x:f>
      </x:c>
    </x:row>
    <x:row r="37" ht="24" customHeight="1">
      <x:c r="A37" s="68" t="str">
        <x:f>'Task Register'!A35</x:f>
        <x:v>AI-210</x:v>
      </x:c>
      <x:c r="B37" s="68" t="str">
        <x:f>'Task Register'!B35</x:f>
        <x:v>M2</x:v>
      </x:c>
      <x:c r="C37" s="68" t="str">
        <x:f>'Task Register'!C35</x:f>
        <x:v>Hierarchical Inference/Validation</x:v>
      </x:c>
      <x:c r="D37" s="68" t="str">
        <x:f>'Task Register'!D35</x:f>
        <x:v>Validate slow-state temporal persistence</x:v>
      </x:c>
      <x:c r="E37" s="68" t="str">
        <x:f>'Task Register'!E35</x:f>
        <x:v>AI-207, AI-208, AI-209</x:v>
      </x:c>
      <x:c r="F37" s="68" t="str">
        <x:f>'Task Register'!F35</x:f>
        <x:v>Blocked</x:v>
      </x:c>
      <x:c r="G37" s="94" t="n">
        <x:f>'Task Register'!I35</x:f>
        <x:v>46336</x:v>
      </x:c>
      <x:c r="H37" s="94" t="n">
        <x:f>'Task Register'!J35</x:f>
        <x:v>46338</x:v>
      </x:c>
      <x:c r="I37" s="166" t="str">
        <x:f>IF(AND(I$6&lt;=$H37,I$6+6&gt;=$G37),1,"")</x:f>
      </x:c>
      <x:c r="J37" s="167" t="str">
        <x:f>IF(AND(J$6&lt;=$H37,J$6+6&gt;=$G37),1,"")</x:f>
      </x:c>
      <x:c r="K37" s="167" t="str">
        <x:f>IF(AND(K$6&lt;=$H37,K$6+6&gt;=$G37),1,"")</x:f>
      </x:c>
      <x:c r="L37" s="167" t="str">
        <x:f>IF(AND(L$6&lt;=$H37,L$6+6&gt;=$G37),1,"")</x:f>
      </x:c>
      <x:c r="M37" s="167" t="str">
        <x:f>IF(AND(M$6&lt;=$H37,M$6+6&gt;=$G37),1,"")</x:f>
      </x:c>
      <x:c r="N37" s="167" t="str">
        <x:f>IF(AND(N$6&lt;=$H37,N$6+6&gt;=$G37),1,"")</x:f>
      </x:c>
      <x:c r="O37" s="167" t="str">
        <x:f>IF(AND(O$6&lt;=$H37,O$6+6&gt;=$G37),1,"")</x:f>
      </x:c>
      <x:c r="P37" s="167" t="str">
        <x:f>IF(AND(P$6&lt;=$H37,P$6+6&gt;=$G37),1,"")</x:f>
      </x:c>
      <x:c r="Q37" s="167" t="str">
        <x:f>IF(AND(Q$6&lt;=$H37,Q$6+6&gt;=$G37),1,"")</x:f>
      </x:c>
      <x:c r="R37" s="167" t="str">
        <x:f>IF(AND(R$6&lt;=$H37,R$6+6&gt;=$G37),1,"")</x:f>
      </x:c>
      <x:c r="S37" s="167" t="str">
        <x:f>IF(AND(S$6&lt;=$H37,S$6+6&gt;=$G37),1,"")</x:f>
      </x:c>
      <x:c r="T37" s="167" t="str">
        <x:f>IF(AND(T$6&lt;=$H37,T$6+6&gt;=$G37),1,"")</x:f>
      </x:c>
      <x:c r="U37" s="167" t="str">
        <x:f>IF(AND(U$6&lt;=$H37,U$6+6&gt;=$G37),1,"")</x:f>
      </x:c>
      <x:c r="V37" s="167" t="str">
        <x:f>IF(AND(V$6&lt;=$H37,V$6+6&gt;=$G37),1,"")</x:f>
      </x:c>
      <x:c r="W37" s="167" t="n">
        <x:f>IF(AND(W$6&lt;=$H37,W$6+6&gt;=$G37),1,"")</x:f>
        <x:v>1</x:v>
      </x:c>
      <x:c r="X37" s="167" t="str">
        <x:f>IF(AND(X$6&lt;=$H37,X$6+6&gt;=$G37),1,"")</x:f>
      </x:c>
      <x:c r="Y37" s="167" t="str">
        <x:f>IF(AND(Y$6&lt;=$H37,Y$6+6&gt;=$G37),1,"")</x:f>
      </x:c>
      <x:c r="Z37" s="167" t="str">
        <x:f>IF(AND(Z$6&lt;=$H37,Z$6+6&gt;=$G37),1,"")</x:f>
      </x:c>
      <x:c r="AA37" s="167" t="str">
        <x:f>IF(AND(AA$6&lt;=$H37,AA$6+6&gt;=$G37),1,"")</x:f>
      </x:c>
      <x:c r="AB37" s="167" t="str">
        <x:f>IF(AND(AB$6&lt;=$H37,AB$6+6&gt;=$G37),1,"")</x:f>
      </x:c>
      <x:c r="AC37" s="167" t="str">
        <x:f>IF(AND(AC$6&lt;=$H37,AC$6+6&gt;=$G37),1,"")</x:f>
      </x:c>
      <x:c r="AD37" s="167" t="str">
        <x:f>IF(AND(AD$6&lt;=$H37,AD$6+6&gt;=$G37),1,"")</x:f>
      </x:c>
      <x:c r="AE37" s="167" t="str">
        <x:f>IF(AND(AE$6&lt;=$H37,AE$6+6&gt;=$G37),1,"")</x:f>
      </x:c>
      <x:c r="AF37" s="167" t="str">
        <x:f>IF(AND(AF$6&lt;=$H37,AF$6+6&gt;=$G37),1,"")</x:f>
      </x:c>
      <x:c r="AG37" s="167" t="str">
        <x:f>IF(AND(AG$6&lt;=$H37,AG$6+6&gt;=$G37),1,"")</x:f>
      </x:c>
      <x:c r="AH37" s="167" t="str">
        <x:f>IF(AND(AH$6&lt;=$H37,AH$6+6&gt;=$G37),1,"")</x:f>
      </x:c>
      <x:c r="AI37" s="167" t="str">
        <x:f>IF(AND(AI$6&lt;=$H37,AI$6+6&gt;=$G37),1,"")</x:f>
      </x:c>
      <x:c r="AJ37" s="167" t="str">
        <x:f>IF(AND(AJ$6&lt;=$H37,AJ$6+6&gt;=$G37),1,"")</x:f>
      </x:c>
      <x:c r="AK37" s="167" t="str">
        <x:f>IF(AND(AK$6&lt;=$H37,AK$6+6&gt;=$G37),1,"")</x:f>
      </x:c>
      <x:c r="AL37" s="167" t="str">
        <x:f>IF(AND(AL$6&lt;=$H37,AL$6+6&gt;=$G37),1,"")</x:f>
      </x:c>
      <x:c r="AM37" s="167" t="str">
        <x:f>IF(AND(AM$6&lt;=$H37,AM$6+6&gt;=$G37),1,"")</x:f>
      </x:c>
      <x:c r="AN37" s="167" t="str">
        <x:f>IF(AND(AN$6&lt;=$H37,AN$6+6&gt;=$G37),1,"")</x:f>
      </x:c>
      <x:c r="AO37" s="167" t="str">
        <x:f>IF(AND(AO$6&lt;=$H37,AO$6+6&gt;=$G37),1,"")</x:f>
      </x:c>
      <x:c r="AP37" s="167" t="str">
        <x:f>IF(AND(AP$6&lt;=$H37,AP$6+6&gt;=$G37),1,"")</x:f>
      </x:c>
      <x:c r="AQ37" s="167" t="str">
        <x:f>IF(AND(AQ$6&lt;=$H37,AQ$6+6&gt;=$G37),1,"")</x:f>
      </x:c>
      <x:c r="AR37" s="167" t="str">
        <x:f>IF(AND(AR$6&lt;=$H37,AR$6+6&gt;=$G37),1,"")</x:f>
      </x:c>
      <x:c r="AS37" s="167" t="str">
        <x:f>IF(AND(AS$6&lt;=$H37,AS$6+6&gt;=$G37),1,"")</x:f>
      </x:c>
      <x:c r="AT37" s="167" t="str">
        <x:f>IF(AND(AT$6&lt;=$H37,AT$6+6&gt;=$G37),1,"")</x:f>
      </x:c>
      <x:c r="AU37" s="167" t="str">
        <x:f>IF(AND(AU$6&lt;=$H37,AU$6+6&gt;=$G37),1,"")</x:f>
      </x:c>
      <x:c r="AV37" s="167" t="str">
        <x:f>IF(AND(AV$6&lt;=$H37,AV$6+6&gt;=$G37),1,"")</x:f>
      </x:c>
      <x:c r="AW37" s="167" t="str">
        <x:f>IF(AND(AW$6&lt;=$H37,AW$6+6&gt;=$G37),1,"")</x:f>
      </x:c>
      <x:c r="AX37" s="167" t="str">
        <x:f>IF(AND(AX$6&lt;=$H37,AX$6+6&gt;=$G37),1,"")</x:f>
      </x:c>
      <x:c r="AY37" s="167" t="str">
        <x:f>IF(AND(AY$6&lt;=$H37,AY$6+6&gt;=$G37),1,"")</x:f>
      </x:c>
      <x:c r="AZ37" s="167" t="str">
        <x:f>IF(AND(AZ$6&lt;=$H37,AZ$6+6&gt;=$G37),1,"")</x:f>
      </x:c>
      <x:c r="BA37" s="167" t="str">
        <x:f>IF(AND(BA$6&lt;=$H37,BA$6+6&gt;=$G37),1,"")</x:f>
      </x:c>
      <x:c r="BB37" s="167" t="str">
        <x:f>IF(AND(BB$6&lt;=$H37,BB$6+6&gt;=$G37),1,"")</x:f>
      </x:c>
      <x:c r="BC37" s="167" t="str">
        <x:f>IF(AND(BC$6&lt;=$H37,BC$6+6&gt;=$G37),1,"")</x:f>
      </x:c>
      <x:c r="BD37" s="167" t="str">
        <x:f>IF(AND(BD$6&lt;=$H37,BD$6+6&gt;=$G37),1,"")</x:f>
      </x:c>
      <x:c r="BE37" s="167" t="str">
        <x:f>IF(AND(BE$6&lt;=$H37,BE$6+6&gt;=$G37),1,"")</x:f>
      </x:c>
      <x:c r="BF37" s="167" t="str">
        <x:f>IF(AND(BF$6&lt;=$H37,BF$6+6&gt;=$G37),1,"")</x:f>
      </x:c>
      <x:c r="BG37" s="167" t="str">
        <x:f>IF(AND(BG$6&lt;=$H37,BG$6+6&gt;=$G37),1,"")</x:f>
      </x:c>
      <x:c r="BH37" s="167" t="str">
        <x:f>IF(AND(BH$6&lt;=$H37,BH$6+6&gt;=$G37),1,"")</x:f>
      </x:c>
      <x:c r="BI37" s="167" t="str">
        <x:f>IF(AND(BI$6&lt;=$H37,BI$6+6&gt;=$G37),1,"")</x:f>
      </x:c>
      <x:c r="BJ37" s="167" t="str">
        <x:f>IF(AND(BJ$6&lt;=$H37,BJ$6+6&gt;=$G37),1,"")</x:f>
      </x:c>
      <x:c r="BK37" s="167" t="str">
        <x:f>IF(AND(BK$6&lt;=$H37,BK$6+6&gt;=$G37),1,"")</x:f>
      </x:c>
      <x:c r="BL37" s="167" t="str">
        <x:f>IF(AND(BL$6&lt;=$H37,BL$6+6&gt;=$G37),1,"")</x:f>
      </x:c>
      <x:c r="BM37" s="167" t="str">
        <x:f>IF(AND(BM$6&lt;=$H37,BM$6+6&gt;=$G37),1,"")</x:f>
      </x:c>
      <x:c r="BN37" s="167" t="str">
        <x:f>IF(AND(BN$6&lt;=$H37,BN$6+6&gt;=$G37),1,"")</x:f>
      </x:c>
      <x:c r="BO37" s="168" t="str">
        <x:f>IF(AND(BO$6&lt;=$H37,BO$6+6&gt;=$G37),1,"")</x:f>
      </x:c>
    </x:row>
    <x:row r="38" ht="24" customHeight="1">
      <x:c r="A38" s="68" t="str">
        <x:f>'Task Register'!A36</x:f>
        <x:v>AI-211</x:v>
      </x:c>
      <x:c r="B38" s="68" t="str">
        <x:f>'Task Register'!B36</x:f>
        <x:v>M2</x:v>
      </x:c>
      <x:c r="C38" s="68" t="str">
        <x:f>'Task Register'!C36</x:f>
        <x:v>Preferences</x:v>
      </x:c>
      <x:c r="D38" s="68" t="str">
        <x:f>'Task Register'!D36</x:f>
        <x:v>Implement the M1 structural-preference decision</x:v>
      </x:c>
      <x:c r="E38" s="68" t="str">
        <x:f>'Task Register'!E36</x:f>
        <x:v>AI-110, AI-208, AI-210</x:v>
      </x:c>
      <x:c r="F38" s="68" t="str">
        <x:f>'Task Register'!F36</x:f>
        <x:v>Blocked</x:v>
      </x:c>
      <x:c r="G38" s="94" t="n">
        <x:f>'Task Register'!I36</x:f>
        <x:v>46339</x:v>
      </x:c>
      <x:c r="H38" s="94" t="n">
        <x:f>'Task Register'!J36</x:f>
        <x:v>46343</x:v>
      </x:c>
      <x:c r="I38" s="166" t="str">
        <x:f>IF(AND(I$6&lt;=$H38,I$6+6&gt;=$G38),1,"")</x:f>
      </x:c>
      <x:c r="J38" s="167" t="str">
        <x:f>IF(AND(J$6&lt;=$H38,J$6+6&gt;=$G38),1,"")</x:f>
      </x:c>
      <x:c r="K38" s="167" t="str">
        <x:f>IF(AND(K$6&lt;=$H38,K$6+6&gt;=$G38),1,"")</x:f>
      </x:c>
      <x:c r="L38" s="167" t="str">
        <x:f>IF(AND(L$6&lt;=$H38,L$6+6&gt;=$G38),1,"")</x:f>
      </x:c>
      <x:c r="M38" s="167" t="str">
        <x:f>IF(AND(M$6&lt;=$H38,M$6+6&gt;=$G38),1,"")</x:f>
      </x:c>
      <x:c r="N38" s="167" t="str">
        <x:f>IF(AND(N$6&lt;=$H38,N$6+6&gt;=$G38),1,"")</x:f>
      </x:c>
      <x:c r="O38" s="167" t="str">
        <x:f>IF(AND(O$6&lt;=$H38,O$6+6&gt;=$G38),1,"")</x:f>
      </x:c>
      <x:c r="P38" s="167" t="str">
        <x:f>IF(AND(P$6&lt;=$H38,P$6+6&gt;=$G38),1,"")</x:f>
      </x:c>
      <x:c r="Q38" s="167" t="str">
        <x:f>IF(AND(Q$6&lt;=$H38,Q$6+6&gt;=$G38),1,"")</x:f>
      </x:c>
      <x:c r="R38" s="167" t="str">
        <x:f>IF(AND(R$6&lt;=$H38,R$6+6&gt;=$G38),1,"")</x:f>
      </x:c>
      <x:c r="S38" s="167" t="str">
        <x:f>IF(AND(S$6&lt;=$H38,S$6+6&gt;=$G38),1,"")</x:f>
      </x:c>
      <x:c r="T38" s="167" t="str">
        <x:f>IF(AND(T$6&lt;=$H38,T$6+6&gt;=$G38),1,"")</x:f>
      </x:c>
      <x:c r="U38" s="167" t="str">
        <x:f>IF(AND(U$6&lt;=$H38,U$6+6&gt;=$G38),1,"")</x:f>
      </x:c>
      <x:c r="V38" s="167" t="str">
        <x:f>IF(AND(V$6&lt;=$H38,V$6+6&gt;=$G38),1,"")</x:f>
      </x:c>
      <x:c r="W38" s="167" t="n">
        <x:f>IF(AND(W$6&lt;=$H38,W$6+6&gt;=$G38),1,"")</x:f>
        <x:v>1</x:v>
      </x:c>
      <x:c r="X38" s="167" t="n">
        <x:f>IF(AND(X$6&lt;=$H38,X$6+6&gt;=$G38),1,"")</x:f>
        <x:v>1</x:v>
      </x:c>
      <x:c r="Y38" s="167" t="str">
        <x:f>IF(AND(Y$6&lt;=$H38,Y$6+6&gt;=$G38),1,"")</x:f>
      </x:c>
      <x:c r="Z38" s="167" t="str">
        <x:f>IF(AND(Z$6&lt;=$H38,Z$6+6&gt;=$G38),1,"")</x:f>
      </x:c>
      <x:c r="AA38" s="167" t="str">
        <x:f>IF(AND(AA$6&lt;=$H38,AA$6+6&gt;=$G38),1,"")</x:f>
      </x:c>
      <x:c r="AB38" s="167" t="str">
        <x:f>IF(AND(AB$6&lt;=$H38,AB$6+6&gt;=$G38),1,"")</x:f>
      </x:c>
      <x:c r="AC38" s="167" t="str">
        <x:f>IF(AND(AC$6&lt;=$H38,AC$6+6&gt;=$G38),1,"")</x:f>
      </x:c>
      <x:c r="AD38" s="167" t="str">
        <x:f>IF(AND(AD$6&lt;=$H38,AD$6+6&gt;=$G38),1,"")</x:f>
      </x:c>
      <x:c r="AE38" s="167" t="str">
        <x:f>IF(AND(AE$6&lt;=$H38,AE$6+6&gt;=$G38),1,"")</x:f>
      </x:c>
      <x:c r="AF38" s="167" t="str">
        <x:f>IF(AND(AF$6&lt;=$H38,AF$6+6&gt;=$G38),1,"")</x:f>
      </x:c>
      <x:c r="AG38" s="167" t="str">
        <x:f>IF(AND(AG$6&lt;=$H38,AG$6+6&gt;=$G38),1,"")</x:f>
      </x:c>
      <x:c r="AH38" s="167" t="str">
        <x:f>IF(AND(AH$6&lt;=$H38,AH$6+6&gt;=$G38),1,"")</x:f>
      </x:c>
      <x:c r="AI38" s="167" t="str">
        <x:f>IF(AND(AI$6&lt;=$H38,AI$6+6&gt;=$G38),1,"")</x:f>
      </x:c>
      <x:c r="AJ38" s="167" t="str">
        <x:f>IF(AND(AJ$6&lt;=$H38,AJ$6+6&gt;=$G38),1,"")</x:f>
      </x:c>
      <x:c r="AK38" s="167" t="str">
        <x:f>IF(AND(AK$6&lt;=$H38,AK$6+6&gt;=$G38),1,"")</x:f>
      </x:c>
      <x:c r="AL38" s="167" t="str">
        <x:f>IF(AND(AL$6&lt;=$H38,AL$6+6&gt;=$G38),1,"")</x:f>
      </x:c>
      <x:c r="AM38" s="167" t="str">
        <x:f>IF(AND(AM$6&lt;=$H38,AM$6+6&gt;=$G38),1,"")</x:f>
      </x:c>
      <x:c r="AN38" s="167" t="str">
        <x:f>IF(AND(AN$6&lt;=$H38,AN$6+6&gt;=$G38),1,"")</x:f>
      </x:c>
      <x:c r="AO38" s="167" t="str">
        <x:f>IF(AND(AO$6&lt;=$H38,AO$6+6&gt;=$G38),1,"")</x:f>
      </x:c>
      <x:c r="AP38" s="167" t="str">
        <x:f>IF(AND(AP$6&lt;=$H38,AP$6+6&gt;=$G38),1,"")</x:f>
      </x:c>
      <x:c r="AQ38" s="167" t="str">
        <x:f>IF(AND(AQ$6&lt;=$H38,AQ$6+6&gt;=$G38),1,"")</x:f>
      </x:c>
      <x:c r="AR38" s="167" t="str">
        <x:f>IF(AND(AR$6&lt;=$H38,AR$6+6&gt;=$G38),1,"")</x:f>
      </x:c>
      <x:c r="AS38" s="167" t="str">
        <x:f>IF(AND(AS$6&lt;=$H38,AS$6+6&gt;=$G38),1,"")</x:f>
      </x:c>
      <x:c r="AT38" s="167" t="str">
        <x:f>IF(AND(AT$6&lt;=$H38,AT$6+6&gt;=$G38),1,"")</x:f>
      </x:c>
      <x:c r="AU38" s="167" t="str">
        <x:f>IF(AND(AU$6&lt;=$H38,AU$6+6&gt;=$G38),1,"")</x:f>
      </x:c>
      <x:c r="AV38" s="167" t="str">
        <x:f>IF(AND(AV$6&lt;=$H38,AV$6+6&gt;=$G38),1,"")</x:f>
      </x:c>
      <x:c r="AW38" s="167" t="str">
        <x:f>IF(AND(AW$6&lt;=$H38,AW$6+6&gt;=$G38),1,"")</x:f>
      </x:c>
      <x:c r="AX38" s="167" t="str">
        <x:f>IF(AND(AX$6&lt;=$H38,AX$6+6&gt;=$G38),1,"")</x:f>
      </x:c>
      <x:c r="AY38" s="167" t="str">
        <x:f>IF(AND(AY$6&lt;=$H38,AY$6+6&gt;=$G38),1,"")</x:f>
      </x:c>
      <x:c r="AZ38" s="167" t="str">
        <x:f>IF(AND(AZ$6&lt;=$H38,AZ$6+6&gt;=$G38),1,"")</x:f>
      </x:c>
      <x:c r="BA38" s="167" t="str">
        <x:f>IF(AND(BA$6&lt;=$H38,BA$6+6&gt;=$G38),1,"")</x:f>
      </x:c>
      <x:c r="BB38" s="167" t="str">
        <x:f>IF(AND(BB$6&lt;=$H38,BB$6+6&gt;=$G38),1,"")</x:f>
      </x:c>
      <x:c r="BC38" s="167" t="str">
        <x:f>IF(AND(BC$6&lt;=$H38,BC$6+6&gt;=$G38),1,"")</x:f>
      </x:c>
      <x:c r="BD38" s="167" t="str">
        <x:f>IF(AND(BD$6&lt;=$H38,BD$6+6&gt;=$G38),1,"")</x:f>
      </x:c>
      <x:c r="BE38" s="167" t="str">
        <x:f>IF(AND(BE$6&lt;=$H38,BE$6+6&gt;=$G38),1,"")</x:f>
      </x:c>
      <x:c r="BF38" s="167" t="str">
        <x:f>IF(AND(BF$6&lt;=$H38,BF$6+6&gt;=$G38),1,"")</x:f>
      </x:c>
      <x:c r="BG38" s="167" t="str">
        <x:f>IF(AND(BG$6&lt;=$H38,BG$6+6&gt;=$G38),1,"")</x:f>
      </x:c>
      <x:c r="BH38" s="167" t="str">
        <x:f>IF(AND(BH$6&lt;=$H38,BH$6+6&gt;=$G38),1,"")</x:f>
      </x:c>
      <x:c r="BI38" s="167" t="str">
        <x:f>IF(AND(BI$6&lt;=$H38,BI$6+6&gt;=$G38),1,"")</x:f>
      </x:c>
      <x:c r="BJ38" s="167" t="str">
        <x:f>IF(AND(BJ$6&lt;=$H38,BJ$6+6&gt;=$G38),1,"")</x:f>
      </x:c>
      <x:c r="BK38" s="167" t="str">
        <x:f>IF(AND(BK$6&lt;=$H38,BK$6+6&gt;=$G38),1,"")</x:f>
      </x:c>
      <x:c r="BL38" s="167" t="str">
        <x:f>IF(AND(BL$6&lt;=$H38,BL$6+6&gt;=$G38),1,"")</x:f>
      </x:c>
      <x:c r="BM38" s="167" t="str">
        <x:f>IF(AND(BM$6&lt;=$H38,BM$6+6&gt;=$G38),1,"")</x:f>
      </x:c>
      <x:c r="BN38" s="167" t="str">
        <x:f>IF(AND(BN$6&lt;=$H38,BN$6+6&gt;=$G38),1,"")</x:f>
      </x:c>
      <x:c r="BO38" s="168" t="str">
        <x:f>IF(AND(BO$6&lt;=$H38,BO$6+6&gt;=$G38),1,"")</x:f>
      </x:c>
    </x:row>
    <x:row r="39" ht="24" customHeight="1">
      <x:c r="A39" s="68" t="str">
        <x:f>'Task Register'!A37</x:f>
        <x:v>AI-212</x:v>
      </x:c>
      <x:c r="B39" s="68" t="str">
        <x:f>'Task Register'!B37</x:f>
        <x:v>M2</x:v>
      </x:c>
      <x:c r="C39" s="68" t="str">
        <x:f>'Task Register'!C37</x:f>
        <x:v>Continual Learning</x:v>
      </x:c>
      <x:c r="D39" s="68" t="str">
        <x:f>'Task Register'!D37</x:f>
        <x:v>Separate shared pretraining from individual development</x:v>
      </x:c>
      <x:c r="E39" s="68" t="str">
        <x:f>'Task Register'!E37</x:f>
        <x:v>AI-112, AI-205, AI-210</x:v>
      </x:c>
      <x:c r="F39" s="68" t="str">
        <x:f>'Task Register'!F37</x:f>
        <x:v>Blocked</x:v>
      </x:c>
      <x:c r="G39" s="94" t="n">
        <x:f>'Task Register'!I37</x:f>
        <x:v>46344</x:v>
      </x:c>
      <x:c r="H39" s="94" t="n">
        <x:f>'Task Register'!J37</x:f>
        <x:v>46346</x:v>
      </x:c>
      <x:c r="I39" s="166" t="str">
        <x:f>IF(AND(I$6&lt;=$H39,I$6+6&gt;=$G39),1,"")</x:f>
      </x:c>
      <x:c r="J39" s="167" t="str">
        <x:f>IF(AND(J$6&lt;=$H39,J$6+6&gt;=$G39),1,"")</x:f>
      </x:c>
      <x:c r="K39" s="167" t="str">
        <x:f>IF(AND(K$6&lt;=$H39,K$6+6&gt;=$G39),1,"")</x:f>
      </x:c>
      <x:c r="L39" s="167" t="str">
        <x:f>IF(AND(L$6&lt;=$H39,L$6+6&gt;=$G39),1,"")</x:f>
      </x:c>
      <x:c r="M39" s="167" t="str">
        <x:f>IF(AND(M$6&lt;=$H39,M$6+6&gt;=$G39),1,"")</x:f>
      </x:c>
      <x:c r="N39" s="167" t="str">
        <x:f>IF(AND(N$6&lt;=$H39,N$6+6&gt;=$G39),1,"")</x:f>
      </x:c>
      <x:c r="O39" s="167" t="str">
        <x:f>IF(AND(O$6&lt;=$H39,O$6+6&gt;=$G39),1,"")</x:f>
      </x:c>
      <x:c r="P39" s="167" t="str">
        <x:f>IF(AND(P$6&lt;=$H39,P$6+6&gt;=$G39),1,"")</x:f>
      </x:c>
      <x:c r="Q39" s="167" t="str">
        <x:f>IF(AND(Q$6&lt;=$H39,Q$6+6&gt;=$G39),1,"")</x:f>
      </x:c>
      <x:c r="R39" s="167" t="str">
        <x:f>IF(AND(R$6&lt;=$H39,R$6+6&gt;=$G39),1,"")</x:f>
      </x:c>
      <x:c r="S39" s="167" t="str">
        <x:f>IF(AND(S$6&lt;=$H39,S$6+6&gt;=$G39),1,"")</x:f>
      </x:c>
      <x:c r="T39" s="167" t="str">
        <x:f>IF(AND(T$6&lt;=$H39,T$6+6&gt;=$G39),1,"")</x:f>
      </x:c>
      <x:c r="U39" s="167" t="str">
        <x:f>IF(AND(U$6&lt;=$H39,U$6+6&gt;=$G39),1,"")</x:f>
      </x:c>
      <x:c r="V39" s="167" t="str">
        <x:f>IF(AND(V$6&lt;=$H39,V$6+6&gt;=$G39),1,"")</x:f>
      </x:c>
      <x:c r="W39" s="167" t="str">
        <x:f>IF(AND(W$6&lt;=$H39,W$6+6&gt;=$G39),1,"")</x:f>
      </x:c>
      <x:c r="X39" s="167" t="n">
        <x:f>IF(AND(X$6&lt;=$H39,X$6+6&gt;=$G39),1,"")</x:f>
        <x:v>1</x:v>
      </x:c>
      <x:c r="Y39" s="167" t="str">
        <x:f>IF(AND(Y$6&lt;=$H39,Y$6+6&gt;=$G39),1,"")</x:f>
      </x:c>
      <x:c r="Z39" s="167" t="str">
        <x:f>IF(AND(Z$6&lt;=$H39,Z$6+6&gt;=$G39),1,"")</x:f>
      </x:c>
      <x:c r="AA39" s="167" t="str">
        <x:f>IF(AND(AA$6&lt;=$H39,AA$6+6&gt;=$G39),1,"")</x:f>
      </x:c>
      <x:c r="AB39" s="167" t="str">
        <x:f>IF(AND(AB$6&lt;=$H39,AB$6+6&gt;=$G39),1,"")</x:f>
      </x:c>
      <x:c r="AC39" s="167" t="str">
        <x:f>IF(AND(AC$6&lt;=$H39,AC$6+6&gt;=$G39),1,"")</x:f>
      </x:c>
      <x:c r="AD39" s="167" t="str">
        <x:f>IF(AND(AD$6&lt;=$H39,AD$6+6&gt;=$G39),1,"")</x:f>
      </x:c>
      <x:c r="AE39" s="167" t="str">
        <x:f>IF(AND(AE$6&lt;=$H39,AE$6+6&gt;=$G39),1,"")</x:f>
      </x:c>
      <x:c r="AF39" s="167" t="str">
        <x:f>IF(AND(AF$6&lt;=$H39,AF$6+6&gt;=$G39),1,"")</x:f>
      </x:c>
      <x:c r="AG39" s="167" t="str">
        <x:f>IF(AND(AG$6&lt;=$H39,AG$6+6&gt;=$G39),1,"")</x:f>
      </x:c>
      <x:c r="AH39" s="167" t="str">
        <x:f>IF(AND(AH$6&lt;=$H39,AH$6+6&gt;=$G39),1,"")</x:f>
      </x:c>
      <x:c r="AI39" s="167" t="str">
        <x:f>IF(AND(AI$6&lt;=$H39,AI$6+6&gt;=$G39),1,"")</x:f>
      </x:c>
      <x:c r="AJ39" s="167" t="str">
        <x:f>IF(AND(AJ$6&lt;=$H39,AJ$6+6&gt;=$G39),1,"")</x:f>
      </x:c>
      <x:c r="AK39" s="167" t="str">
        <x:f>IF(AND(AK$6&lt;=$H39,AK$6+6&gt;=$G39),1,"")</x:f>
      </x:c>
      <x:c r="AL39" s="167" t="str">
        <x:f>IF(AND(AL$6&lt;=$H39,AL$6+6&gt;=$G39),1,"")</x:f>
      </x:c>
      <x:c r="AM39" s="167" t="str">
        <x:f>IF(AND(AM$6&lt;=$H39,AM$6+6&gt;=$G39),1,"")</x:f>
      </x:c>
      <x:c r="AN39" s="167" t="str">
        <x:f>IF(AND(AN$6&lt;=$H39,AN$6+6&gt;=$G39),1,"")</x:f>
      </x:c>
      <x:c r="AO39" s="167" t="str">
        <x:f>IF(AND(AO$6&lt;=$H39,AO$6+6&gt;=$G39),1,"")</x:f>
      </x:c>
      <x:c r="AP39" s="167" t="str">
        <x:f>IF(AND(AP$6&lt;=$H39,AP$6+6&gt;=$G39),1,"")</x:f>
      </x:c>
      <x:c r="AQ39" s="167" t="str">
        <x:f>IF(AND(AQ$6&lt;=$H39,AQ$6+6&gt;=$G39),1,"")</x:f>
      </x:c>
      <x:c r="AR39" s="167" t="str">
        <x:f>IF(AND(AR$6&lt;=$H39,AR$6+6&gt;=$G39),1,"")</x:f>
      </x:c>
      <x:c r="AS39" s="167" t="str">
        <x:f>IF(AND(AS$6&lt;=$H39,AS$6+6&gt;=$G39),1,"")</x:f>
      </x:c>
      <x:c r="AT39" s="167" t="str">
        <x:f>IF(AND(AT$6&lt;=$H39,AT$6+6&gt;=$G39),1,"")</x:f>
      </x:c>
      <x:c r="AU39" s="167" t="str">
        <x:f>IF(AND(AU$6&lt;=$H39,AU$6+6&gt;=$G39),1,"")</x:f>
      </x:c>
      <x:c r="AV39" s="167" t="str">
        <x:f>IF(AND(AV$6&lt;=$H39,AV$6+6&gt;=$G39),1,"")</x:f>
      </x:c>
      <x:c r="AW39" s="167" t="str">
        <x:f>IF(AND(AW$6&lt;=$H39,AW$6+6&gt;=$G39),1,"")</x:f>
      </x:c>
      <x:c r="AX39" s="167" t="str">
        <x:f>IF(AND(AX$6&lt;=$H39,AX$6+6&gt;=$G39),1,"")</x:f>
      </x:c>
      <x:c r="AY39" s="167" t="str">
        <x:f>IF(AND(AY$6&lt;=$H39,AY$6+6&gt;=$G39),1,"")</x:f>
      </x:c>
      <x:c r="AZ39" s="167" t="str">
        <x:f>IF(AND(AZ$6&lt;=$H39,AZ$6+6&gt;=$G39),1,"")</x:f>
      </x:c>
      <x:c r="BA39" s="167" t="str">
        <x:f>IF(AND(BA$6&lt;=$H39,BA$6+6&gt;=$G39),1,"")</x:f>
      </x:c>
      <x:c r="BB39" s="167" t="str">
        <x:f>IF(AND(BB$6&lt;=$H39,BB$6+6&gt;=$G39),1,"")</x:f>
      </x:c>
      <x:c r="BC39" s="167" t="str">
        <x:f>IF(AND(BC$6&lt;=$H39,BC$6+6&gt;=$G39),1,"")</x:f>
      </x:c>
      <x:c r="BD39" s="167" t="str">
        <x:f>IF(AND(BD$6&lt;=$H39,BD$6+6&gt;=$G39),1,"")</x:f>
      </x:c>
      <x:c r="BE39" s="167" t="str">
        <x:f>IF(AND(BE$6&lt;=$H39,BE$6+6&gt;=$G39),1,"")</x:f>
      </x:c>
      <x:c r="BF39" s="167" t="str">
        <x:f>IF(AND(BF$6&lt;=$H39,BF$6+6&gt;=$G39),1,"")</x:f>
      </x:c>
      <x:c r="BG39" s="167" t="str">
        <x:f>IF(AND(BG$6&lt;=$H39,BG$6+6&gt;=$G39),1,"")</x:f>
      </x:c>
      <x:c r="BH39" s="167" t="str">
        <x:f>IF(AND(BH$6&lt;=$H39,BH$6+6&gt;=$G39),1,"")</x:f>
      </x:c>
      <x:c r="BI39" s="167" t="str">
        <x:f>IF(AND(BI$6&lt;=$H39,BI$6+6&gt;=$G39),1,"")</x:f>
      </x:c>
      <x:c r="BJ39" s="167" t="str">
        <x:f>IF(AND(BJ$6&lt;=$H39,BJ$6+6&gt;=$G39),1,"")</x:f>
      </x:c>
      <x:c r="BK39" s="167" t="str">
        <x:f>IF(AND(BK$6&lt;=$H39,BK$6+6&gt;=$G39),1,"")</x:f>
      </x:c>
      <x:c r="BL39" s="167" t="str">
        <x:f>IF(AND(BL$6&lt;=$H39,BL$6+6&gt;=$G39),1,"")</x:f>
      </x:c>
      <x:c r="BM39" s="167" t="str">
        <x:f>IF(AND(BM$6&lt;=$H39,BM$6+6&gt;=$G39),1,"")</x:f>
      </x:c>
      <x:c r="BN39" s="167" t="str">
        <x:f>IF(AND(BN$6&lt;=$H39,BN$6+6&gt;=$G39),1,"")</x:f>
      </x:c>
      <x:c r="BO39" s="168" t="str">
        <x:f>IF(AND(BO$6&lt;=$H39,BO$6+6&gt;=$G39),1,"")</x:f>
      </x:c>
    </x:row>
    <x:row r="40" ht="24" customHeight="1">
      <x:c r="A40" s="68" t="str">
        <x:f>'Task Register'!A38</x:f>
        <x:v>AI-213</x:v>
      </x:c>
      <x:c r="B40" s="68" t="str">
        <x:f>'Task Register'!B38</x:f>
        <x:v>M2</x:v>
      </x:c>
      <x:c r="C40" s="68" t="str">
        <x:f>'Task Register'!C38</x:f>
        <x:v>Performance/Data</x:v>
      </x:c>
      <x:c r="D40" s="68" t="str">
        <x:f>'Task Register'!D38</x:f>
        <x:v>Build the affordable parallel data and training path</x:v>
      </x:c>
      <x:c r="E40" s="68" t="str">
        <x:f>'Task Register'!E38</x:f>
        <x:v>AI-113, AI-205, AI-212</x:v>
      </x:c>
      <x:c r="F40" s="68" t="str">
        <x:f>'Task Register'!F38</x:f>
        <x:v>Blocked</x:v>
      </x:c>
      <x:c r="G40" s="94" t="n">
        <x:f>'Task Register'!I38</x:f>
        <x:v>46349</x:v>
      </x:c>
      <x:c r="H40" s="94" t="n">
        <x:f>'Task Register'!J38</x:f>
        <x:v>46352</x:v>
      </x:c>
      <x:c r="I40" s="166" t="str">
        <x:f>IF(AND(I$6&lt;=$H40,I$6+6&gt;=$G40),1,"")</x:f>
      </x:c>
      <x:c r="J40" s="167" t="str">
        <x:f>IF(AND(J$6&lt;=$H40,J$6+6&gt;=$G40),1,"")</x:f>
      </x:c>
      <x:c r="K40" s="167" t="str">
        <x:f>IF(AND(K$6&lt;=$H40,K$6+6&gt;=$G40),1,"")</x:f>
      </x:c>
      <x:c r="L40" s="167" t="str">
        <x:f>IF(AND(L$6&lt;=$H40,L$6+6&gt;=$G40),1,"")</x:f>
      </x:c>
      <x:c r="M40" s="167" t="str">
        <x:f>IF(AND(M$6&lt;=$H40,M$6+6&gt;=$G40),1,"")</x:f>
      </x:c>
      <x:c r="N40" s="167" t="str">
        <x:f>IF(AND(N$6&lt;=$H40,N$6+6&gt;=$G40),1,"")</x:f>
      </x:c>
      <x:c r="O40" s="167" t="str">
        <x:f>IF(AND(O$6&lt;=$H40,O$6+6&gt;=$G40),1,"")</x:f>
      </x:c>
      <x:c r="P40" s="167" t="str">
        <x:f>IF(AND(P$6&lt;=$H40,P$6+6&gt;=$G40),1,"")</x:f>
      </x:c>
      <x:c r="Q40" s="167" t="str">
        <x:f>IF(AND(Q$6&lt;=$H40,Q$6+6&gt;=$G40),1,"")</x:f>
      </x:c>
      <x:c r="R40" s="167" t="str">
        <x:f>IF(AND(R$6&lt;=$H40,R$6+6&gt;=$G40),1,"")</x:f>
      </x:c>
      <x:c r="S40" s="167" t="str">
        <x:f>IF(AND(S$6&lt;=$H40,S$6+6&gt;=$G40),1,"")</x:f>
      </x:c>
      <x:c r="T40" s="167" t="str">
        <x:f>IF(AND(T$6&lt;=$H40,T$6+6&gt;=$G40),1,"")</x:f>
      </x:c>
      <x:c r="U40" s="167" t="str">
        <x:f>IF(AND(U$6&lt;=$H40,U$6+6&gt;=$G40),1,"")</x:f>
      </x:c>
      <x:c r="V40" s="167" t="str">
        <x:f>IF(AND(V$6&lt;=$H40,V$6+6&gt;=$G40),1,"")</x:f>
      </x:c>
      <x:c r="W40" s="167" t="str">
        <x:f>IF(AND(W$6&lt;=$H40,W$6+6&gt;=$G40),1,"")</x:f>
      </x:c>
      <x:c r="X40" s="167" t="str">
        <x:f>IF(AND(X$6&lt;=$H40,X$6+6&gt;=$G40),1,"")</x:f>
      </x:c>
      <x:c r="Y40" s="167" t="n">
        <x:f>IF(AND(Y$6&lt;=$H40,Y$6+6&gt;=$G40),1,"")</x:f>
        <x:v>1</x:v>
      </x:c>
      <x:c r="Z40" s="167" t="str">
        <x:f>IF(AND(Z$6&lt;=$H40,Z$6+6&gt;=$G40),1,"")</x:f>
      </x:c>
      <x:c r="AA40" s="167" t="str">
        <x:f>IF(AND(AA$6&lt;=$H40,AA$6+6&gt;=$G40),1,"")</x:f>
      </x:c>
      <x:c r="AB40" s="167" t="str">
        <x:f>IF(AND(AB$6&lt;=$H40,AB$6+6&gt;=$G40),1,"")</x:f>
      </x:c>
      <x:c r="AC40" s="167" t="str">
        <x:f>IF(AND(AC$6&lt;=$H40,AC$6+6&gt;=$G40),1,"")</x:f>
      </x:c>
      <x:c r="AD40" s="167" t="str">
        <x:f>IF(AND(AD$6&lt;=$H40,AD$6+6&gt;=$G40),1,"")</x:f>
      </x:c>
      <x:c r="AE40" s="167" t="str">
        <x:f>IF(AND(AE$6&lt;=$H40,AE$6+6&gt;=$G40),1,"")</x:f>
      </x:c>
      <x:c r="AF40" s="167" t="str">
        <x:f>IF(AND(AF$6&lt;=$H40,AF$6+6&gt;=$G40),1,"")</x:f>
      </x:c>
      <x:c r="AG40" s="167" t="str">
        <x:f>IF(AND(AG$6&lt;=$H40,AG$6+6&gt;=$G40),1,"")</x:f>
      </x:c>
      <x:c r="AH40" s="167" t="str">
        <x:f>IF(AND(AH$6&lt;=$H40,AH$6+6&gt;=$G40),1,"")</x:f>
      </x:c>
      <x:c r="AI40" s="167" t="str">
        <x:f>IF(AND(AI$6&lt;=$H40,AI$6+6&gt;=$G40),1,"")</x:f>
      </x:c>
      <x:c r="AJ40" s="167" t="str">
        <x:f>IF(AND(AJ$6&lt;=$H40,AJ$6+6&gt;=$G40),1,"")</x:f>
      </x:c>
      <x:c r="AK40" s="167" t="str">
        <x:f>IF(AND(AK$6&lt;=$H40,AK$6+6&gt;=$G40),1,"")</x:f>
      </x:c>
      <x:c r="AL40" s="167" t="str">
        <x:f>IF(AND(AL$6&lt;=$H40,AL$6+6&gt;=$G40),1,"")</x:f>
      </x:c>
      <x:c r="AM40" s="167" t="str">
        <x:f>IF(AND(AM$6&lt;=$H40,AM$6+6&gt;=$G40),1,"")</x:f>
      </x:c>
      <x:c r="AN40" s="167" t="str">
        <x:f>IF(AND(AN$6&lt;=$H40,AN$6+6&gt;=$G40),1,"")</x:f>
      </x:c>
      <x:c r="AO40" s="167" t="str">
        <x:f>IF(AND(AO$6&lt;=$H40,AO$6+6&gt;=$G40),1,"")</x:f>
      </x:c>
      <x:c r="AP40" s="167" t="str">
        <x:f>IF(AND(AP$6&lt;=$H40,AP$6+6&gt;=$G40),1,"")</x:f>
      </x:c>
      <x:c r="AQ40" s="167" t="str">
        <x:f>IF(AND(AQ$6&lt;=$H40,AQ$6+6&gt;=$G40),1,"")</x:f>
      </x:c>
      <x:c r="AR40" s="167" t="str">
        <x:f>IF(AND(AR$6&lt;=$H40,AR$6+6&gt;=$G40),1,"")</x:f>
      </x:c>
      <x:c r="AS40" s="167" t="str">
        <x:f>IF(AND(AS$6&lt;=$H40,AS$6+6&gt;=$G40),1,"")</x:f>
      </x:c>
      <x:c r="AT40" s="167" t="str">
        <x:f>IF(AND(AT$6&lt;=$H40,AT$6+6&gt;=$G40),1,"")</x:f>
      </x:c>
      <x:c r="AU40" s="167" t="str">
        <x:f>IF(AND(AU$6&lt;=$H40,AU$6+6&gt;=$G40),1,"")</x:f>
      </x:c>
      <x:c r="AV40" s="167" t="str">
        <x:f>IF(AND(AV$6&lt;=$H40,AV$6+6&gt;=$G40),1,"")</x:f>
      </x:c>
      <x:c r="AW40" s="167" t="str">
        <x:f>IF(AND(AW$6&lt;=$H40,AW$6+6&gt;=$G40),1,"")</x:f>
      </x:c>
      <x:c r="AX40" s="167" t="str">
        <x:f>IF(AND(AX$6&lt;=$H40,AX$6+6&gt;=$G40),1,"")</x:f>
      </x:c>
      <x:c r="AY40" s="167" t="str">
        <x:f>IF(AND(AY$6&lt;=$H40,AY$6+6&gt;=$G40),1,"")</x:f>
      </x:c>
      <x:c r="AZ40" s="167" t="str">
        <x:f>IF(AND(AZ$6&lt;=$H40,AZ$6+6&gt;=$G40),1,"")</x:f>
      </x:c>
      <x:c r="BA40" s="167" t="str">
        <x:f>IF(AND(BA$6&lt;=$H40,BA$6+6&gt;=$G40),1,"")</x:f>
      </x:c>
      <x:c r="BB40" s="167" t="str">
        <x:f>IF(AND(BB$6&lt;=$H40,BB$6+6&gt;=$G40),1,"")</x:f>
      </x:c>
      <x:c r="BC40" s="167" t="str">
        <x:f>IF(AND(BC$6&lt;=$H40,BC$6+6&gt;=$G40),1,"")</x:f>
      </x:c>
      <x:c r="BD40" s="167" t="str">
        <x:f>IF(AND(BD$6&lt;=$H40,BD$6+6&gt;=$G40),1,"")</x:f>
      </x:c>
      <x:c r="BE40" s="167" t="str">
        <x:f>IF(AND(BE$6&lt;=$H40,BE$6+6&gt;=$G40),1,"")</x:f>
      </x:c>
      <x:c r="BF40" s="167" t="str">
        <x:f>IF(AND(BF$6&lt;=$H40,BF$6+6&gt;=$G40),1,"")</x:f>
      </x:c>
      <x:c r="BG40" s="167" t="str">
        <x:f>IF(AND(BG$6&lt;=$H40,BG$6+6&gt;=$G40),1,"")</x:f>
      </x:c>
      <x:c r="BH40" s="167" t="str">
        <x:f>IF(AND(BH$6&lt;=$H40,BH$6+6&gt;=$G40),1,"")</x:f>
      </x:c>
      <x:c r="BI40" s="167" t="str">
        <x:f>IF(AND(BI$6&lt;=$H40,BI$6+6&gt;=$G40),1,"")</x:f>
      </x:c>
      <x:c r="BJ40" s="167" t="str">
        <x:f>IF(AND(BJ$6&lt;=$H40,BJ$6+6&gt;=$G40),1,"")</x:f>
      </x:c>
      <x:c r="BK40" s="167" t="str">
        <x:f>IF(AND(BK$6&lt;=$H40,BK$6+6&gt;=$G40),1,"")</x:f>
      </x:c>
      <x:c r="BL40" s="167" t="str">
        <x:f>IF(AND(BL$6&lt;=$H40,BL$6+6&gt;=$G40),1,"")</x:f>
      </x:c>
      <x:c r="BM40" s="167" t="str">
        <x:f>IF(AND(BM$6&lt;=$H40,BM$6+6&gt;=$G40),1,"")</x:f>
      </x:c>
      <x:c r="BN40" s="167" t="str">
        <x:f>IF(AND(BN$6&lt;=$H40,BN$6+6&gt;=$G40),1,"")</x:f>
      </x:c>
      <x:c r="BO40" s="168" t="str">
        <x:f>IF(AND(BO$6&lt;=$H40,BO$6+6&gt;=$G40),1,"")</x:f>
      </x:c>
    </x:row>
    <x:row r="41" ht="24" customHeight="1">
      <x:c r="A41" s="68" t="str">
        <x:f>'Task Register'!A39</x:f>
        <x:v>AI-214</x:v>
      </x:c>
      <x:c r="B41" s="68" t="str">
        <x:f>'Task Register'!B39</x:f>
        <x:v>M2</x:v>
      </x:c>
      <x:c r="C41" s="68" t="str">
        <x:f>'Task Register'!C39</x:f>
        <x:v>Feasibility/Modeling</x:v>
      </x:c>
      <x:c r="D41" s="68" t="str">
        <x:f>'Task Register'!D39</x:f>
        <x:v>Evaluate model size and pretrained readiness</x:v>
      </x:c>
      <x:c r="E41" s="68" t="str">
        <x:f>'Task Register'!E39</x:f>
        <x:v>AI-109, AI-204, AI-208, AI-213</x:v>
      </x:c>
      <x:c r="F41" s="68" t="str">
        <x:f>'Task Register'!F39</x:f>
        <x:v>Blocked</x:v>
      </x:c>
      <x:c r="G41" s="94" t="n">
        <x:f>'Task Register'!I39</x:f>
        <x:v>46353</x:v>
      </x:c>
      <x:c r="H41" s="94" t="n">
        <x:f>'Task Register'!J39</x:f>
        <x:v>46357</x:v>
      </x:c>
      <x:c r="I41" s="166" t="str">
        <x:f>IF(AND(I$6&lt;=$H41,I$6+6&gt;=$G41),1,"")</x:f>
      </x:c>
      <x:c r="J41" s="167" t="str">
        <x:f>IF(AND(J$6&lt;=$H41,J$6+6&gt;=$G41),1,"")</x:f>
      </x:c>
      <x:c r="K41" s="167" t="str">
        <x:f>IF(AND(K$6&lt;=$H41,K$6+6&gt;=$G41),1,"")</x:f>
      </x:c>
      <x:c r="L41" s="167" t="str">
        <x:f>IF(AND(L$6&lt;=$H41,L$6+6&gt;=$G41),1,"")</x:f>
      </x:c>
      <x:c r="M41" s="167" t="str">
        <x:f>IF(AND(M$6&lt;=$H41,M$6+6&gt;=$G41),1,"")</x:f>
      </x:c>
      <x:c r="N41" s="167" t="str">
        <x:f>IF(AND(N$6&lt;=$H41,N$6+6&gt;=$G41),1,"")</x:f>
      </x:c>
      <x:c r="O41" s="167" t="str">
        <x:f>IF(AND(O$6&lt;=$H41,O$6+6&gt;=$G41),1,"")</x:f>
      </x:c>
      <x:c r="P41" s="167" t="str">
        <x:f>IF(AND(P$6&lt;=$H41,P$6+6&gt;=$G41),1,"")</x:f>
      </x:c>
      <x:c r="Q41" s="167" t="str">
        <x:f>IF(AND(Q$6&lt;=$H41,Q$6+6&gt;=$G41),1,"")</x:f>
      </x:c>
      <x:c r="R41" s="167" t="str">
        <x:f>IF(AND(R$6&lt;=$H41,R$6+6&gt;=$G41),1,"")</x:f>
      </x:c>
      <x:c r="S41" s="167" t="str">
        <x:f>IF(AND(S$6&lt;=$H41,S$6+6&gt;=$G41),1,"")</x:f>
      </x:c>
      <x:c r="T41" s="167" t="str">
        <x:f>IF(AND(T$6&lt;=$H41,T$6+6&gt;=$G41),1,"")</x:f>
      </x:c>
      <x:c r="U41" s="167" t="str">
        <x:f>IF(AND(U$6&lt;=$H41,U$6+6&gt;=$G41),1,"")</x:f>
      </x:c>
      <x:c r="V41" s="167" t="str">
        <x:f>IF(AND(V$6&lt;=$H41,V$6+6&gt;=$G41),1,"")</x:f>
      </x:c>
      <x:c r="W41" s="167" t="str">
        <x:f>IF(AND(W$6&lt;=$H41,W$6+6&gt;=$G41),1,"")</x:f>
      </x:c>
      <x:c r="X41" s="167" t="str">
        <x:f>IF(AND(X$6&lt;=$H41,X$6+6&gt;=$G41),1,"")</x:f>
      </x:c>
      <x:c r="Y41" s="167" t="n">
        <x:f>IF(AND(Y$6&lt;=$H41,Y$6+6&gt;=$G41),1,"")</x:f>
        <x:v>1</x:v>
      </x:c>
      <x:c r="Z41" s="167" t="n">
        <x:f>IF(AND(Z$6&lt;=$H41,Z$6+6&gt;=$G41),1,"")</x:f>
        <x:v>1</x:v>
      </x:c>
      <x:c r="AA41" s="167" t="str">
        <x:f>IF(AND(AA$6&lt;=$H41,AA$6+6&gt;=$G41),1,"")</x:f>
      </x:c>
      <x:c r="AB41" s="167" t="str">
        <x:f>IF(AND(AB$6&lt;=$H41,AB$6+6&gt;=$G41),1,"")</x:f>
      </x:c>
      <x:c r="AC41" s="167" t="str">
        <x:f>IF(AND(AC$6&lt;=$H41,AC$6+6&gt;=$G41),1,"")</x:f>
      </x:c>
      <x:c r="AD41" s="167" t="str">
        <x:f>IF(AND(AD$6&lt;=$H41,AD$6+6&gt;=$G41),1,"")</x:f>
      </x:c>
      <x:c r="AE41" s="167" t="str">
        <x:f>IF(AND(AE$6&lt;=$H41,AE$6+6&gt;=$G41),1,"")</x:f>
      </x:c>
      <x:c r="AF41" s="167" t="str">
        <x:f>IF(AND(AF$6&lt;=$H41,AF$6+6&gt;=$G41),1,"")</x:f>
      </x:c>
      <x:c r="AG41" s="167" t="str">
        <x:f>IF(AND(AG$6&lt;=$H41,AG$6+6&gt;=$G41),1,"")</x:f>
      </x:c>
      <x:c r="AH41" s="167" t="str">
        <x:f>IF(AND(AH$6&lt;=$H41,AH$6+6&gt;=$G41),1,"")</x:f>
      </x:c>
      <x:c r="AI41" s="167" t="str">
        <x:f>IF(AND(AI$6&lt;=$H41,AI$6+6&gt;=$G41),1,"")</x:f>
      </x:c>
      <x:c r="AJ41" s="167" t="str">
        <x:f>IF(AND(AJ$6&lt;=$H41,AJ$6+6&gt;=$G41),1,"")</x:f>
      </x:c>
      <x:c r="AK41" s="167" t="str">
        <x:f>IF(AND(AK$6&lt;=$H41,AK$6+6&gt;=$G41),1,"")</x:f>
      </x:c>
      <x:c r="AL41" s="167" t="str">
        <x:f>IF(AND(AL$6&lt;=$H41,AL$6+6&gt;=$G41),1,"")</x:f>
      </x:c>
      <x:c r="AM41" s="167" t="str">
        <x:f>IF(AND(AM$6&lt;=$H41,AM$6+6&gt;=$G41),1,"")</x:f>
      </x:c>
      <x:c r="AN41" s="167" t="str">
        <x:f>IF(AND(AN$6&lt;=$H41,AN$6+6&gt;=$G41),1,"")</x:f>
      </x:c>
      <x:c r="AO41" s="167" t="str">
        <x:f>IF(AND(AO$6&lt;=$H41,AO$6+6&gt;=$G41),1,"")</x:f>
      </x:c>
      <x:c r="AP41" s="167" t="str">
        <x:f>IF(AND(AP$6&lt;=$H41,AP$6+6&gt;=$G41),1,"")</x:f>
      </x:c>
      <x:c r="AQ41" s="167" t="str">
        <x:f>IF(AND(AQ$6&lt;=$H41,AQ$6+6&gt;=$G41),1,"")</x:f>
      </x:c>
      <x:c r="AR41" s="167" t="str">
        <x:f>IF(AND(AR$6&lt;=$H41,AR$6+6&gt;=$G41),1,"")</x:f>
      </x:c>
      <x:c r="AS41" s="167" t="str">
        <x:f>IF(AND(AS$6&lt;=$H41,AS$6+6&gt;=$G41),1,"")</x:f>
      </x:c>
      <x:c r="AT41" s="167" t="str">
        <x:f>IF(AND(AT$6&lt;=$H41,AT$6+6&gt;=$G41),1,"")</x:f>
      </x:c>
      <x:c r="AU41" s="167" t="str">
        <x:f>IF(AND(AU$6&lt;=$H41,AU$6+6&gt;=$G41),1,"")</x:f>
      </x:c>
      <x:c r="AV41" s="167" t="str">
        <x:f>IF(AND(AV$6&lt;=$H41,AV$6+6&gt;=$G41),1,"")</x:f>
      </x:c>
      <x:c r="AW41" s="167" t="str">
        <x:f>IF(AND(AW$6&lt;=$H41,AW$6+6&gt;=$G41),1,"")</x:f>
      </x:c>
      <x:c r="AX41" s="167" t="str">
        <x:f>IF(AND(AX$6&lt;=$H41,AX$6+6&gt;=$G41),1,"")</x:f>
      </x:c>
      <x:c r="AY41" s="167" t="str">
        <x:f>IF(AND(AY$6&lt;=$H41,AY$6+6&gt;=$G41),1,"")</x:f>
      </x:c>
      <x:c r="AZ41" s="167" t="str">
        <x:f>IF(AND(AZ$6&lt;=$H41,AZ$6+6&gt;=$G41),1,"")</x:f>
      </x:c>
      <x:c r="BA41" s="167" t="str">
        <x:f>IF(AND(BA$6&lt;=$H41,BA$6+6&gt;=$G41),1,"")</x:f>
      </x:c>
      <x:c r="BB41" s="167" t="str">
        <x:f>IF(AND(BB$6&lt;=$H41,BB$6+6&gt;=$G41),1,"")</x:f>
      </x:c>
      <x:c r="BC41" s="167" t="str">
        <x:f>IF(AND(BC$6&lt;=$H41,BC$6+6&gt;=$G41),1,"")</x:f>
      </x:c>
      <x:c r="BD41" s="167" t="str">
        <x:f>IF(AND(BD$6&lt;=$H41,BD$6+6&gt;=$G41),1,"")</x:f>
      </x:c>
      <x:c r="BE41" s="167" t="str">
        <x:f>IF(AND(BE$6&lt;=$H41,BE$6+6&gt;=$G41),1,"")</x:f>
      </x:c>
      <x:c r="BF41" s="167" t="str">
        <x:f>IF(AND(BF$6&lt;=$H41,BF$6+6&gt;=$G41),1,"")</x:f>
      </x:c>
      <x:c r="BG41" s="167" t="str">
        <x:f>IF(AND(BG$6&lt;=$H41,BG$6+6&gt;=$G41),1,"")</x:f>
      </x:c>
      <x:c r="BH41" s="167" t="str">
        <x:f>IF(AND(BH$6&lt;=$H41,BH$6+6&gt;=$G41),1,"")</x:f>
      </x:c>
      <x:c r="BI41" s="167" t="str">
        <x:f>IF(AND(BI$6&lt;=$H41,BI$6+6&gt;=$G41),1,"")</x:f>
      </x:c>
      <x:c r="BJ41" s="167" t="str">
        <x:f>IF(AND(BJ$6&lt;=$H41,BJ$6+6&gt;=$G41),1,"")</x:f>
      </x:c>
      <x:c r="BK41" s="167" t="str">
        <x:f>IF(AND(BK$6&lt;=$H41,BK$6+6&gt;=$G41),1,"")</x:f>
      </x:c>
      <x:c r="BL41" s="167" t="str">
        <x:f>IF(AND(BL$6&lt;=$H41,BL$6+6&gt;=$G41),1,"")</x:f>
      </x:c>
      <x:c r="BM41" s="167" t="str">
        <x:f>IF(AND(BM$6&lt;=$H41,BM$6+6&gt;=$G41),1,"")</x:f>
      </x:c>
      <x:c r="BN41" s="167" t="str">
        <x:f>IF(AND(BN$6&lt;=$H41,BN$6+6&gt;=$G41),1,"")</x:f>
      </x:c>
      <x:c r="BO41" s="168" t="str">
        <x:f>IF(AND(BO$6&lt;=$H41,BO$6+6&gt;=$G41),1,"")</x:f>
      </x:c>
    </x:row>
    <x:row r="42" ht="24" customHeight="1">
      <x:c r="A42" s="68" t="str">
        <x:f>'Task Register'!A40</x:f>
        <x:v>AI-215</x:v>
      </x:c>
      <x:c r="B42" s="68" t="str">
        <x:f>'Task Register'!B40</x:f>
        <x:v>M2</x:v>
      </x:c>
      <x:c r="C42" s="68" t="str">
        <x:f>'Task Register'!C40</x:f>
        <x:v>Validation</x:v>
      </x:c>
      <x:c r="D42" s="68" t="str">
        <x:f>'Task Register'!D40</x:f>
        <x:v>Run the M2 capability-gate suite</x:v>
      </x:c>
      <x:c r="E42" s="68" t="str">
        <x:f>'Task Register'!E40</x:f>
        <x:v>AI-203, AI-204, AI-206, AI-208, AI-209, AI-210, AI-211, AI-212</x:v>
      </x:c>
      <x:c r="F42" s="68" t="str">
        <x:f>'Task Register'!F40</x:f>
        <x:v>Blocked</x:v>
      </x:c>
      <x:c r="G42" s="94" t="n">
        <x:f>'Task Register'!I40</x:f>
        <x:v>46358</x:v>
      </x:c>
      <x:c r="H42" s="94" t="n">
        <x:f>'Task Register'!J40</x:f>
        <x:v>46360</x:v>
      </x:c>
      <x:c r="I42" s="166" t="str">
        <x:f>IF(AND(I$6&lt;=$H42,I$6+6&gt;=$G42),1,"")</x:f>
      </x:c>
      <x:c r="J42" s="167" t="str">
        <x:f>IF(AND(J$6&lt;=$H42,J$6+6&gt;=$G42),1,"")</x:f>
      </x:c>
      <x:c r="K42" s="167" t="str">
        <x:f>IF(AND(K$6&lt;=$H42,K$6+6&gt;=$G42),1,"")</x:f>
      </x:c>
      <x:c r="L42" s="167" t="str">
        <x:f>IF(AND(L$6&lt;=$H42,L$6+6&gt;=$G42),1,"")</x:f>
      </x:c>
      <x:c r="M42" s="167" t="str">
        <x:f>IF(AND(M$6&lt;=$H42,M$6+6&gt;=$G42),1,"")</x:f>
      </x:c>
      <x:c r="N42" s="167" t="str">
        <x:f>IF(AND(N$6&lt;=$H42,N$6+6&gt;=$G42),1,"")</x:f>
      </x:c>
      <x:c r="O42" s="167" t="str">
        <x:f>IF(AND(O$6&lt;=$H42,O$6+6&gt;=$G42),1,"")</x:f>
      </x:c>
      <x:c r="P42" s="167" t="str">
        <x:f>IF(AND(P$6&lt;=$H42,P$6+6&gt;=$G42),1,"")</x:f>
      </x:c>
      <x:c r="Q42" s="167" t="str">
        <x:f>IF(AND(Q$6&lt;=$H42,Q$6+6&gt;=$G42),1,"")</x:f>
      </x:c>
      <x:c r="R42" s="167" t="str">
        <x:f>IF(AND(R$6&lt;=$H42,R$6+6&gt;=$G42),1,"")</x:f>
      </x:c>
      <x:c r="S42" s="167" t="str">
        <x:f>IF(AND(S$6&lt;=$H42,S$6+6&gt;=$G42),1,"")</x:f>
      </x:c>
      <x:c r="T42" s="167" t="str">
        <x:f>IF(AND(T$6&lt;=$H42,T$6+6&gt;=$G42),1,"")</x:f>
      </x:c>
      <x:c r="U42" s="167" t="str">
        <x:f>IF(AND(U$6&lt;=$H42,U$6+6&gt;=$G42),1,"")</x:f>
      </x:c>
      <x:c r="V42" s="167" t="str">
        <x:f>IF(AND(V$6&lt;=$H42,V$6+6&gt;=$G42),1,"")</x:f>
      </x:c>
      <x:c r="W42" s="167" t="str">
        <x:f>IF(AND(W$6&lt;=$H42,W$6+6&gt;=$G42),1,"")</x:f>
      </x:c>
      <x:c r="X42" s="167" t="str">
        <x:f>IF(AND(X$6&lt;=$H42,X$6+6&gt;=$G42),1,"")</x:f>
      </x:c>
      <x:c r="Y42" s="167" t="str">
        <x:f>IF(AND(Y$6&lt;=$H42,Y$6+6&gt;=$G42),1,"")</x:f>
      </x:c>
      <x:c r="Z42" s="167" t="n">
        <x:f>IF(AND(Z$6&lt;=$H42,Z$6+6&gt;=$G42),1,"")</x:f>
        <x:v>1</x:v>
      </x:c>
      <x:c r="AA42" s="167" t="str">
        <x:f>IF(AND(AA$6&lt;=$H42,AA$6+6&gt;=$G42),1,"")</x:f>
      </x:c>
      <x:c r="AB42" s="167" t="str">
        <x:f>IF(AND(AB$6&lt;=$H42,AB$6+6&gt;=$G42),1,"")</x:f>
      </x:c>
      <x:c r="AC42" s="167" t="str">
        <x:f>IF(AND(AC$6&lt;=$H42,AC$6+6&gt;=$G42),1,"")</x:f>
      </x:c>
      <x:c r="AD42" s="167" t="str">
        <x:f>IF(AND(AD$6&lt;=$H42,AD$6+6&gt;=$G42),1,"")</x:f>
      </x:c>
      <x:c r="AE42" s="167" t="str">
        <x:f>IF(AND(AE$6&lt;=$H42,AE$6+6&gt;=$G42),1,"")</x:f>
      </x:c>
      <x:c r="AF42" s="167" t="str">
        <x:f>IF(AND(AF$6&lt;=$H42,AF$6+6&gt;=$G42),1,"")</x:f>
      </x:c>
      <x:c r="AG42" s="167" t="str">
        <x:f>IF(AND(AG$6&lt;=$H42,AG$6+6&gt;=$G42),1,"")</x:f>
      </x:c>
      <x:c r="AH42" s="167" t="str">
        <x:f>IF(AND(AH$6&lt;=$H42,AH$6+6&gt;=$G42),1,"")</x:f>
      </x:c>
      <x:c r="AI42" s="167" t="str">
        <x:f>IF(AND(AI$6&lt;=$H42,AI$6+6&gt;=$G42),1,"")</x:f>
      </x:c>
      <x:c r="AJ42" s="167" t="str">
        <x:f>IF(AND(AJ$6&lt;=$H42,AJ$6+6&gt;=$G42),1,"")</x:f>
      </x:c>
      <x:c r="AK42" s="167" t="str">
        <x:f>IF(AND(AK$6&lt;=$H42,AK$6+6&gt;=$G42),1,"")</x:f>
      </x:c>
      <x:c r="AL42" s="167" t="str">
        <x:f>IF(AND(AL$6&lt;=$H42,AL$6+6&gt;=$G42),1,"")</x:f>
      </x:c>
      <x:c r="AM42" s="167" t="str">
        <x:f>IF(AND(AM$6&lt;=$H42,AM$6+6&gt;=$G42),1,"")</x:f>
      </x:c>
      <x:c r="AN42" s="167" t="str">
        <x:f>IF(AND(AN$6&lt;=$H42,AN$6+6&gt;=$G42),1,"")</x:f>
      </x:c>
      <x:c r="AO42" s="167" t="str">
        <x:f>IF(AND(AO$6&lt;=$H42,AO$6+6&gt;=$G42),1,"")</x:f>
      </x:c>
      <x:c r="AP42" s="167" t="str">
        <x:f>IF(AND(AP$6&lt;=$H42,AP$6+6&gt;=$G42),1,"")</x:f>
      </x:c>
      <x:c r="AQ42" s="167" t="str">
        <x:f>IF(AND(AQ$6&lt;=$H42,AQ$6+6&gt;=$G42),1,"")</x:f>
      </x:c>
      <x:c r="AR42" s="167" t="str">
        <x:f>IF(AND(AR$6&lt;=$H42,AR$6+6&gt;=$G42),1,"")</x:f>
      </x:c>
      <x:c r="AS42" s="167" t="str">
        <x:f>IF(AND(AS$6&lt;=$H42,AS$6+6&gt;=$G42),1,"")</x:f>
      </x:c>
      <x:c r="AT42" s="167" t="str">
        <x:f>IF(AND(AT$6&lt;=$H42,AT$6+6&gt;=$G42),1,"")</x:f>
      </x:c>
      <x:c r="AU42" s="167" t="str">
        <x:f>IF(AND(AU$6&lt;=$H42,AU$6+6&gt;=$G42),1,"")</x:f>
      </x:c>
      <x:c r="AV42" s="167" t="str">
        <x:f>IF(AND(AV$6&lt;=$H42,AV$6+6&gt;=$G42),1,"")</x:f>
      </x:c>
      <x:c r="AW42" s="167" t="str">
        <x:f>IF(AND(AW$6&lt;=$H42,AW$6+6&gt;=$G42),1,"")</x:f>
      </x:c>
      <x:c r="AX42" s="167" t="str">
        <x:f>IF(AND(AX$6&lt;=$H42,AX$6+6&gt;=$G42),1,"")</x:f>
      </x:c>
      <x:c r="AY42" s="167" t="str">
        <x:f>IF(AND(AY$6&lt;=$H42,AY$6+6&gt;=$G42),1,"")</x:f>
      </x:c>
      <x:c r="AZ42" s="167" t="str">
        <x:f>IF(AND(AZ$6&lt;=$H42,AZ$6+6&gt;=$G42),1,"")</x:f>
      </x:c>
      <x:c r="BA42" s="167" t="str">
        <x:f>IF(AND(BA$6&lt;=$H42,BA$6+6&gt;=$G42),1,"")</x:f>
      </x:c>
      <x:c r="BB42" s="167" t="str">
        <x:f>IF(AND(BB$6&lt;=$H42,BB$6+6&gt;=$G42),1,"")</x:f>
      </x:c>
      <x:c r="BC42" s="167" t="str">
        <x:f>IF(AND(BC$6&lt;=$H42,BC$6+6&gt;=$G42),1,"")</x:f>
      </x:c>
      <x:c r="BD42" s="167" t="str">
        <x:f>IF(AND(BD$6&lt;=$H42,BD$6+6&gt;=$G42),1,"")</x:f>
      </x:c>
      <x:c r="BE42" s="167" t="str">
        <x:f>IF(AND(BE$6&lt;=$H42,BE$6+6&gt;=$G42),1,"")</x:f>
      </x:c>
      <x:c r="BF42" s="167" t="str">
        <x:f>IF(AND(BF$6&lt;=$H42,BF$6+6&gt;=$G42),1,"")</x:f>
      </x:c>
      <x:c r="BG42" s="167" t="str">
        <x:f>IF(AND(BG$6&lt;=$H42,BG$6+6&gt;=$G42),1,"")</x:f>
      </x:c>
      <x:c r="BH42" s="167" t="str">
        <x:f>IF(AND(BH$6&lt;=$H42,BH$6+6&gt;=$G42),1,"")</x:f>
      </x:c>
      <x:c r="BI42" s="167" t="str">
        <x:f>IF(AND(BI$6&lt;=$H42,BI$6+6&gt;=$G42),1,"")</x:f>
      </x:c>
      <x:c r="BJ42" s="167" t="str">
        <x:f>IF(AND(BJ$6&lt;=$H42,BJ$6+6&gt;=$G42),1,"")</x:f>
      </x:c>
      <x:c r="BK42" s="167" t="str">
        <x:f>IF(AND(BK$6&lt;=$H42,BK$6+6&gt;=$G42),1,"")</x:f>
      </x:c>
      <x:c r="BL42" s="167" t="str">
        <x:f>IF(AND(BL$6&lt;=$H42,BL$6+6&gt;=$G42),1,"")</x:f>
      </x:c>
      <x:c r="BM42" s="167" t="str">
        <x:f>IF(AND(BM$6&lt;=$H42,BM$6+6&gt;=$G42),1,"")</x:f>
      </x:c>
      <x:c r="BN42" s="167" t="str">
        <x:f>IF(AND(BN$6&lt;=$H42,BN$6+6&gt;=$G42),1,"")</x:f>
      </x:c>
      <x:c r="BO42" s="168" t="str">
        <x:f>IF(AND(BO$6&lt;=$H42,BO$6+6&gt;=$G42),1,"")</x:f>
      </x:c>
    </x:row>
    <x:row r="43" ht="24" customHeight="1">
      <x:c r="A43" s="68" t="str">
        <x:f>'Task Register'!A41</x:f>
        <x:v>AI-216</x:v>
      </x:c>
      <x:c r="B43" s="68" t="str">
        <x:f>'Task Register'!B41</x:f>
        <x:v>M2</x:v>
      </x:c>
      <x:c r="C43" s="68" t="str">
        <x:f>'Task Register'!C41</x:f>
        <x:v>Validation</x:v>
      </x:c>
      <x:c r="D43" s="68" t="str">
        <x:f>'Task Register'!D41</x:f>
        <x:v>M2 lock decision</x:v>
      </x:c>
      <x:c r="E43" s="68" t="str">
        <x:f>'Task Register'!E41</x:f>
        <x:v>AI-215</x:v>
      </x:c>
      <x:c r="F43" s="68" t="str">
        <x:f>'Task Register'!F41</x:f>
        <x:v>Blocked</x:v>
      </x:c>
      <x:c r="G43" s="94" t="n">
        <x:f>'Task Register'!I41</x:f>
        <x:v>46363</x:v>
      </x:c>
      <x:c r="H43" s="94" t="n">
        <x:f>'Task Register'!J41</x:f>
        <x:v>46363</x:v>
      </x:c>
      <x:c r="I43" s="166" t="str">
        <x:f>IF(AND(I$6&lt;=$H43,I$6+6&gt;=$G43),1,"")</x:f>
      </x:c>
      <x:c r="J43" s="167" t="str">
        <x:f>IF(AND(J$6&lt;=$H43,J$6+6&gt;=$G43),1,"")</x:f>
      </x:c>
      <x:c r="K43" s="167" t="str">
        <x:f>IF(AND(K$6&lt;=$H43,K$6+6&gt;=$G43),1,"")</x:f>
      </x:c>
      <x:c r="L43" s="167" t="str">
        <x:f>IF(AND(L$6&lt;=$H43,L$6+6&gt;=$G43),1,"")</x:f>
      </x:c>
      <x:c r="M43" s="167" t="str">
        <x:f>IF(AND(M$6&lt;=$H43,M$6+6&gt;=$G43),1,"")</x:f>
      </x:c>
      <x:c r="N43" s="167" t="str">
        <x:f>IF(AND(N$6&lt;=$H43,N$6+6&gt;=$G43),1,"")</x:f>
      </x:c>
      <x:c r="O43" s="167" t="str">
        <x:f>IF(AND(O$6&lt;=$H43,O$6+6&gt;=$G43),1,"")</x:f>
      </x:c>
      <x:c r="P43" s="167" t="str">
        <x:f>IF(AND(P$6&lt;=$H43,P$6+6&gt;=$G43),1,"")</x:f>
      </x:c>
      <x:c r="Q43" s="167" t="str">
        <x:f>IF(AND(Q$6&lt;=$H43,Q$6+6&gt;=$G43),1,"")</x:f>
      </x:c>
      <x:c r="R43" s="167" t="str">
        <x:f>IF(AND(R$6&lt;=$H43,R$6+6&gt;=$G43),1,"")</x:f>
      </x:c>
      <x:c r="S43" s="167" t="str">
        <x:f>IF(AND(S$6&lt;=$H43,S$6+6&gt;=$G43),1,"")</x:f>
      </x:c>
      <x:c r="T43" s="167" t="str">
        <x:f>IF(AND(T$6&lt;=$H43,T$6+6&gt;=$G43),1,"")</x:f>
      </x:c>
      <x:c r="U43" s="167" t="str">
        <x:f>IF(AND(U$6&lt;=$H43,U$6+6&gt;=$G43),1,"")</x:f>
      </x:c>
      <x:c r="V43" s="167" t="str">
        <x:f>IF(AND(V$6&lt;=$H43,V$6+6&gt;=$G43),1,"")</x:f>
      </x:c>
      <x:c r="W43" s="167" t="str">
        <x:f>IF(AND(W$6&lt;=$H43,W$6+6&gt;=$G43),1,"")</x:f>
      </x:c>
      <x:c r="X43" s="167" t="str">
        <x:f>IF(AND(X$6&lt;=$H43,X$6+6&gt;=$G43),1,"")</x:f>
      </x:c>
      <x:c r="Y43" s="167" t="str">
        <x:f>IF(AND(Y$6&lt;=$H43,Y$6+6&gt;=$G43),1,"")</x:f>
      </x:c>
      <x:c r="Z43" s="167" t="str">
        <x:f>IF(AND(Z$6&lt;=$H43,Z$6+6&gt;=$G43),1,"")</x:f>
      </x:c>
      <x:c r="AA43" s="167" t="n">
        <x:f>IF(AND(AA$6&lt;=$H43,AA$6+6&gt;=$G43),1,"")</x:f>
        <x:v>1</x:v>
      </x:c>
      <x:c r="AB43" s="167" t="str">
        <x:f>IF(AND(AB$6&lt;=$H43,AB$6+6&gt;=$G43),1,"")</x:f>
      </x:c>
      <x:c r="AC43" s="167" t="str">
        <x:f>IF(AND(AC$6&lt;=$H43,AC$6+6&gt;=$G43),1,"")</x:f>
      </x:c>
      <x:c r="AD43" s="167" t="str">
        <x:f>IF(AND(AD$6&lt;=$H43,AD$6+6&gt;=$G43),1,"")</x:f>
      </x:c>
      <x:c r="AE43" s="167" t="str">
        <x:f>IF(AND(AE$6&lt;=$H43,AE$6+6&gt;=$G43),1,"")</x:f>
      </x:c>
      <x:c r="AF43" s="167" t="str">
        <x:f>IF(AND(AF$6&lt;=$H43,AF$6+6&gt;=$G43),1,"")</x:f>
      </x:c>
      <x:c r="AG43" s="167" t="str">
        <x:f>IF(AND(AG$6&lt;=$H43,AG$6+6&gt;=$G43),1,"")</x:f>
      </x:c>
      <x:c r="AH43" s="167" t="str">
        <x:f>IF(AND(AH$6&lt;=$H43,AH$6+6&gt;=$G43),1,"")</x:f>
      </x:c>
      <x:c r="AI43" s="167" t="str">
        <x:f>IF(AND(AI$6&lt;=$H43,AI$6+6&gt;=$G43),1,"")</x:f>
      </x:c>
      <x:c r="AJ43" s="167" t="str">
        <x:f>IF(AND(AJ$6&lt;=$H43,AJ$6+6&gt;=$G43),1,"")</x:f>
      </x:c>
      <x:c r="AK43" s="167" t="str">
        <x:f>IF(AND(AK$6&lt;=$H43,AK$6+6&gt;=$G43),1,"")</x:f>
      </x:c>
      <x:c r="AL43" s="167" t="str">
        <x:f>IF(AND(AL$6&lt;=$H43,AL$6+6&gt;=$G43),1,"")</x:f>
      </x:c>
      <x:c r="AM43" s="167" t="str">
        <x:f>IF(AND(AM$6&lt;=$H43,AM$6+6&gt;=$G43),1,"")</x:f>
      </x:c>
      <x:c r="AN43" s="167" t="str">
        <x:f>IF(AND(AN$6&lt;=$H43,AN$6+6&gt;=$G43),1,"")</x:f>
      </x:c>
      <x:c r="AO43" s="167" t="str">
        <x:f>IF(AND(AO$6&lt;=$H43,AO$6+6&gt;=$G43),1,"")</x:f>
      </x:c>
      <x:c r="AP43" s="167" t="str">
        <x:f>IF(AND(AP$6&lt;=$H43,AP$6+6&gt;=$G43),1,"")</x:f>
      </x:c>
      <x:c r="AQ43" s="167" t="str">
        <x:f>IF(AND(AQ$6&lt;=$H43,AQ$6+6&gt;=$G43),1,"")</x:f>
      </x:c>
      <x:c r="AR43" s="167" t="str">
        <x:f>IF(AND(AR$6&lt;=$H43,AR$6+6&gt;=$G43),1,"")</x:f>
      </x:c>
      <x:c r="AS43" s="167" t="str">
        <x:f>IF(AND(AS$6&lt;=$H43,AS$6+6&gt;=$G43),1,"")</x:f>
      </x:c>
      <x:c r="AT43" s="167" t="str">
        <x:f>IF(AND(AT$6&lt;=$H43,AT$6+6&gt;=$G43),1,"")</x:f>
      </x:c>
      <x:c r="AU43" s="167" t="str">
        <x:f>IF(AND(AU$6&lt;=$H43,AU$6+6&gt;=$G43),1,"")</x:f>
      </x:c>
      <x:c r="AV43" s="167" t="str">
        <x:f>IF(AND(AV$6&lt;=$H43,AV$6+6&gt;=$G43),1,"")</x:f>
      </x:c>
      <x:c r="AW43" s="167" t="str">
        <x:f>IF(AND(AW$6&lt;=$H43,AW$6+6&gt;=$G43),1,"")</x:f>
      </x:c>
      <x:c r="AX43" s="167" t="str">
        <x:f>IF(AND(AX$6&lt;=$H43,AX$6+6&gt;=$G43),1,"")</x:f>
      </x:c>
      <x:c r="AY43" s="167" t="str">
        <x:f>IF(AND(AY$6&lt;=$H43,AY$6+6&gt;=$G43),1,"")</x:f>
      </x:c>
      <x:c r="AZ43" s="167" t="str">
        <x:f>IF(AND(AZ$6&lt;=$H43,AZ$6+6&gt;=$G43),1,"")</x:f>
      </x:c>
      <x:c r="BA43" s="167" t="str">
        <x:f>IF(AND(BA$6&lt;=$H43,BA$6+6&gt;=$G43),1,"")</x:f>
      </x:c>
      <x:c r="BB43" s="167" t="str">
        <x:f>IF(AND(BB$6&lt;=$H43,BB$6+6&gt;=$G43),1,"")</x:f>
      </x:c>
      <x:c r="BC43" s="167" t="str">
        <x:f>IF(AND(BC$6&lt;=$H43,BC$6+6&gt;=$G43),1,"")</x:f>
      </x:c>
      <x:c r="BD43" s="167" t="str">
        <x:f>IF(AND(BD$6&lt;=$H43,BD$6+6&gt;=$G43),1,"")</x:f>
      </x:c>
      <x:c r="BE43" s="167" t="str">
        <x:f>IF(AND(BE$6&lt;=$H43,BE$6+6&gt;=$G43),1,"")</x:f>
      </x:c>
      <x:c r="BF43" s="167" t="str">
        <x:f>IF(AND(BF$6&lt;=$H43,BF$6+6&gt;=$G43),1,"")</x:f>
      </x:c>
      <x:c r="BG43" s="167" t="str">
        <x:f>IF(AND(BG$6&lt;=$H43,BG$6+6&gt;=$G43),1,"")</x:f>
      </x:c>
      <x:c r="BH43" s="167" t="str">
        <x:f>IF(AND(BH$6&lt;=$H43,BH$6+6&gt;=$G43),1,"")</x:f>
      </x:c>
      <x:c r="BI43" s="167" t="str">
        <x:f>IF(AND(BI$6&lt;=$H43,BI$6+6&gt;=$G43),1,"")</x:f>
      </x:c>
      <x:c r="BJ43" s="167" t="str">
        <x:f>IF(AND(BJ$6&lt;=$H43,BJ$6+6&gt;=$G43),1,"")</x:f>
      </x:c>
      <x:c r="BK43" s="167" t="str">
        <x:f>IF(AND(BK$6&lt;=$H43,BK$6+6&gt;=$G43),1,"")</x:f>
      </x:c>
      <x:c r="BL43" s="167" t="str">
        <x:f>IF(AND(BL$6&lt;=$H43,BL$6+6&gt;=$G43),1,"")</x:f>
      </x:c>
      <x:c r="BM43" s="167" t="str">
        <x:f>IF(AND(BM$6&lt;=$H43,BM$6+6&gt;=$G43),1,"")</x:f>
      </x:c>
      <x:c r="BN43" s="167" t="str">
        <x:f>IF(AND(BN$6&lt;=$H43,BN$6+6&gt;=$G43),1,"")</x:f>
      </x:c>
      <x:c r="BO43" s="168" t="str">
        <x:f>IF(AND(BO$6&lt;=$H43,BO$6+6&gt;=$G43),1,"")</x:f>
      </x:c>
    </x:row>
    <x:row r="44" ht="24" customHeight="1">
      <x:c r="A44" s="68" t="str">
        <x:f>'Task Register'!A42</x:f>
        <x:v>AI-301</x:v>
      </x:c>
      <x:c r="B44" s="68" t="str">
        <x:f>'Task Register'!B42</x:f>
        <x:v>M3</x:v>
      </x:c>
      <x:c r="C44" s="68" t="str">
        <x:f>'Task Register'!C42</x:f>
        <x:v>Active Vision/Generative Process</x:v>
      </x:c>
      <x:c r="D44" s="68" t="str">
        <x:f>'Task Register'!D42</x:f>
        <x:v>Specify the foveated generative process</x:v>
      </x:c>
      <x:c r="E44" s="68" t="str">
        <x:f>'Task Register'!E42</x:f>
        <x:v>M2</x:v>
      </x:c>
      <x:c r="F44" s="68" t="str">
        <x:f>'Task Register'!F42</x:f>
        <x:v>Blocked</x:v>
      </x:c>
      <x:c r="G44" s="94" t="n">
        <x:f>'Task Register'!I42</x:f>
        <x:v>46370</x:v>
      </x:c>
      <x:c r="H44" s="94" t="n">
        <x:f>'Task Register'!J42</x:f>
        <x:v>46372</x:v>
      </x:c>
      <x:c r="I44" s="166" t="str">
        <x:f>IF(AND(I$6&lt;=$H44,I$6+6&gt;=$G44),1,"")</x:f>
      </x:c>
      <x:c r="J44" s="167" t="str">
        <x:f>IF(AND(J$6&lt;=$H44,J$6+6&gt;=$G44),1,"")</x:f>
      </x:c>
      <x:c r="K44" s="167" t="str">
        <x:f>IF(AND(K$6&lt;=$H44,K$6+6&gt;=$G44),1,"")</x:f>
      </x:c>
      <x:c r="L44" s="167" t="str">
        <x:f>IF(AND(L$6&lt;=$H44,L$6+6&gt;=$G44),1,"")</x:f>
      </x:c>
      <x:c r="M44" s="167" t="str">
        <x:f>IF(AND(M$6&lt;=$H44,M$6+6&gt;=$G44),1,"")</x:f>
      </x:c>
      <x:c r="N44" s="167" t="str">
        <x:f>IF(AND(N$6&lt;=$H44,N$6+6&gt;=$G44),1,"")</x:f>
      </x:c>
      <x:c r="O44" s="167" t="str">
        <x:f>IF(AND(O$6&lt;=$H44,O$6+6&gt;=$G44),1,"")</x:f>
      </x:c>
      <x:c r="P44" s="167" t="str">
        <x:f>IF(AND(P$6&lt;=$H44,P$6+6&gt;=$G44),1,"")</x:f>
      </x:c>
      <x:c r="Q44" s="167" t="str">
        <x:f>IF(AND(Q$6&lt;=$H44,Q$6+6&gt;=$G44),1,"")</x:f>
      </x:c>
      <x:c r="R44" s="167" t="str">
        <x:f>IF(AND(R$6&lt;=$H44,R$6+6&gt;=$G44),1,"")</x:f>
      </x:c>
      <x:c r="S44" s="167" t="str">
        <x:f>IF(AND(S$6&lt;=$H44,S$6+6&gt;=$G44),1,"")</x:f>
      </x:c>
      <x:c r="T44" s="167" t="str">
        <x:f>IF(AND(T$6&lt;=$H44,T$6+6&gt;=$G44),1,"")</x:f>
      </x:c>
      <x:c r="U44" s="167" t="str">
        <x:f>IF(AND(U$6&lt;=$H44,U$6+6&gt;=$G44),1,"")</x:f>
      </x:c>
      <x:c r="V44" s="167" t="str">
        <x:f>IF(AND(V$6&lt;=$H44,V$6+6&gt;=$G44),1,"")</x:f>
      </x:c>
      <x:c r="W44" s="167" t="str">
        <x:f>IF(AND(W$6&lt;=$H44,W$6+6&gt;=$G44),1,"")</x:f>
      </x:c>
      <x:c r="X44" s="167" t="str">
        <x:f>IF(AND(X$6&lt;=$H44,X$6+6&gt;=$G44),1,"")</x:f>
      </x:c>
      <x:c r="Y44" s="167" t="str">
        <x:f>IF(AND(Y$6&lt;=$H44,Y$6+6&gt;=$G44),1,"")</x:f>
      </x:c>
      <x:c r="Z44" s="167" t="str">
        <x:f>IF(AND(Z$6&lt;=$H44,Z$6+6&gt;=$G44),1,"")</x:f>
      </x:c>
      <x:c r="AA44" s="167" t="str">
        <x:f>IF(AND(AA$6&lt;=$H44,AA$6+6&gt;=$G44),1,"")</x:f>
      </x:c>
      <x:c r="AB44" s="167" t="n">
        <x:f>IF(AND(AB$6&lt;=$H44,AB$6+6&gt;=$G44),1,"")</x:f>
        <x:v>1</x:v>
      </x:c>
      <x:c r="AC44" s="167" t="str">
        <x:f>IF(AND(AC$6&lt;=$H44,AC$6+6&gt;=$G44),1,"")</x:f>
      </x:c>
      <x:c r="AD44" s="167" t="str">
        <x:f>IF(AND(AD$6&lt;=$H44,AD$6+6&gt;=$G44),1,"")</x:f>
      </x:c>
      <x:c r="AE44" s="167" t="str">
        <x:f>IF(AND(AE$6&lt;=$H44,AE$6+6&gt;=$G44),1,"")</x:f>
      </x:c>
      <x:c r="AF44" s="167" t="str">
        <x:f>IF(AND(AF$6&lt;=$H44,AF$6+6&gt;=$G44),1,"")</x:f>
      </x:c>
      <x:c r="AG44" s="167" t="str">
        <x:f>IF(AND(AG$6&lt;=$H44,AG$6+6&gt;=$G44),1,"")</x:f>
      </x:c>
      <x:c r="AH44" s="167" t="str">
        <x:f>IF(AND(AH$6&lt;=$H44,AH$6+6&gt;=$G44),1,"")</x:f>
      </x:c>
      <x:c r="AI44" s="167" t="str">
        <x:f>IF(AND(AI$6&lt;=$H44,AI$6+6&gt;=$G44),1,"")</x:f>
      </x:c>
      <x:c r="AJ44" s="167" t="str">
        <x:f>IF(AND(AJ$6&lt;=$H44,AJ$6+6&gt;=$G44),1,"")</x:f>
      </x:c>
      <x:c r="AK44" s="167" t="str">
        <x:f>IF(AND(AK$6&lt;=$H44,AK$6+6&gt;=$G44),1,"")</x:f>
      </x:c>
      <x:c r="AL44" s="167" t="str">
        <x:f>IF(AND(AL$6&lt;=$H44,AL$6+6&gt;=$G44),1,"")</x:f>
      </x:c>
      <x:c r="AM44" s="167" t="str">
        <x:f>IF(AND(AM$6&lt;=$H44,AM$6+6&gt;=$G44),1,"")</x:f>
      </x:c>
      <x:c r="AN44" s="167" t="str">
        <x:f>IF(AND(AN$6&lt;=$H44,AN$6+6&gt;=$G44),1,"")</x:f>
      </x:c>
      <x:c r="AO44" s="167" t="str">
        <x:f>IF(AND(AO$6&lt;=$H44,AO$6+6&gt;=$G44),1,"")</x:f>
      </x:c>
      <x:c r="AP44" s="167" t="str">
        <x:f>IF(AND(AP$6&lt;=$H44,AP$6+6&gt;=$G44),1,"")</x:f>
      </x:c>
      <x:c r="AQ44" s="167" t="str">
        <x:f>IF(AND(AQ$6&lt;=$H44,AQ$6+6&gt;=$G44),1,"")</x:f>
      </x:c>
      <x:c r="AR44" s="167" t="str">
        <x:f>IF(AND(AR$6&lt;=$H44,AR$6+6&gt;=$G44),1,"")</x:f>
      </x:c>
      <x:c r="AS44" s="167" t="str">
        <x:f>IF(AND(AS$6&lt;=$H44,AS$6+6&gt;=$G44),1,"")</x:f>
      </x:c>
      <x:c r="AT44" s="167" t="str">
        <x:f>IF(AND(AT$6&lt;=$H44,AT$6+6&gt;=$G44),1,"")</x:f>
      </x:c>
      <x:c r="AU44" s="167" t="str">
        <x:f>IF(AND(AU$6&lt;=$H44,AU$6+6&gt;=$G44),1,"")</x:f>
      </x:c>
      <x:c r="AV44" s="167" t="str">
        <x:f>IF(AND(AV$6&lt;=$H44,AV$6+6&gt;=$G44),1,"")</x:f>
      </x:c>
      <x:c r="AW44" s="167" t="str">
        <x:f>IF(AND(AW$6&lt;=$H44,AW$6+6&gt;=$G44),1,"")</x:f>
      </x:c>
      <x:c r="AX44" s="167" t="str">
        <x:f>IF(AND(AX$6&lt;=$H44,AX$6+6&gt;=$G44),1,"")</x:f>
      </x:c>
      <x:c r="AY44" s="167" t="str">
        <x:f>IF(AND(AY$6&lt;=$H44,AY$6+6&gt;=$G44),1,"")</x:f>
      </x:c>
      <x:c r="AZ44" s="167" t="str">
        <x:f>IF(AND(AZ$6&lt;=$H44,AZ$6+6&gt;=$G44),1,"")</x:f>
      </x:c>
      <x:c r="BA44" s="167" t="str">
        <x:f>IF(AND(BA$6&lt;=$H44,BA$6+6&gt;=$G44),1,"")</x:f>
      </x:c>
      <x:c r="BB44" s="167" t="str">
        <x:f>IF(AND(BB$6&lt;=$H44,BB$6+6&gt;=$G44),1,"")</x:f>
      </x:c>
      <x:c r="BC44" s="167" t="str">
        <x:f>IF(AND(BC$6&lt;=$H44,BC$6+6&gt;=$G44),1,"")</x:f>
      </x:c>
      <x:c r="BD44" s="167" t="str">
        <x:f>IF(AND(BD$6&lt;=$H44,BD$6+6&gt;=$G44),1,"")</x:f>
      </x:c>
      <x:c r="BE44" s="167" t="str">
        <x:f>IF(AND(BE$6&lt;=$H44,BE$6+6&gt;=$G44),1,"")</x:f>
      </x:c>
      <x:c r="BF44" s="167" t="str">
        <x:f>IF(AND(BF$6&lt;=$H44,BF$6+6&gt;=$G44),1,"")</x:f>
      </x:c>
      <x:c r="BG44" s="167" t="str">
        <x:f>IF(AND(BG$6&lt;=$H44,BG$6+6&gt;=$G44),1,"")</x:f>
      </x:c>
      <x:c r="BH44" s="167" t="str">
        <x:f>IF(AND(BH$6&lt;=$H44,BH$6+6&gt;=$G44),1,"")</x:f>
      </x:c>
      <x:c r="BI44" s="167" t="str">
        <x:f>IF(AND(BI$6&lt;=$H44,BI$6+6&gt;=$G44),1,"")</x:f>
      </x:c>
      <x:c r="BJ44" s="167" t="str">
        <x:f>IF(AND(BJ$6&lt;=$H44,BJ$6+6&gt;=$G44),1,"")</x:f>
      </x:c>
      <x:c r="BK44" s="167" t="str">
        <x:f>IF(AND(BK$6&lt;=$H44,BK$6+6&gt;=$G44),1,"")</x:f>
      </x:c>
      <x:c r="BL44" s="167" t="str">
        <x:f>IF(AND(BL$6&lt;=$H44,BL$6+6&gt;=$G44),1,"")</x:f>
      </x:c>
      <x:c r="BM44" s="167" t="str">
        <x:f>IF(AND(BM$6&lt;=$H44,BM$6+6&gt;=$G44),1,"")</x:f>
      </x:c>
      <x:c r="BN44" s="167" t="str">
        <x:f>IF(AND(BN$6&lt;=$H44,BN$6+6&gt;=$G44),1,"")</x:f>
      </x:c>
      <x:c r="BO44" s="168" t="str">
        <x:f>IF(AND(BO$6&lt;=$H44,BO$6+6&gt;=$G44),1,"")</x:f>
      </x:c>
    </x:row>
    <x:row r="45" ht="24" customHeight="1">
      <x:c r="A45" s="68" t="str">
        <x:f>'Task Register'!A43</x:f>
        <x:v>AI-302</x:v>
      </x:c>
      <x:c r="B45" s="68" t="str">
        <x:f>'Task Register'!B43</x:f>
        <x:v>M3</x:v>
      </x:c>
      <x:c r="C45" s="68" t="str">
        <x:f>'Task Register'!C43</x:f>
        <x:v>Active Vision/Sensors</x:v>
      </x:c>
      <x:c r="D45" s="68" t="str">
        <x:f>'Task Register'!D43</x:f>
        <x:v>Implement foveal and peripheral observations</x:v>
      </x:c>
      <x:c r="E45" s="68" t="str">
        <x:f>'Task Register'!E43</x:f>
        <x:v>AI-301, AI-202</x:v>
      </x:c>
      <x:c r="F45" s="68" t="str">
        <x:f>'Task Register'!F43</x:f>
        <x:v>Blocked</x:v>
      </x:c>
      <x:c r="G45" s="94" t="n">
        <x:f>'Task Register'!I43</x:f>
        <x:v>46373</x:v>
      </x:c>
      <x:c r="H45" s="94" t="n">
        <x:f>'Task Register'!J43</x:f>
        <x:v>46378</x:v>
      </x:c>
      <x:c r="I45" s="166" t="str">
        <x:f>IF(AND(I$6&lt;=$H45,I$6+6&gt;=$G45),1,"")</x:f>
      </x:c>
      <x:c r="J45" s="167" t="str">
        <x:f>IF(AND(J$6&lt;=$H45,J$6+6&gt;=$G45),1,"")</x:f>
      </x:c>
      <x:c r="K45" s="167" t="str">
        <x:f>IF(AND(K$6&lt;=$H45,K$6+6&gt;=$G45),1,"")</x:f>
      </x:c>
      <x:c r="L45" s="167" t="str">
        <x:f>IF(AND(L$6&lt;=$H45,L$6+6&gt;=$G45),1,"")</x:f>
      </x:c>
      <x:c r="M45" s="167" t="str">
        <x:f>IF(AND(M$6&lt;=$H45,M$6+6&gt;=$G45),1,"")</x:f>
      </x:c>
      <x:c r="N45" s="167" t="str">
        <x:f>IF(AND(N$6&lt;=$H45,N$6+6&gt;=$G45),1,"")</x:f>
      </x:c>
      <x:c r="O45" s="167" t="str">
        <x:f>IF(AND(O$6&lt;=$H45,O$6+6&gt;=$G45),1,"")</x:f>
      </x:c>
      <x:c r="P45" s="167" t="str">
        <x:f>IF(AND(P$6&lt;=$H45,P$6+6&gt;=$G45),1,"")</x:f>
      </x:c>
      <x:c r="Q45" s="167" t="str">
        <x:f>IF(AND(Q$6&lt;=$H45,Q$6+6&gt;=$G45),1,"")</x:f>
      </x:c>
      <x:c r="R45" s="167" t="str">
        <x:f>IF(AND(R$6&lt;=$H45,R$6+6&gt;=$G45),1,"")</x:f>
      </x:c>
      <x:c r="S45" s="167" t="str">
        <x:f>IF(AND(S$6&lt;=$H45,S$6+6&gt;=$G45),1,"")</x:f>
      </x:c>
      <x:c r="T45" s="167" t="str">
        <x:f>IF(AND(T$6&lt;=$H45,T$6+6&gt;=$G45),1,"")</x:f>
      </x:c>
      <x:c r="U45" s="167" t="str">
        <x:f>IF(AND(U$6&lt;=$H45,U$6+6&gt;=$G45),1,"")</x:f>
      </x:c>
      <x:c r="V45" s="167" t="str">
        <x:f>IF(AND(V$6&lt;=$H45,V$6+6&gt;=$G45),1,"")</x:f>
      </x:c>
      <x:c r="W45" s="167" t="str">
        <x:f>IF(AND(W$6&lt;=$H45,W$6+6&gt;=$G45),1,"")</x:f>
      </x:c>
      <x:c r="X45" s="167" t="str">
        <x:f>IF(AND(X$6&lt;=$H45,X$6+6&gt;=$G45),1,"")</x:f>
      </x:c>
      <x:c r="Y45" s="167" t="str">
        <x:f>IF(AND(Y$6&lt;=$H45,Y$6+6&gt;=$G45),1,"")</x:f>
      </x:c>
      <x:c r="Z45" s="167" t="str">
        <x:f>IF(AND(Z$6&lt;=$H45,Z$6+6&gt;=$G45),1,"")</x:f>
      </x:c>
      <x:c r="AA45" s="167" t="str">
        <x:f>IF(AND(AA$6&lt;=$H45,AA$6+6&gt;=$G45),1,"")</x:f>
      </x:c>
      <x:c r="AB45" s="167" t="n">
        <x:f>IF(AND(AB$6&lt;=$H45,AB$6+6&gt;=$G45),1,"")</x:f>
        <x:v>1</x:v>
      </x:c>
      <x:c r="AC45" s="167" t="n">
        <x:f>IF(AND(AC$6&lt;=$H45,AC$6+6&gt;=$G45),1,"")</x:f>
        <x:v>1</x:v>
      </x:c>
      <x:c r="AD45" s="167" t="str">
        <x:f>IF(AND(AD$6&lt;=$H45,AD$6+6&gt;=$G45),1,"")</x:f>
      </x:c>
      <x:c r="AE45" s="167" t="str">
        <x:f>IF(AND(AE$6&lt;=$H45,AE$6+6&gt;=$G45),1,"")</x:f>
      </x:c>
      <x:c r="AF45" s="167" t="str">
        <x:f>IF(AND(AF$6&lt;=$H45,AF$6+6&gt;=$G45),1,"")</x:f>
      </x:c>
      <x:c r="AG45" s="167" t="str">
        <x:f>IF(AND(AG$6&lt;=$H45,AG$6+6&gt;=$G45),1,"")</x:f>
      </x:c>
      <x:c r="AH45" s="167" t="str">
        <x:f>IF(AND(AH$6&lt;=$H45,AH$6+6&gt;=$G45),1,"")</x:f>
      </x:c>
      <x:c r="AI45" s="167" t="str">
        <x:f>IF(AND(AI$6&lt;=$H45,AI$6+6&gt;=$G45),1,"")</x:f>
      </x:c>
      <x:c r="AJ45" s="167" t="str">
        <x:f>IF(AND(AJ$6&lt;=$H45,AJ$6+6&gt;=$G45),1,"")</x:f>
      </x:c>
      <x:c r="AK45" s="167" t="str">
        <x:f>IF(AND(AK$6&lt;=$H45,AK$6+6&gt;=$G45),1,"")</x:f>
      </x:c>
      <x:c r="AL45" s="167" t="str">
        <x:f>IF(AND(AL$6&lt;=$H45,AL$6+6&gt;=$G45),1,"")</x:f>
      </x:c>
      <x:c r="AM45" s="167" t="str">
        <x:f>IF(AND(AM$6&lt;=$H45,AM$6+6&gt;=$G45),1,"")</x:f>
      </x:c>
      <x:c r="AN45" s="167" t="str">
        <x:f>IF(AND(AN$6&lt;=$H45,AN$6+6&gt;=$G45),1,"")</x:f>
      </x:c>
      <x:c r="AO45" s="167" t="str">
        <x:f>IF(AND(AO$6&lt;=$H45,AO$6+6&gt;=$G45),1,"")</x:f>
      </x:c>
      <x:c r="AP45" s="167" t="str">
        <x:f>IF(AND(AP$6&lt;=$H45,AP$6+6&gt;=$G45),1,"")</x:f>
      </x:c>
      <x:c r="AQ45" s="167" t="str">
        <x:f>IF(AND(AQ$6&lt;=$H45,AQ$6+6&gt;=$G45),1,"")</x:f>
      </x:c>
      <x:c r="AR45" s="167" t="str">
        <x:f>IF(AND(AR$6&lt;=$H45,AR$6+6&gt;=$G45),1,"")</x:f>
      </x:c>
      <x:c r="AS45" s="167" t="str">
        <x:f>IF(AND(AS$6&lt;=$H45,AS$6+6&gt;=$G45),1,"")</x:f>
      </x:c>
      <x:c r="AT45" s="167" t="str">
        <x:f>IF(AND(AT$6&lt;=$H45,AT$6+6&gt;=$G45),1,"")</x:f>
      </x:c>
      <x:c r="AU45" s="167" t="str">
        <x:f>IF(AND(AU$6&lt;=$H45,AU$6+6&gt;=$G45),1,"")</x:f>
      </x:c>
      <x:c r="AV45" s="167" t="str">
        <x:f>IF(AND(AV$6&lt;=$H45,AV$6+6&gt;=$G45),1,"")</x:f>
      </x:c>
      <x:c r="AW45" s="167" t="str">
        <x:f>IF(AND(AW$6&lt;=$H45,AW$6+6&gt;=$G45),1,"")</x:f>
      </x:c>
      <x:c r="AX45" s="167" t="str">
        <x:f>IF(AND(AX$6&lt;=$H45,AX$6+6&gt;=$G45),1,"")</x:f>
      </x:c>
      <x:c r="AY45" s="167" t="str">
        <x:f>IF(AND(AY$6&lt;=$H45,AY$6+6&gt;=$G45),1,"")</x:f>
      </x:c>
      <x:c r="AZ45" s="167" t="str">
        <x:f>IF(AND(AZ$6&lt;=$H45,AZ$6+6&gt;=$G45),1,"")</x:f>
      </x:c>
      <x:c r="BA45" s="167" t="str">
        <x:f>IF(AND(BA$6&lt;=$H45,BA$6+6&gt;=$G45),1,"")</x:f>
      </x:c>
      <x:c r="BB45" s="167" t="str">
        <x:f>IF(AND(BB$6&lt;=$H45,BB$6+6&gt;=$G45),1,"")</x:f>
      </x:c>
      <x:c r="BC45" s="167" t="str">
        <x:f>IF(AND(BC$6&lt;=$H45,BC$6+6&gt;=$G45),1,"")</x:f>
      </x:c>
      <x:c r="BD45" s="167" t="str">
        <x:f>IF(AND(BD$6&lt;=$H45,BD$6+6&gt;=$G45),1,"")</x:f>
      </x:c>
      <x:c r="BE45" s="167" t="str">
        <x:f>IF(AND(BE$6&lt;=$H45,BE$6+6&gt;=$G45),1,"")</x:f>
      </x:c>
      <x:c r="BF45" s="167" t="str">
        <x:f>IF(AND(BF$6&lt;=$H45,BF$6+6&gt;=$G45),1,"")</x:f>
      </x:c>
      <x:c r="BG45" s="167" t="str">
        <x:f>IF(AND(BG$6&lt;=$H45,BG$6+6&gt;=$G45),1,"")</x:f>
      </x:c>
      <x:c r="BH45" s="167" t="str">
        <x:f>IF(AND(BH$6&lt;=$H45,BH$6+6&gt;=$G45),1,"")</x:f>
      </x:c>
      <x:c r="BI45" s="167" t="str">
        <x:f>IF(AND(BI$6&lt;=$H45,BI$6+6&gt;=$G45),1,"")</x:f>
      </x:c>
      <x:c r="BJ45" s="167" t="str">
        <x:f>IF(AND(BJ$6&lt;=$H45,BJ$6+6&gt;=$G45),1,"")</x:f>
      </x:c>
      <x:c r="BK45" s="167" t="str">
        <x:f>IF(AND(BK$6&lt;=$H45,BK$6+6&gt;=$G45),1,"")</x:f>
      </x:c>
      <x:c r="BL45" s="167" t="str">
        <x:f>IF(AND(BL$6&lt;=$H45,BL$6+6&gt;=$G45),1,"")</x:f>
      </x:c>
      <x:c r="BM45" s="167" t="str">
        <x:f>IF(AND(BM$6&lt;=$H45,BM$6+6&gt;=$G45),1,"")</x:f>
      </x:c>
      <x:c r="BN45" s="167" t="str">
        <x:f>IF(AND(BN$6&lt;=$H45,BN$6+6&gt;=$G45),1,"")</x:f>
      </x:c>
      <x:c r="BO45" s="168" t="str">
        <x:f>IF(AND(BO$6&lt;=$H45,BO$6+6&gt;=$G45),1,"")</x:f>
      </x:c>
    </x:row>
    <x:row r="46" ht="24" customHeight="1">
      <x:c r="A46" s="68" t="str">
        <x:f>'Task Register'!A44</x:f>
        <x:v>AI-303</x:v>
      </x:c>
      <x:c r="B46" s="68" t="str">
        <x:f>'Task Register'!B44</x:f>
        <x:v>M3</x:v>
      </x:c>
      <x:c r="C46" s="68" t="str">
        <x:f>'Task Register'!C44</x:f>
        <x:v>Variational Inference</x:v>
      </x:c>
      <x:c r="D46" s="68" t="str">
        <x:f>'Task Register'!D44</x:f>
        <x:v>Maintain beliefs under partial observation</x:v>
      </x:c>
      <x:c r="E46" s="68" t="str">
        <x:f>'Task Register'!E44</x:f>
        <x:v>AI-204, AI-302</x:v>
      </x:c>
      <x:c r="F46" s="68" t="str">
        <x:f>'Task Register'!F44</x:f>
        <x:v>Blocked</x:v>
      </x:c>
      <x:c r="G46" s="94" t="n">
        <x:f>'Task Register'!I44</x:f>
        <x:v>46379</x:v>
      </x:c>
      <x:c r="H46" s="94" t="n">
        <x:f>'Task Register'!J44</x:f>
        <x:v>46385</x:v>
      </x:c>
      <x:c r="I46" s="166" t="str">
        <x:f>IF(AND(I$6&lt;=$H46,I$6+6&gt;=$G46),1,"")</x:f>
      </x:c>
      <x:c r="J46" s="167" t="str">
        <x:f>IF(AND(J$6&lt;=$H46,J$6+6&gt;=$G46),1,"")</x:f>
      </x:c>
      <x:c r="K46" s="167" t="str">
        <x:f>IF(AND(K$6&lt;=$H46,K$6+6&gt;=$G46),1,"")</x:f>
      </x:c>
      <x:c r="L46" s="167" t="str">
        <x:f>IF(AND(L$6&lt;=$H46,L$6+6&gt;=$G46),1,"")</x:f>
      </x:c>
      <x:c r="M46" s="167" t="str">
        <x:f>IF(AND(M$6&lt;=$H46,M$6+6&gt;=$G46),1,"")</x:f>
      </x:c>
      <x:c r="N46" s="167" t="str">
        <x:f>IF(AND(N$6&lt;=$H46,N$6+6&gt;=$G46),1,"")</x:f>
      </x:c>
      <x:c r="O46" s="167" t="str">
        <x:f>IF(AND(O$6&lt;=$H46,O$6+6&gt;=$G46),1,"")</x:f>
      </x:c>
      <x:c r="P46" s="167" t="str">
        <x:f>IF(AND(P$6&lt;=$H46,P$6+6&gt;=$G46),1,"")</x:f>
      </x:c>
      <x:c r="Q46" s="167" t="str">
        <x:f>IF(AND(Q$6&lt;=$H46,Q$6+6&gt;=$G46),1,"")</x:f>
      </x:c>
      <x:c r="R46" s="167" t="str">
        <x:f>IF(AND(R$6&lt;=$H46,R$6+6&gt;=$G46),1,"")</x:f>
      </x:c>
      <x:c r="S46" s="167" t="str">
        <x:f>IF(AND(S$6&lt;=$H46,S$6+6&gt;=$G46),1,"")</x:f>
      </x:c>
      <x:c r="T46" s="167" t="str">
        <x:f>IF(AND(T$6&lt;=$H46,T$6+6&gt;=$G46),1,"")</x:f>
      </x:c>
      <x:c r="U46" s="167" t="str">
        <x:f>IF(AND(U$6&lt;=$H46,U$6+6&gt;=$G46),1,"")</x:f>
      </x:c>
      <x:c r="V46" s="167" t="str">
        <x:f>IF(AND(V$6&lt;=$H46,V$6+6&gt;=$G46),1,"")</x:f>
      </x:c>
      <x:c r="W46" s="167" t="str">
        <x:f>IF(AND(W$6&lt;=$H46,W$6+6&gt;=$G46),1,"")</x:f>
      </x:c>
      <x:c r="X46" s="167" t="str">
        <x:f>IF(AND(X$6&lt;=$H46,X$6+6&gt;=$G46),1,"")</x:f>
      </x:c>
      <x:c r="Y46" s="167" t="str">
        <x:f>IF(AND(Y$6&lt;=$H46,Y$6+6&gt;=$G46),1,"")</x:f>
      </x:c>
      <x:c r="Z46" s="167" t="str">
        <x:f>IF(AND(Z$6&lt;=$H46,Z$6+6&gt;=$G46),1,"")</x:f>
      </x:c>
      <x:c r="AA46" s="167" t="str">
        <x:f>IF(AND(AA$6&lt;=$H46,AA$6+6&gt;=$G46),1,"")</x:f>
      </x:c>
      <x:c r="AB46" s="167" t="str">
        <x:f>IF(AND(AB$6&lt;=$H46,AB$6+6&gt;=$G46),1,"")</x:f>
      </x:c>
      <x:c r="AC46" s="167" t="n">
        <x:f>IF(AND(AC$6&lt;=$H46,AC$6+6&gt;=$G46),1,"")</x:f>
        <x:v>1</x:v>
      </x:c>
      <x:c r="AD46" s="167" t="n">
        <x:f>IF(AND(AD$6&lt;=$H46,AD$6+6&gt;=$G46),1,"")</x:f>
        <x:v>1</x:v>
      </x:c>
      <x:c r="AE46" s="167" t="str">
        <x:f>IF(AND(AE$6&lt;=$H46,AE$6+6&gt;=$G46),1,"")</x:f>
      </x:c>
      <x:c r="AF46" s="167" t="str">
        <x:f>IF(AND(AF$6&lt;=$H46,AF$6+6&gt;=$G46),1,"")</x:f>
      </x:c>
      <x:c r="AG46" s="167" t="str">
        <x:f>IF(AND(AG$6&lt;=$H46,AG$6+6&gt;=$G46),1,"")</x:f>
      </x:c>
      <x:c r="AH46" s="167" t="str">
        <x:f>IF(AND(AH$6&lt;=$H46,AH$6+6&gt;=$G46),1,"")</x:f>
      </x:c>
      <x:c r="AI46" s="167" t="str">
        <x:f>IF(AND(AI$6&lt;=$H46,AI$6+6&gt;=$G46),1,"")</x:f>
      </x:c>
      <x:c r="AJ46" s="167" t="str">
        <x:f>IF(AND(AJ$6&lt;=$H46,AJ$6+6&gt;=$G46),1,"")</x:f>
      </x:c>
      <x:c r="AK46" s="167" t="str">
        <x:f>IF(AND(AK$6&lt;=$H46,AK$6+6&gt;=$G46),1,"")</x:f>
      </x:c>
      <x:c r="AL46" s="167" t="str">
        <x:f>IF(AND(AL$6&lt;=$H46,AL$6+6&gt;=$G46),1,"")</x:f>
      </x:c>
      <x:c r="AM46" s="167" t="str">
        <x:f>IF(AND(AM$6&lt;=$H46,AM$6+6&gt;=$G46),1,"")</x:f>
      </x:c>
      <x:c r="AN46" s="167" t="str">
        <x:f>IF(AND(AN$6&lt;=$H46,AN$6+6&gt;=$G46),1,"")</x:f>
      </x:c>
      <x:c r="AO46" s="167" t="str">
        <x:f>IF(AND(AO$6&lt;=$H46,AO$6+6&gt;=$G46),1,"")</x:f>
      </x:c>
      <x:c r="AP46" s="167" t="str">
        <x:f>IF(AND(AP$6&lt;=$H46,AP$6+6&gt;=$G46),1,"")</x:f>
      </x:c>
      <x:c r="AQ46" s="167" t="str">
        <x:f>IF(AND(AQ$6&lt;=$H46,AQ$6+6&gt;=$G46),1,"")</x:f>
      </x:c>
      <x:c r="AR46" s="167" t="str">
        <x:f>IF(AND(AR$6&lt;=$H46,AR$6+6&gt;=$G46),1,"")</x:f>
      </x:c>
      <x:c r="AS46" s="167" t="str">
        <x:f>IF(AND(AS$6&lt;=$H46,AS$6+6&gt;=$G46),1,"")</x:f>
      </x:c>
      <x:c r="AT46" s="167" t="str">
        <x:f>IF(AND(AT$6&lt;=$H46,AT$6+6&gt;=$G46),1,"")</x:f>
      </x:c>
      <x:c r="AU46" s="167" t="str">
        <x:f>IF(AND(AU$6&lt;=$H46,AU$6+6&gt;=$G46),1,"")</x:f>
      </x:c>
      <x:c r="AV46" s="167" t="str">
        <x:f>IF(AND(AV$6&lt;=$H46,AV$6+6&gt;=$G46),1,"")</x:f>
      </x:c>
      <x:c r="AW46" s="167" t="str">
        <x:f>IF(AND(AW$6&lt;=$H46,AW$6+6&gt;=$G46),1,"")</x:f>
      </x:c>
      <x:c r="AX46" s="167" t="str">
        <x:f>IF(AND(AX$6&lt;=$H46,AX$6+6&gt;=$G46),1,"")</x:f>
      </x:c>
      <x:c r="AY46" s="167" t="str">
        <x:f>IF(AND(AY$6&lt;=$H46,AY$6+6&gt;=$G46),1,"")</x:f>
      </x:c>
      <x:c r="AZ46" s="167" t="str">
        <x:f>IF(AND(AZ$6&lt;=$H46,AZ$6+6&gt;=$G46),1,"")</x:f>
      </x:c>
      <x:c r="BA46" s="167" t="str">
        <x:f>IF(AND(BA$6&lt;=$H46,BA$6+6&gt;=$G46),1,"")</x:f>
      </x:c>
      <x:c r="BB46" s="167" t="str">
        <x:f>IF(AND(BB$6&lt;=$H46,BB$6+6&gt;=$G46),1,"")</x:f>
      </x:c>
      <x:c r="BC46" s="167" t="str">
        <x:f>IF(AND(BC$6&lt;=$H46,BC$6+6&gt;=$G46),1,"")</x:f>
      </x:c>
      <x:c r="BD46" s="167" t="str">
        <x:f>IF(AND(BD$6&lt;=$H46,BD$6+6&gt;=$G46),1,"")</x:f>
      </x:c>
      <x:c r="BE46" s="167" t="str">
        <x:f>IF(AND(BE$6&lt;=$H46,BE$6+6&gt;=$G46),1,"")</x:f>
      </x:c>
      <x:c r="BF46" s="167" t="str">
        <x:f>IF(AND(BF$6&lt;=$H46,BF$6+6&gt;=$G46),1,"")</x:f>
      </x:c>
      <x:c r="BG46" s="167" t="str">
        <x:f>IF(AND(BG$6&lt;=$H46,BG$6+6&gt;=$G46),1,"")</x:f>
      </x:c>
      <x:c r="BH46" s="167" t="str">
        <x:f>IF(AND(BH$6&lt;=$H46,BH$6+6&gt;=$G46),1,"")</x:f>
      </x:c>
      <x:c r="BI46" s="167" t="str">
        <x:f>IF(AND(BI$6&lt;=$H46,BI$6+6&gt;=$G46),1,"")</x:f>
      </x:c>
      <x:c r="BJ46" s="167" t="str">
        <x:f>IF(AND(BJ$6&lt;=$H46,BJ$6+6&gt;=$G46),1,"")</x:f>
      </x:c>
      <x:c r="BK46" s="167" t="str">
        <x:f>IF(AND(BK$6&lt;=$H46,BK$6+6&gt;=$G46),1,"")</x:f>
      </x:c>
      <x:c r="BL46" s="167" t="str">
        <x:f>IF(AND(BL$6&lt;=$H46,BL$6+6&gt;=$G46),1,"")</x:f>
      </x:c>
      <x:c r="BM46" s="167" t="str">
        <x:f>IF(AND(BM$6&lt;=$H46,BM$6+6&gt;=$G46),1,"")</x:f>
      </x:c>
      <x:c r="BN46" s="167" t="str">
        <x:f>IF(AND(BN$6&lt;=$H46,BN$6+6&gt;=$G46),1,"")</x:f>
      </x:c>
      <x:c r="BO46" s="168" t="str">
        <x:f>IF(AND(BO$6&lt;=$H46,BO$6+6&gt;=$G46),1,"")</x:f>
      </x:c>
    </x:row>
    <x:row r="47" ht="24" customHeight="1">
      <x:c r="A47" s="68" t="str">
        <x:f>'Task Register'!A45</x:f>
        <x:v>AI-304</x:v>
      </x:c>
      <x:c r="B47" s="68" t="str">
        <x:f>'Task Register'!B45</x:f>
        <x:v>M3</x:v>
      </x:c>
      <x:c r="C47" s="68" t="str">
        <x:f>'Task Register'!C45</x:f>
        <x:v>Active Inference/Policy</x:v>
      </x:c>
      <x:c r="D47" s="68" t="str">
        <x:f>'Task Register'!D45</x:f>
        <x:v>Define gaze policies and their EFE</x:v>
      </x:c>
      <x:c r="E47" s="68" t="str">
        <x:f>'Task Register'!E45</x:f>
        <x:v>AI-105, AI-303</x:v>
      </x:c>
      <x:c r="F47" s="68" t="str">
        <x:f>'Task Register'!F45</x:f>
        <x:v>Blocked</x:v>
      </x:c>
      <x:c r="G47" s="94" t="n">
        <x:f>'Task Register'!I45</x:f>
        <x:v>46386</x:v>
      </x:c>
      <x:c r="H47" s="94" t="n">
        <x:f>'Task Register'!J45</x:f>
        <x:v>46391</x:v>
      </x:c>
      <x:c r="I47" s="166" t="str">
        <x:f>IF(AND(I$6&lt;=$H47,I$6+6&gt;=$G47),1,"")</x:f>
      </x:c>
      <x:c r="J47" s="167" t="str">
        <x:f>IF(AND(J$6&lt;=$H47,J$6+6&gt;=$G47),1,"")</x:f>
      </x:c>
      <x:c r="K47" s="167" t="str">
        <x:f>IF(AND(K$6&lt;=$H47,K$6+6&gt;=$G47),1,"")</x:f>
      </x:c>
      <x:c r="L47" s="167" t="str">
        <x:f>IF(AND(L$6&lt;=$H47,L$6+6&gt;=$G47),1,"")</x:f>
      </x:c>
      <x:c r="M47" s="167" t="str">
        <x:f>IF(AND(M$6&lt;=$H47,M$6+6&gt;=$G47),1,"")</x:f>
      </x:c>
      <x:c r="N47" s="167" t="str">
        <x:f>IF(AND(N$6&lt;=$H47,N$6+6&gt;=$G47),1,"")</x:f>
      </x:c>
      <x:c r="O47" s="167" t="str">
        <x:f>IF(AND(O$6&lt;=$H47,O$6+6&gt;=$G47),1,"")</x:f>
      </x:c>
      <x:c r="P47" s="167" t="str">
        <x:f>IF(AND(P$6&lt;=$H47,P$6+6&gt;=$G47),1,"")</x:f>
      </x:c>
      <x:c r="Q47" s="167" t="str">
        <x:f>IF(AND(Q$6&lt;=$H47,Q$6+6&gt;=$G47),1,"")</x:f>
      </x:c>
      <x:c r="R47" s="167" t="str">
        <x:f>IF(AND(R$6&lt;=$H47,R$6+6&gt;=$G47),1,"")</x:f>
      </x:c>
      <x:c r="S47" s="167" t="str">
        <x:f>IF(AND(S$6&lt;=$H47,S$6+6&gt;=$G47),1,"")</x:f>
      </x:c>
      <x:c r="T47" s="167" t="str">
        <x:f>IF(AND(T$6&lt;=$H47,T$6+6&gt;=$G47),1,"")</x:f>
      </x:c>
      <x:c r="U47" s="167" t="str">
        <x:f>IF(AND(U$6&lt;=$H47,U$6+6&gt;=$G47),1,"")</x:f>
      </x:c>
      <x:c r="V47" s="167" t="str">
        <x:f>IF(AND(V$6&lt;=$H47,V$6+6&gt;=$G47),1,"")</x:f>
      </x:c>
      <x:c r="W47" s="167" t="str">
        <x:f>IF(AND(W$6&lt;=$H47,W$6+6&gt;=$G47),1,"")</x:f>
      </x:c>
      <x:c r="X47" s="167" t="str">
        <x:f>IF(AND(X$6&lt;=$H47,X$6+6&gt;=$G47),1,"")</x:f>
      </x:c>
      <x:c r="Y47" s="167" t="str">
        <x:f>IF(AND(Y$6&lt;=$H47,Y$6+6&gt;=$G47),1,"")</x:f>
      </x:c>
      <x:c r="Z47" s="167" t="str">
        <x:f>IF(AND(Z$6&lt;=$H47,Z$6+6&gt;=$G47),1,"")</x:f>
      </x:c>
      <x:c r="AA47" s="167" t="str">
        <x:f>IF(AND(AA$6&lt;=$H47,AA$6+6&gt;=$G47),1,"")</x:f>
      </x:c>
      <x:c r="AB47" s="167" t="str">
        <x:f>IF(AND(AB$6&lt;=$H47,AB$6+6&gt;=$G47),1,"")</x:f>
      </x:c>
      <x:c r="AC47" s="167" t="str">
        <x:f>IF(AND(AC$6&lt;=$H47,AC$6+6&gt;=$G47),1,"")</x:f>
      </x:c>
      <x:c r="AD47" s="167" t="n">
        <x:f>IF(AND(AD$6&lt;=$H47,AD$6+6&gt;=$G47),1,"")</x:f>
        <x:v>1</x:v>
      </x:c>
      <x:c r="AE47" s="167" t="n">
        <x:f>IF(AND(AE$6&lt;=$H47,AE$6+6&gt;=$G47),1,"")</x:f>
        <x:v>1</x:v>
      </x:c>
      <x:c r="AF47" s="167" t="str">
        <x:f>IF(AND(AF$6&lt;=$H47,AF$6+6&gt;=$G47),1,"")</x:f>
      </x:c>
      <x:c r="AG47" s="167" t="str">
        <x:f>IF(AND(AG$6&lt;=$H47,AG$6+6&gt;=$G47),1,"")</x:f>
      </x:c>
      <x:c r="AH47" s="167" t="str">
        <x:f>IF(AND(AH$6&lt;=$H47,AH$6+6&gt;=$G47),1,"")</x:f>
      </x:c>
      <x:c r="AI47" s="167" t="str">
        <x:f>IF(AND(AI$6&lt;=$H47,AI$6+6&gt;=$G47),1,"")</x:f>
      </x:c>
      <x:c r="AJ47" s="167" t="str">
        <x:f>IF(AND(AJ$6&lt;=$H47,AJ$6+6&gt;=$G47),1,"")</x:f>
      </x:c>
      <x:c r="AK47" s="167" t="str">
        <x:f>IF(AND(AK$6&lt;=$H47,AK$6+6&gt;=$G47),1,"")</x:f>
      </x:c>
      <x:c r="AL47" s="167" t="str">
        <x:f>IF(AND(AL$6&lt;=$H47,AL$6+6&gt;=$G47),1,"")</x:f>
      </x:c>
      <x:c r="AM47" s="167" t="str">
        <x:f>IF(AND(AM$6&lt;=$H47,AM$6+6&gt;=$G47),1,"")</x:f>
      </x:c>
      <x:c r="AN47" s="167" t="str">
        <x:f>IF(AND(AN$6&lt;=$H47,AN$6+6&gt;=$G47),1,"")</x:f>
      </x:c>
      <x:c r="AO47" s="167" t="str">
        <x:f>IF(AND(AO$6&lt;=$H47,AO$6+6&gt;=$G47),1,"")</x:f>
      </x:c>
      <x:c r="AP47" s="167" t="str">
        <x:f>IF(AND(AP$6&lt;=$H47,AP$6+6&gt;=$G47),1,"")</x:f>
      </x:c>
      <x:c r="AQ47" s="167" t="str">
        <x:f>IF(AND(AQ$6&lt;=$H47,AQ$6+6&gt;=$G47),1,"")</x:f>
      </x:c>
      <x:c r="AR47" s="167" t="str">
        <x:f>IF(AND(AR$6&lt;=$H47,AR$6+6&gt;=$G47),1,"")</x:f>
      </x:c>
      <x:c r="AS47" s="167" t="str">
        <x:f>IF(AND(AS$6&lt;=$H47,AS$6+6&gt;=$G47),1,"")</x:f>
      </x:c>
      <x:c r="AT47" s="167" t="str">
        <x:f>IF(AND(AT$6&lt;=$H47,AT$6+6&gt;=$G47),1,"")</x:f>
      </x:c>
      <x:c r="AU47" s="167" t="str">
        <x:f>IF(AND(AU$6&lt;=$H47,AU$6+6&gt;=$G47),1,"")</x:f>
      </x:c>
      <x:c r="AV47" s="167" t="str">
        <x:f>IF(AND(AV$6&lt;=$H47,AV$6+6&gt;=$G47),1,"")</x:f>
      </x:c>
      <x:c r="AW47" s="167" t="str">
        <x:f>IF(AND(AW$6&lt;=$H47,AW$6+6&gt;=$G47),1,"")</x:f>
      </x:c>
      <x:c r="AX47" s="167" t="str">
        <x:f>IF(AND(AX$6&lt;=$H47,AX$6+6&gt;=$G47),1,"")</x:f>
      </x:c>
      <x:c r="AY47" s="167" t="str">
        <x:f>IF(AND(AY$6&lt;=$H47,AY$6+6&gt;=$G47),1,"")</x:f>
      </x:c>
      <x:c r="AZ47" s="167" t="str">
        <x:f>IF(AND(AZ$6&lt;=$H47,AZ$6+6&gt;=$G47),1,"")</x:f>
      </x:c>
      <x:c r="BA47" s="167" t="str">
        <x:f>IF(AND(BA$6&lt;=$H47,BA$6+6&gt;=$G47),1,"")</x:f>
      </x:c>
      <x:c r="BB47" s="167" t="str">
        <x:f>IF(AND(BB$6&lt;=$H47,BB$6+6&gt;=$G47),1,"")</x:f>
      </x:c>
      <x:c r="BC47" s="167" t="str">
        <x:f>IF(AND(BC$6&lt;=$H47,BC$6+6&gt;=$G47),1,"")</x:f>
      </x:c>
      <x:c r="BD47" s="167" t="str">
        <x:f>IF(AND(BD$6&lt;=$H47,BD$6+6&gt;=$G47),1,"")</x:f>
      </x:c>
      <x:c r="BE47" s="167" t="str">
        <x:f>IF(AND(BE$6&lt;=$H47,BE$6+6&gt;=$G47),1,"")</x:f>
      </x:c>
      <x:c r="BF47" s="167" t="str">
        <x:f>IF(AND(BF$6&lt;=$H47,BF$6+6&gt;=$G47),1,"")</x:f>
      </x:c>
      <x:c r="BG47" s="167" t="str">
        <x:f>IF(AND(BG$6&lt;=$H47,BG$6+6&gt;=$G47),1,"")</x:f>
      </x:c>
      <x:c r="BH47" s="167" t="str">
        <x:f>IF(AND(BH$6&lt;=$H47,BH$6+6&gt;=$G47),1,"")</x:f>
      </x:c>
      <x:c r="BI47" s="167" t="str">
        <x:f>IF(AND(BI$6&lt;=$H47,BI$6+6&gt;=$G47),1,"")</x:f>
      </x:c>
      <x:c r="BJ47" s="167" t="str">
        <x:f>IF(AND(BJ$6&lt;=$H47,BJ$6+6&gt;=$G47),1,"")</x:f>
      </x:c>
      <x:c r="BK47" s="167" t="str">
        <x:f>IF(AND(BK$6&lt;=$H47,BK$6+6&gt;=$G47),1,"")</x:f>
      </x:c>
      <x:c r="BL47" s="167" t="str">
        <x:f>IF(AND(BL$6&lt;=$H47,BL$6+6&gt;=$G47),1,"")</x:f>
      </x:c>
      <x:c r="BM47" s="167" t="str">
        <x:f>IF(AND(BM$6&lt;=$H47,BM$6+6&gt;=$G47),1,"")</x:f>
      </x:c>
      <x:c r="BN47" s="167" t="str">
        <x:f>IF(AND(BN$6&lt;=$H47,BN$6+6&gt;=$G47),1,"")</x:f>
      </x:c>
      <x:c r="BO47" s="168" t="str">
        <x:f>IF(AND(BO$6&lt;=$H47,BO$6+6&gt;=$G47),1,"")</x:f>
      </x:c>
    </x:row>
    <x:row r="48" ht="24" customHeight="1">
      <x:c r="A48" s="68" t="str">
        <x:f>'Task Register'!A46</x:f>
        <x:v>AI-305</x:v>
      </x:c>
      <x:c r="B48" s="68" t="str">
        <x:f>'Task Register'!B46</x:f>
        <x:v>M3</x:v>
      </x:c>
      <x:c r="C48" s="68" t="str">
        <x:f>'Task Register'!C46</x:f>
        <x:v>Hierarchical Active Inference</x:v>
      </x:c>
      <x:c r="D48" s="68" t="str">
        <x:f>'Task Register'!D46</x:f>
        <x:v>Factor gaze, mark, passage, and motor policies</x:v>
      </x:c>
      <x:c r="E48" s="68" t="str">
        <x:f>'Task Register'!E46</x:f>
        <x:v>AI-207, AI-304</x:v>
      </x:c>
      <x:c r="F48" s="68" t="str">
        <x:f>'Task Register'!F46</x:f>
        <x:v>Blocked</x:v>
      </x:c>
      <x:c r="G48" s="94" t="n">
        <x:f>'Task Register'!I46</x:f>
        <x:v>46392</x:v>
      </x:c>
      <x:c r="H48" s="94" t="n">
        <x:f>'Task Register'!J46</x:f>
        <x:v>46398</x:v>
      </x:c>
      <x:c r="I48" s="166" t="str">
        <x:f>IF(AND(I$6&lt;=$H48,I$6+6&gt;=$G48),1,"")</x:f>
      </x:c>
      <x:c r="J48" s="167" t="str">
        <x:f>IF(AND(J$6&lt;=$H48,J$6+6&gt;=$G48),1,"")</x:f>
      </x:c>
      <x:c r="K48" s="167" t="str">
        <x:f>IF(AND(K$6&lt;=$H48,K$6+6&gt;=$G48),1,"")</x:f>
      </x:c>
      <x:c r="L48" s="167" t="str">
        <x:f>IF(AND(L$6&lt;=$H48,L$6+6&gt;=$G48),1,"")</x:f>
      </x:c>
      <x:c r="M48" s="167" t="str">
        <x:f>IF(AND(M$6&lt;=$H48,M$6+6&gt;=$G48),1,"")</x:f>
      </x:c>
      <x:c r="N48" s="167" t="str">
        <x:f>IF(AND(N$6&lt;=$H48,N$6+6&gt;=$G48),1,"")</x:f>
      </x:c>
      <x:c r="O48" s="167" t="str">
        <x:f>IF(AND(O$6&lt;=$H48,O$6+6&gt;=$G48),1,"")</x:f>
      </x:c>
      <x:c r="P48" s="167" t="str">
        <x:f>IF(AND(P$6&lt;=$H48,P$6+6&gt;=$G48),1,"")</x:f>
      </x:c>
      <x:c r="Q48" s="167" t="str">
        <x:f>IF(AND(Q$6&lt;=$H48,Q$6+6&gt;=$G48),1,"")</x:f>
      </x:c>
      <x:c r="R48" s="167" t="str">
        <x:f>IF(AND(R$6&lt;=$H48,R$6+6&gt;=$G48),1,"")</x:f>
      </x:c>
      <x:c r="S48" s="167" t="str">
        <x:f>IF(AND(S$6&lt;=$H48,S$6+6&gt;=$G48),1,"")</x:f>
      </x:c>
      <x:c r="T48" s="167" t="str">
        <x:f>IF(AND(T$6&lt;=$H48,T$6+6&gt;=$G48),1,"")</x:f>
      </x:c>
      <x:c r="U48" s="167" t="str">
        <x:f>IF(AND(U$6&lt;=$H48,U$6+6&gt;=$G48),1,"")</x:f>
      </x:c>
      <x:c r="V48" s="167" t="str">
        <x:f>IF(AND(V$6&lt;=$H48,V$6+6&gt;=$G48),1,"")</x:f>
      </x:c>
      <x:c r="W48" s="167" t="str">
        <x:f>IF(AND(W$6&lt;=$H48,W$6+6&gt;=$G48),1,"")</x:f>
      </x:c>
      <x:c r="X48" s="167" t="str">
        <x:f>IF(AND(X$6&lt;=$H48,X$6+6&gt;=$G48),1,"")</x:f>
      </x:c>
      <x:c r="Y48" s="167" t="str">
        <x:f>IF(AND(Y$6&lt;=$H48,Y$6+6&gt;=$G48),1,"")</x:f>
      </x:c>
      <x:c r="Z48" s="167" t="str">
        <x:f>IF(AND(Z$6&lt;=$H48,Z$6+6&gt;=$G48),1,"")</x:f>
      </x:c>
      <x:c r="AA48" s="167" t="str">
        <x:f>IF(AND(AA$6&lt;=$H48,AA$6+6&gt;=$G48),1,"")</x:f>
      </x:c>
      <x:c r="AB48" s="167" t="str">
        <x:f>IF(AND(AB$6&lt;=$H48,AB$6+6&gt;=$G48),1,"")</x:f>
      </x:c>
      <x:c r="AC48" s="167" t="str">
        <x:f>IF(AND(AC$6&lt;=$H48,AC$6+6&gt;=$G48),1,"")</x:f>
      </x:c>
      <x:c r="AD48" s="167" t="str">
        <x:f>IF(AND(AD$6&lt;=$H48,AD$6+6&gt;=$G48),1,"")</x:f>
      </x:c>
      <x:c r="AE48" s="167" t="n">
        <x:f>IF(AND(AE$6&lt;=$H48,AE$6+6&gt;=$G48),1,"")</x:f>
        <x:v>1</x:v>
      </x:c>
      <x:c r="AF48" s="167" t="n">
        <x:f>IF(AND(AF$6&lt;=$H48,AF$6+6&gt;=$G48),1,"")</x:f>
        <x:v>1</x:v>
      </x:c>
      <x:c r="AG48" s="167" t="str">
        <x:f>IF(AND(AG$6&lt;=$H48,AG$6+6&gt;=$G48),1,"")</x:f>
      </x:c>
      <x:c r="AH48" s="167" t="str">
        <x:f>IF(AND(AH$6&lt;=$H48,AH$6+6&gt;=$G48),1,"")</x:f>
      </x:c>
      <x:c r="AI48" s="167" t="str">
        <x:f>IF(AND(AI$6&lt;=$H48,AI$6+6&gt;=$G48),1,"")</x:f>
      </x:c>
      <x:c r="AJ48" s="167" t="str">
        <x:f>IF(AND(AJ$6&lt;=$H48,AJ$6+6&gt;=$G48),1,"")</x:f>
      </x:c>
      <x:c r="AK48" s="167" t="str">
        <x:f>IF(AND(AK$6&lt;=$H48,AK$6+6&gt;=$G48),1,"")</x:f>
      </x:c>
      <x:c r="AL48" s="167" t="str">
        <x:f>IF(AND(AL$6&lt;=$H48,AL$6+6&gt;=$G48),1,"")</x:f>
      </x:c>
      <x:c r="AM48" s="167" t="str">
        <x:f>IF(AND(AM$6&lt;=$H48,AM$6+6&gt;=$G48),1,"")</x:f>
      </x:c>
      <x:c r="AN48" s="167" t="str">
        <x:f>IF(AND(AN$6&lt;=$H48,AN$6+6&gt;=$G48),1,"")</x:f>
      </x:c>
      <x:c r="AO48" s="167" t="str">
        <x:f>IF(AND(AO$6&lt;=$H48,AO$6+6&gt;=$G48),1,"")</x:f>
      </x:c>
      <x:c r="AP48" s="167" t="str">
        <x:f>IF(AND(AP$6&lt;=$H48,AP$6+6&gt;=$G48),1,"")</x:f>
      </x:c>
      <x:c r="AQ48" s="167" t="str">
        <x:f>IF(AND(AQ$6&lt;=$H48,AQ$6+6&gt;=$G48),1,"")</x:f>
      </x:c>
      <x:c r="AR48" s="167" t="str">
        <x:f>IF(AND(AR$6&lt;=$H48,AR$6+6&gt;=$G48),1,"")</x:f>
      </x:c>
      <x:c r="AS48" s="167" t="str">
        <x:f>IF(AND(AS$6&lt;=$H48,AS$6+6&gt;=$G48),1,"")</x:f>
      </x:c>
      <x:c r="AT48" s="167" t="str">
        <x:f>IF(AND(AT$6&lt;=$H48,AT$6+6&gt;=$G48),1,"")</x:f>
      </x:c>
      <x:c r="AU48" s="167" t="str">
        <x:f>IF(AND(AU$6&lt;=$H48,AU$6+6&gt;=$G48),1,"")</x:f>
      </x:c>
      <x:c r="AV48" s="167" t="str">
        <x:f>IF(AND(AV$6&lt;=$H48,AV$6+6&gt;=$G48),1,"")</x:f>
      </x:c>
      <x:c r="AW48" s="167" t="str">
        <x:f>IF(AND(AW$6&lt;=$H48,AW$6+6&gt;=$G48),1,"")</x:f>
      </x:c>
      <x:c r="AX48" s="167" t="str">
        <x:f>IF(AND(AX$6&lt;=$H48,AX$6+6&gt;=$G48),1,"")</x:f>
      </x:c>
      <x:c r="AY48" s="167" t="str">
        <x:f>IF(AND(AY$6&lt;=$H48,AY$6+6&gt;=$G48),1,"")</x:f>
      </x:c>
      <x:c r="AZ48" s="167" t="str">
        <x:f>IF(AND(AZ$6&lt;=$H48,AZ$6+6&gt;=$G48),1,"")</x:f>
      </x:c>
      <x:c r="BA48" s="167" t="str">
        <x:f>IF(AND(BA$6&lt;=$H48,BA$6+6&gt;=$G48),1,"")</x:f>
      </x:c>
      <x:c r="BB48" s="167" t="str">
        <x:f>IF(AND(BB$6&lt;=$H48,BB$6+6&gt;=$G48),1,"")</x:f>
      </x:c>
      <x:c r="BC48" s="167" t="str">
        <x:f>IF(AND(BC$6&lt;=$H48,BC$6+6&gt;=$G48),1,"")</x:f>
      </x:c>
      <x:c r="BD48" s="167" t="str">
        <x:f>IF(AND(BD$6&lt;=$H48,BD$6+6&gt;=$G48),1,"")</x:f>
      </x:c>
      <x:c r="BE48" s="167" t="str">
        <x:f>IF(AND(BE$6&lt;=$H48,BE$6+6&gt;=$G48),1,"")</x:f>
      </x:c>
      <x:c r="BF48" s="167" t="str">
        <x:f>IF(AND(BF$6&lt;=$H48,BF$6+6&gt;=$G48),1,"")</x:f>
      </x:c>
      <x:c r="BG48" s="167" t="str">
        <x:f>IF(AND(BG$6&lt;=$H48,BG$6+6&gt;=$G48),1,"")</x:f>
      </x:c>
      <x:c r="BH48" s="167" t="str">
        <x:f>IF(AND(BH$6&lt;=$H48,BH$6+6&gt;=$G48),1,"")</x:f>
      </x:c>
      <x:c r="BI48" s="167" t="str">
        <x:f>IF(AND(BI$6&lt;=$H48,BI$6+6&gt;=$G48),1,"")</x:f>
      </x:c>
      <x:c r="BJ48" s="167" t="str">
        <x:f>IF(AND(BJ$6&lt;=$H48,BJ$6+6&gt;=$G48),1,"")</x:f>
      </x:c>
      <x:c r="BK48" s="167" t="str">
        <x:f>IF(AND(BK$6&lt;=$H48,BK$6+6&gt;=$G48),1,"")</x:f>
      </x:c>
      <x:c r="BL48" s="167" t="str">
        <x:f>IF(AND(BL$6&lt;=$H48,BL$6+6&gt;=$G48),1,"")</x:f>
      </x:c>
      <x:c r="BM48" s="167" t="str">
        <x:f>IF(AND(BM$6&lt;=$H48,BM$6+6&gt;=$G48),1,"")</x:f>
      </x:c>
      <x:c r="BN48" s="167" t="str">
        <x:f>IF(AND(BN$6&lt;=$H48,BN$6+6&gt;=$G48),1,"")</x:f>
      </x:c>
      <x:c r="BO48" s="168" t="str">
        <x:f>IF(AND(BO$6&lt;=$H48,BO$6+6&gt;=$G48),1,"")</x:f>
      </x:c>
    </x:row>
    <x:row r="49" ht="24" customHeight="1">
      <x:c r="A49" s="68" t="str">
        <x:f>'Task Register'!A47</x:f>
        <x:v>AI-306</x:v>
      </x:c>
      <x:c r="B49" s="68" t="str">
        <x:f>'Task Register'!B47</x:f>
        <x:v>M3</x:v>
      </x:c>
      <x:c r="C49" s="68" t="str">
        <x:f>'Task Register'!C47</x:f>
        <x:v>Policy Inference/Approximation</x:v>
      </x:c>
      <x:c r="D49" s="68" t="str">
        <x:f>'Task Register'!D47</x:f>
        <x:v>Correct finite-proposal policy inference</x:v>
      </x:c>
      <x:c r="E49" s="68" t="str">
        <x:f>'Task Register'!E47</x:f>
        <x:v>AI-111, AI-305</x:v>
      </x:c>
      <x:c r="F49" s="68" t="str">
        <x:f>'Task Register'!F47</x:f>
        <x:v>Blocked</x:v>
      </x:c>
      <x:c r="G49" s="94" t="n">
        <x:f>'Task Register'!I47</x:f>
        <x:v>46399</x:v>
      </x:c>
      <x:c r="H49" s="94" t="n">
        <x:f>'Task Register'!J47</x:f>
        <x:v>46402</x:v>
      </x:c>
      <x:c r="I49" s="166" t="str">
        <x:f>IF(AND(I$6&lt;=$H49,I$6+6&gt;=$G49),1,"")</x:f>
      </x:c>
      <x:c r="J49" s="167" t="str">
        <x:f>IF(AND(J$6&lt;=$H49,J$6+6&gt;=$G49),1,"")</x:f>
      </x:c>
      <x:c r="K49" s="167" t="str">
        <x:f>IF(AND(K$6&lt;=$H49,K$6+6&gt;=$G49),1,"")</x:f>
      </x:c>
      <x:c r="L49" s="167" t="str">
        <x:f>IF(AND(L$6&lt;=$H49,L$6+6&gt;=$G49),1,"")</x:f>
      </x:c>
      <x:c r="M49" s="167" t="str">
        <x:f>IF(AND(M$6&lt;=$H49,M$6+6&gt;=$G49),1,"")</x:f>
      </x:c>
      <x:c r="N49" s="167" t="str">
        <x:f>IF(AND(N$6&lt;=$H49,N$6+6&gt;=$G49),1,"")</x:f>
      </x:c>
      <x:c r="O49" s="167" t="str">
        <x:f>IF(AND(O$6&lt;=$H49,O$6+6&gt;=$G49),1,"")</x:f>
      </x:c>
      <x:c r="P49" s="167" t="str">
        <x:f>IF(AND(P$6&lt;=$H49,P$6+6&gt;=$G49),1,"")</x:f>
      </x:c>
      <x:c r="Q49" s="167" t="str">
        <x:f>IF(AND(Q$6&lt;=$H49,Q$6+6&gt;=$G49),1,"")</x:f>
      </x:c>
      <x:c r="R49" s="167" t="str">
        <x:f>IF(AND(R$6&lt;=$H49,R$6+6&gt;=$G49),1,"")</x:f>
      </x:c>
      <x:c r="S49" s="167" t="str">
        <x:f>IF(AND(S$6&lt;=$H49,S$6+6&gt;=$G49),1,"")</x:f>
      </x:c>
      <x:c r="T49" s="167" t="str">
        <x:f>IF(AND(T$6&lt;=$H49,T$6+6&gt;=$G49),1,"")</x:f>
      </x:c>
      <x:c r="U49" s="167" t="str">
        <x:f>IF(AND(U$6&lt;=$H49,U$6+6&gt;=$G49),1,"")</x:f>
      </x:c>
      <x:c r="V49" s="167" t="str">
        <x:f>IF(AND(V$6&lt;=$H49,V$6+6&gt;=$G49),1,"")</x:f>
      </x:c>
      <x:c r="W49" s="167" t="str">
        <x:f>IF(AND(W$6&lt;=$H49,W$6+6&gt;=$G49),1,"")</x:f>
      </x:c>
      <x:c r="X49" s="167" t="str">
        <x:f>IF(AND(X$6&lt;=$H49,X$6+6&gt;=$G49),1,"")</x:f>
      </x:c>
      <x:c r="Y49" s="167" t="str">
        <x:f>IF(AND(Y$6&lt;=$H49,Y$6+6&gt;=$G49),1,"")</x:f>
      </x:c>
      <x:c r="Z49" s="167" t="str">
        <x:f>IF(AND(Z$6&lt;=$H49,Z$6+6&gt;=$G49),1,"")</x:f>
      </x:c>
      <x:c r="AA49" s="167" t="str">
        <x:f>IF(AND(AA$6&lt;=$H49,AA$6+6&gt;=$G49),1,"")</x:f>
      </x:c>
      <x:c r="AB49" s="167" t="str">
        <x:f>IF(AND(AB$6&lt;=$H49,AB$6+6&gt;=$G49),1,"")</x:f>
      </x:c>
      <x:c r="AC49" s="167" t="str">
        <x:f>IF(AND(AC$6&lt;=$H49,AC$6+6&gt;=$G49),1,"")</x:f>
      </x:c>
      <x:c r="AD49" s="167" t="str">
        <x:f>IF(AND(AD$6&lt;=$H49,AD$6+6&gt;=$G49),1,"")</x:f>
      </x:c>
      <x:c r="AE49" s="167" t="str">
        <x:f>IF(AND(AE$6&lt;=$H49,AE$6+6&gt;=$G49),1,"")</x:f>
      </x:c>
      <x:c r="AF49" s="167" t="n">
        <x:f>IF(AND(AF$6&lt;=$H49,AF$6+6&gt;=$G49),1,"")</x:f>
        <x:v>1</x:v>
      </x:c>
      <x:c r="AG49" s="167" t="str">
        <x:f>IF(AND(AG$6&lt;=$H49,AG$6+6&gt;=$G49),1,"")</x:f>
      </x:c>
      <x:c r="AH49" s="167" t="str">
        <x:f>IF(AND(AH$6&lt;=$H49,AH$6+6&gt;=$G49),1,"")</x:f>
      </x:c>
      <x:c r="AI49" s="167" t="str">
        <x:f>IF(AND(AI$6&lt;=$H49,AI$6+6&gt;=$G49),1,"")</x:f>
      </x:c>
      <x:c r="AJ49" s="167" t="str">
        <x:f>IF(AND(AJ$6&lt;=$H49,AJ$6+6&gt;=$G49),1,"")</x:f>
      </x:c>
      <x:c r="AK49" s="167" t="str">
        <x:f>IF(AND(AK$6&lt;=$H49,AK$6+6&gt;=$G49),1,"")</x:f>
      </x:c>
      <x:c r="AL49" s="167" t="str">
        <x:f>IF(AND(AL$6&lt;=$H49,AL$6+6&gt;=$G49),1,"")</x:f>
      </x:c>
      <x:c r="AM49" s="167" t="str">
        <x:f>IF(AND(AM$6&lt;=$H49,AM$6+6&gt;=$G49),1,"")</x:f>
      </x:c>
      <x:c r="AN49" s="167" t="str">
        <x:f>IF(AND(AN$6&lt;=$H49,AN$6+6&gt;=$G49),1,"")</x:f>
      </x:c>
      <x:c r="AO49" s="167" t="str">
        <x:f>IF(AND(AO$6&lt;=$H49,AO$6+6&gt;=$G49),1,"")</x:f>
      </x:c>
      <x:c r="AP49" s="167" t="str">
        <x:f>IF(AND(AP$6&lt;=$H49,AP$6+6&gt;=$G49),1,"")</x:f>
      </x:c>
      <x:c r="AQ49" s="167" t="str">
        <x:f>IF(AND(AQ$6&lt;=$H49,AQ$6+6&gt;=$G49),1,"")</x:f>
      </x:c>
      <x:c r="AR49" s="167" t="str">
        <x:f>IF(AND(AR$6&lt;=$H49,AR$6+6&gt;=$G49),1,"")</x:f>
      </x:c>
      <x:c r="AS49" s="167" t="str">
        <x:f>IF(AND(AS$6&lt;=$H49,AS$6+6&gt;=$G49),1,"")</x:f>
      </x:c>
      <x:c r="AT49" s="167" t="str">
        <x:f>IF(AND(AT$6&lt;=$H49,AT$6+6&gt;=$G49),1,"")</x:f>
      </x:c>
      <x:c r="AU49" s="167" t="str">
        <x:f>IF(AND(AU$6&lt;=$H49,AU$6+6&gt;=$G49),1,"")</x:f>
      </x:c>
      <x:c r="AV49" s="167" t="str">
        <x:f>IF(AND(AV$6&lt;=$H49,AV$6+6&gt;=$G49),1,"")</x:f>
      </x:c>
      <x:c r="AW49" s="167" t="str">
        <x:f>IF(AND(AW$6&lt;=$H49,AW$6+6&gt;=$G49),1,"")</x:f>
      </x:c>
      <x:c r="AX49" s="167" t="str">
        <x:f>IF(AND(AX$6&lt;=$H49,AX$6+6&gt;=$G49),1,"")</x:f>
      </x:c>
      <x:c r="AY49" s="167" t="str">
        <x:f>IF(AND(AY$6&lt;=$H49,AY$6+6&gt;=$G49),1,"")</x:f>
      </x:c>
      <x:c r="AZ49" s="167" t="str">
        <x:f>IF(AND(AZ$6&lt;=$H49,AZ$6+6&gt;=$G49),1,"")</x:f>
      </x:c>
      <x:c r="BA49" s="167" t="str">
        <x:f>IF(AND(BA$6&lt;=$H49,BA$6+6&gt;=$G49),1,"")</x:f>
      </x:c>
      <x:c r="BB49" s="167" t="str">
        <x:f>IF(AND(BB$6&lt;=$H49,BB$6+6&gt;=$G49),1,"")</x:f>
      </x:c>
      <x:c r="BC49" s="167" t="str">
        <x:f>IF(AND(BC$6&lt;=$H49,BC$6+6&gt;=$G49),1,"")</x:f>
      </x:c>
      <x:c r="BD49" s="167" t="str">
        <x:f>IF(AND(BD$6&lt;=$H49,BD$6+6&gt;=$G49),1,"")</x:f>
      </x:c>
      <x:c r="BE49" s="167" t="str">
        <x:f>IF(AND(BE$6&lt;=$H49,BE$6+6&gt;=$G49),1,"")</x:f>
      </x:c>
      <x:c r="BF49" s="167" t="str">
        <x:f>IF(AND(BF$6&lt;=$H49,BF$6+6&gt;=$G49),1,"")</x:f>
      </x:c>
      <x:c r="BG49" s="167" t="str">
        <x:f>IF(AND(BG$6&lt;=$H49,BG$6+6&gt;=$G49),1,"")</x:f>
      </x:c>
      <x:c r="BH49" s="167" t="str">
        <x:f>IF(AND(BH$6&lt;=$H49,BH$6+6&gt;=$G49),1,"")</x:f>
      </x:c>
      <x:c r="BI49" s="167" t="str">
        <x:f>IF(AND(BI$6&lt;=$H49,BI$6+6&gt;=$G49),1,"")</x:f>
      </x:c>
      <x:c r="BJ49" s="167" t="str">
        <x:f>IF(AND(BJ$6&lt;=$H49,BJ$6+6&gt;=$G49),1,"")</x:f>
      </x:c>
      <x:c r="BK49" s="167" t="str">
        <x:f>IF(AND(BK$6&lt;=$H49,BK$6+6&gt;=$G49),1,"")</x:f>
      </x:c>
      <x:c r="BL49" s="167" t="str">
        <x:f>IF(AND(BL$6&lt;=$H49,BL$6+6&gt;=$G49),1,"")</x:f>
      </x:c>
      <x:c r="BM49" s="167" t="str">
        <x:f>IF(AND(BM$6&lt;=$H49,BM$6+6&gt;=$G49),1,"")</x:f>
      </x:c>
      <x:c r="BN49" s="167" t="str">
        <x:f>IF(AND(BN$6&lt;=$H49,BN$6+6&gt;=$G49),1,"")</x:f>
      </x:c>
      <x:c r="BO49" s="168" t="str">
        <x:f>IF(AND(BO$6&lt;=$H49,BO$6+6&gt;=$G49),1,"")</x:f>
      </x:c>
    </x:row>
    <x:row r="50" ht="24" customHeight="1">
      <x:c r="A50" s="68" t="str">
        <x:f>'Task Register'!A48</x:f>
        <x:v>AI-307</x:v>
      </x:c>
      <x:c r="B50" s="68" t="str">
        <x:f>'Task Register'!B48</x:f>
        <x:v>M3</x:v>
      </x:c>
      <x:c r="C50" s="68" t="str">
        <x:f>'Task Register'!C48</x:f>
        <x:v>Priors/Embodiment</x:v>
      </x:c>
      <x:c r="D50" s="68" t="str">
        <x:f>'Task Register'!D48</x:f>
        <x:v>Replace hand-shaped continuity scores with transition priors</x:v>
      </x:c>
      <x:c r="E50" s="68" t="str">
        <x:f>'Task Register'!E48</x:f>
        <x:v>AI-101, AI-305</x:v>
      </x:c>
      <x:c r="F50" s="68" t="str">
        <x:f>'Task Register'!F48</x:f>
        <x:v>Blocked</x:v>
      </x:c>
      <x:c r="G50" s="94" t="n">
        <x:f>'Task Register'!I48</x:f>
        <x:v>46405</x:v>
      </x:c>
      <x:c r="H50" s="94" t="n">
        <x:f>'Task Register'!J48</x:f>
        <x:v>46407</x:v>
      </x:c>
      <x:c r="I50" s="166" t="str">
        <x:f>IF(AND(I$6&lt;=$H50,I$6+6&gt;=$G50),1,"")</x:f>
      </x:c>
      <x:c r="J50" s="167" t="str">
        <x:f>IF(AND(J$6&lt;=$H50,J$6+6&gt;=$G50),1,"")</x:f>
      </x:c>
      <x:c r="K50" s="167" t="str">
        <x:f>IF(AND(K$6&lt;=$H50,K$6+6&gt;=$G50),1,"")</x:f>
      </x:c>
      <x:c r="L50" s="167" t="str">
        <x:f>IF(AND(L$6&lt;=$H50,L$6+6&gt;=$G50),1,"")</x:f>
      </x:c>
      <x:c r="M50" s="167" t="str">
        <x:f>IF(AND(M$6&lt;=$H50,M$6+6&gt;=$G50),1,"")</x:f>
      </x:c>
      <x:c r="N50" s="167" t="str">
        <x:f>IF(AND(N$6&lt;=$H50,N$6+6&gt;=$G50),1,"")</x:f>
      </x:c>
      <x:c r="O50" s="167" t="str">
        <x:f>IF(AND(O$6&lt;=$H50,O$6+6&gt;=$G50),1,"")</x:f>
      </x:c>
      <x:c r="P50" s="167" t="str">
        <x:f>IF(AND(P$6&lt;=$H50,P$6+6&gt;=$G50),1,"")</x:f>
      </x:c>
      <x:c r="Q50" s="167" t="str">
        <x:f>IF(AND(Q$6&lt;=$H50,Q$6+6&gt;=$G50),1,"")</x:f>
      </x:c>
      <x:c r="R50" s="167" t="str">
        <x:f>IF(AND(R$6&lt;=$H50,R$6+6&gt;=$G50),1,"")</x:f>
      </x:c>
      <x:c r="S50" s="167" t="str">
        <x:f>IF(AND(S$6&lt;=$H50,S$6+6&gt;=$G50),1,"")</x:f>
      </x:c>
      <x:c r="T50" s="167" t="str">
        <x:f>IF(AND(T$6&lt;=$H50,T$6+6&gt;=$G50),1,"")</x:f>
      </x:c>
      <x:c r="U50" s="167" t="str">
        <x:f>IF(AND(U$6&lt;=$H50,U$6+6&gt;=$G50),1,"")</x:f>
      </x:c>
      <x:c r="V50" s="167" t="str">
        <x:f>IF(AND(V$6&lt;=$H50,V$6+6&gt;=$G50),1,"")</x:f>
      </x:c>
      <x:c r="W50" s="167" t="str">
        <x:f>IF(AND(W$6&lt;=$H50,W$6+6&gt;=$G50),1,"")</x:f>
      </x:c>
      <x:c r="X50" s="167" t="str">
        <x:f>IF(AND(X$6&lt;=$H50,X$6+6&gt;=$G50),1,"")</x:f>
      </x:c>
      <x:c r="Y50" s="167" t="str">
        <x:f>IF(AND(Y$6&lt;=$H50,Y$6+6&gt;=$G50),1,"")</x:f>
      </x:c>
      <x:c r="Z50" s="167" t="str">
        <x:f>IF(AND(Z$6&lt;=$H50,Z$6+6&gt;=$G50),1,"")</x:f>
      </x:c>
      <x:c r="AA50" s="167" t="str">
        <x:f>IF(AND(AA$6&lt;=$H50,AA$6+6&gt;=$G50),1,"")</x:f>
      </x:c>
      <x:c r="AB50" s="167" t="str">
        <x:f>IF(AND(AB$6&lt;=$H50,AB$6+6&gt;=$G50),1,"")</x:f>
      </x:c>
      <x:c r="AC50" s="167" t="str">
        <x:f>IF(AND(AC$6&lt;=$H50,AC$6+6&gt;=$G50),1,"")</x:f>
      </x:c>
      <x:c r="AD50" s="167" t="str">
        <x:f>IF(AND(AD$6&lt;=$H50,AD$6+6&gt;=$G50),1,"")</x:f>
      </x:c>
      <x:c r="AE50" s="167" t="str">
        <x:f>IF(AND(AE$6&lt;=$H50,AE$6+6&gt;=$G50),1,"")</x:f>
      </x:c>
      <x:c r="AF50" s="167" t="str">
        <x:f>IF(AND(AF$6&lt;=$H50,AF$6+6&gt;=$G50),1,"")</x:f>
      </x:c>
      <x:c r="AG50" s="167" t="n">
        <x:f>IF(AND(AG$6&lt;=$H50,AG$6+6&gt;=$G50),1,"")</x:f>
        <x:v>1</x:v>
      </x:c>
      <x:c r="AH50" s="167" t="str">
        <x:f>IF(AND(AH$6&lt;=$H50,AH$6+6&gt;=$G50),1,"")</x:f>
      </x:c>
      <x:c r="AI50" s="167" t="str">
        <x:f>IF(AND(AI$6&lt;=$H50,AI$6+6&gt;=$G50),1,"")</x:f>
      </x:c>
      <x:c r="AJ50" s="167" t="str">
        <x:f>IF(AND(AJ$6&lt;=$H50,AJ$6+6&gt;=$G50),1,"")</x:f>
      </x:c>
      <x:c r="AK50" s="167" t="str">
        <x:f>IF(AND(AK$6&lt;=$H50,AK$6+6&gt;=$G50),1,"")</x:f>
      </x:c>
      <x:c r="AL50" s="167" t="str">
        <x:f>IF(AND(AL$6&lt;=$H50,AL$6+6&gt;=$G50),1,"")</x:f>
      </x:c>
      <x:c r="AM50" s="167" t="str">
        <x:f>IF(AND(AM$6&lt;=$H50,AM$6+6&gt;=$G50),1,"")</x:f>
      </x:c>
      <x:c r="AN50" s="167" t="str">
        <x:f>IF(AND(AN$6&lt;=$H50,AN$6+6&gt;=$G50),1,"")</x:f>
      </x:c>
      <x:c r="AO50" s="167" t="str">
        <x:f>IF(AND(AO$6&lt;=$H50,AO$6+6&gt;=$G50),1,"")</x:f>
      </x:c>
      <x:c r="AP50" s="167" t="str">
        <x:f>IF(AND(AP$6&lt;=$H50,AP$6+6&gt;=$G50),1,"")</x:f>
      </x:c>
      <x:c r="AQ50" s="167" t="str">
        <x:f>IF(AND(AQ$6&lt;=$H50,AQ$6+6&gt;=$G50),1,"")</x:f>
      </x:c>
      <x:c r="AR50" s="167" t="str">
        <x:f>IF(AND(AR$6&lt;=$H50,AR$6+6&gt;=$G50),1,"")</x:f>
      </x:c>
      <x:c r="AS50" s="167" t="str">
        <x:f>IF(AND(AS$6&lt;=$H50,AS$6+6&gt;=$G50),1,"")</x:f>
      </x:c>
      <x:c r="AT50" s="167" t="str">
        <x:f>IF(AND(AT$6&lt;=$H50,AT$6+6&gt;=$G50),1,"")</x:f>
      </x:c>
      <x:c r="AU50" s="167" t="str">
        <x:f>IF(AND(AU$6&lt;=$H50,AU$6+6&gt;=$G50),1,"")</x:f>
      </x:c>
      <x:c r="AV50" s="167" t="str">
        <x:f>IF(AND(AV$6&lt;=$H50,AV$6+6&gt;=$G50),1,"")</x:f>
      </x:c>
      <x:c r="AW50" s="167" t="str">
        <x:f>IF(AND(AW$6&lt;=$H50,AW$6+6&gt;=$G50),1,"")</x:f>
      </x:c>
      <x:c r="AX50" s="167" t="str">
        <x:f>IF(AND(AX$6&lt;=$H50,AX$6+6&gt;=$G50),1,"")</x:f>
      </x:c>
      <x:c r="AY50" s="167" t="str">
        <x:f>IF(AND(AY$6&lt;=$H50,AY$6+6&gt;=$G50),1,"")</x:f>
      </x:c>
      <x:c r="AZ50" s="167" t="str">
        <x:f>IF(AND(AZ$6&lt;=$H50,AZ$6+6&gt;=$G50),1,"")</x:f>
      </x:c>
      <x:c r="BA50" s="167" t="str">
        <x:f>IF(AND(BA$6&lt;=$H50,BA$6+6&gt;=$G50),1,"")</x:f>
      </x:c>
      <x:c r="BB50" s="167" t="str">
        <x:f>IF(AND(BB$6&lt;=$H50,BB$6+6&gt;=$G50),1,"")</x:f>
      </x:c>
      <x:c r="BC50" s="167" t="str">
        <x:f>IF(AND(BC$6&lt;=$H50,BC$6+6&gt;=$G50),1,"")</x:f>
      </x:c>
      <x:c r="BD50" s="167" t="str">
        <x:f>IF(AND(BD$6&lt;=$H50,BD$6+6&gt;=$G50),1,"")</x:f>
      </x:c>
      <x:c r="BE50" s="167" t="str">
        <x:f>IF(AND(BE$6&lt;=$H50,BE$6+6&gt;=$G50),1,"")</x:f>
      </x:c>
      <x:c r="BF50" s="167" t="str">
        <x:f>IF(AND(BF$6&lt;=$H50,BF$6+6&gt;=$G50),1,"")</x:f>
      </x:c>
      <x:c r="BG50" s="167" t="str">
        <x:f>IF(AND(BG$6&lt;=$H50,BG$6+6&gt;=$G50),1,"")</x:f>
      </x:c>
      <x:c r="BH50" s="167" t="str">
        <x:f>IF(AND(BH$6&lt;=$H50,BH$6+6&gt;=$G50),1,"")</x:f>
      </x:c>
      <x:c r="BI50" s="167" t="str">
        <x:f>IF(AND(BI$6&lt;=$H50,BI$6+6&gt;=$G50),1,"")</x:f>
      </x:c>
      <x:c r="BJ50" s="167" t="str">
        <x:f>IF(AND(BJ$6&lt;=$H50,BJ$6+6&gt;=$G50),1,"")</x:f>
      </x:c>
      <x:c r="BK50" s="167" t="str">
        <x:f>IF(AND(BK$6&lt;=$H50,BK$6+6&gt;=$G50),1,"")</x:f>
      </x:c>
      <x:c r="BL50" s="167" t="str">
        <x:f>IF(AND(BL$6&lt;=$H50,BL$6+6&gt;=$G50),1,"")</x:f>
      </x:c>
      <x:c r="BM50" s="167" t="str">
        <x:f>IF(AND(BM$6&lt;=$H50,BM$6+6&gt;=$G50),1,"")</x:f>
      </x:c>
      <x:c r="BN50" s="167" t="str">
        <x:f>IF(AND(BN$6&lt;=$H50,BN$6+6&gt;=$G50),1,"")</x:f>
      </x:c>
      <x:c r="BO50" s="168" t="str">
        <x:f>IF(AND(BO$6&lt;=$H50,BO$6+6&gt;=$G50),1,"")</x:f>
      </x:c>
    </x:row>
    <x:row r="51" ht="24" customHeight="1">
      <x:c r="A51" s="68" t="str">
        <x:f>'Task Register'!A49</x:f>
        <x:v>AI-308</x:v>
      </x:c>
      <x:c r="B51" s="68" t="str">
        <x:f>'Task Register'!B49</x:f>
        <x:v>M3</x:v>
      </x:c>
      <x:c r="C51" s="68" t="str">
        <x:f>'Task Register'!C49</x:f>
        <x:v>Embodied Active Inference</x:v>
      </x:c>
      <x:c r="D51" s="68" t="str">
        <x:f>'Task Register'!D49</x:f>
        <x:v>Formalize bodily viability and energy preferences</x:v>
      </x:c>
      <x:c r="E51" s="68" t="str">
        <x:f>'Task Register'!E49</x:f>
        <x:v>AI-105, AI-205, AI-305</x:v>
      </x:c>
      <x:c r="F51" s="68" t="str">
        <x:f>'Task Register'!F49</x:f>
        <x:v>Blocked</x:v>
      </x:c>
      <x:c r="G51" s="94" t="n">
        <x:f>'Task Register'!I49</x:f>
        <x:v>46408</x:v>
      </x:c>
      <x:c r="H51" s="94" t="n">
        <x:f>'Task Register'!J49</x:f>
        <x:v>46413</x:v>
      </x:c>
      <x:c r="I51" s="166" t="str">
        <x:f>IF(AND(I$6&lt;=$H51,I$6+6&gt;=$G51),1,"")</x:f>
      </x:c>
      <x:c r="J51" s="167" t="str">
        <x:f>IF(AND(J$6&lt;=$H51,J$6+6&gt;=$G51),1,"")</x:f>
      </x:c>
      <x:c r="K51" s="167" t="str">
        <x:f>IF(AND(K$6&lt;=$H51,K$6+6&gt;=$G51),1,"")</x:f>
      </x:c>
      <x:c r="L51" s="167" t="str">
        <x:f>IF(AND(L$6&lt;=$H51,L$6+6&gt;=$G51),1,"")</x:f>
      </x:c>
      <x:c r="M51" s="167" t="str">
        <x:f>IF(AND(M$6&lt;=$H51,M$6+6&gt;=$G51),1,"")</x:f>
      </x:c>
      <x:c r="N51" s="167" t="str">
        <x:f>IF(AND(N$6&lt;=$H51,N$6+6&gt;=$G51),1,"")</x:f>
      </x:c>
      <x:c r="O51" s="167" t="str">
        <x:f>IF(AND(O$6&lt;=$H51,O$6+6&gt;=$G51),1,"")</x:f>
      </x:c>
      <x:c r="P51" s="167" t="str">
        <x:f>IF(AND(P$6&lt;=$H51,P$6+6&gt;=$G51),1,"")</x:f>
      </x:c>
      <x:c r="Q51" s="167" t="str">
        <x:f>IF(AND(Q$6&lt;=$H51,Q$6+6&gt;=$G51),1,"")</x:f>
      </x:c>
      <x:c r="R51" s="167" t="str">
        <x:f>IF(AND(R$6&lt;=$H51,R$6+6&gt;=$G51),1,"")</x:f>
      </x:c>
      <x:c r="S51" s="167" t="str">
        <x:f>IF(AND(S$6&lt;=$H51,S$6+6&gt;=$G51),1,"")</x:f>
      </x:c>
      <x:c r="T51" s="167" t="str">
        <x:f>IF(AND(T$6&lt;=$H51,T$6+6&gt;=$G51),1,"")</x:f>
      </x:c>
      <x:c r="U51" s="167" t="str">
        <x:f>IF(AND(U$6&lt;=$H51,U$6+6&gt;=$G51),1,"")</x:f>
      </x:c>
      <x:c r="V51" s="167" t="str">
        <x:f>IF(AND(V$6&lt;=$H51,V$6+6&gt;=$G51),1,"")</x:f>
      </x:c>
      <x:c r="W51" s="167" t="str">
        <x:f>IF(AND(W$6&lt;=$H51,W$6+6&gt;=$G51),1,"")</x:f>
      </x:c>
      <x:c r="X51" s="167" t="str">
        <x:f>IF(AND(X$6&lt;=$H51,X$6+6&gt;=$G51),1,"")</x:f>
      </x:c>
      <x:c r="Y51" s="167" t="str">
        <x:f>IF(AND(Y$6&lt;=$H51,Y$6+6&gt;=$G51),1,"")</x:f>
      </x:c>
      <x:c r="Z51" s="167" t="str">
        <x:f>IF(AND(Z$6&lt;=$H51,Z$6+6&gt;=$G51),1,"")</x:f>
      </x:c>
      <x:c r="AA51" s="167" t="str">
        <x:f>IF(AND(AA$6&lt;=$H51,AA$6+6&gt;=$G51),1,"")</x:f>
      </x:c>
      <x:c r="AB51" s="167" t="str">
        <x:f>IF(AND(AB$6&lt;=$H51,AB$6+6&gt;=$G51),1,"")</x:f>
      </x:c>
      <x:c r="AC51" s="167" t="str">
        <x:f>IF(AND(AC$6&lt;=$H51,AC$6+6&gt;=$G51),1,"")</x:f>
      </x:c>
      <x:c r="AD51" s="167" t="str">
        <x:f>IF(AND(AD$6&lt;=$H51,AD$6+6&gt;=$G51),1,"")</x:f>
      </x:c>
      <x:c r="AE51" s="167" t="str">
        <x:f>IF(AND(AE$6&lt;=$H51,AE$6+6&gt;=$G51),1,"")</x:f>
      </x:c>
      <x:c r="AF51" s="167" t="str">
        <x:f>IF(AND(AF$6&lt;=$H51,AF$6+6&gt;=$G51),1,"")</x:f>
      </x:c>
      <x:c r="AG51" s="167" t="n">
        <x:f>IF(AND(AG$6&lt;=$H51,AG$6+6&gt;=$G51),1,"")</x:f>
        <x:v>1</x:v>
      </x:c>
      <x:c r="AH51" s="167" t="n">
        <x:f>IF(AND(AH$6&lt;=$H51,AH$6+6&gt;=$G51),1,"")</x:f>
        <x:v>1</x:v>
      </x:c>
      <x:c r="AI51" s="167" t="str">
        <x:f>IF(AND(AI$6&lt;=$H51,AI$6+6&gt;=$G51),1,"")</x:f>
      </x:c>
      <x:c r="AJ51" s="167" t="str">
        <x:f>IF(AND(AJ$6&lt;=$H51,AJ$6+6&gt;=$G51),1,"")</x:f>
      </x:c>
      <x:c r="AK51" s="167" t="str">
        <x:f>IF(AND(AK$6&lt;=$H51,AK$6+6&gt;=$G51),1,"")</x:f>
      </x:c>
      <x:c r="AL51" s="167" t="str">
        <x:f>IF(AND(AL$6&lt;=$H51,AL$6+6&gt;=$G51),1,"")</x:f>
      </x:c>
      <x:c r="AM51" s="167" t="str">
        <x:f>IF(AND(AM$6&lt;=$H51,AM$6+6&gt;=$G51),1,"")</x:f>
      </x:c>
      <x:c r="AN51" s="167" t="str">
        <x:f>IF(AND(AN$6&lt;=$H51,AN$6+6&gt;=$G51),1,"")</x:f>
      </x:c>
      <x:c r="AO51" s="167" t="str">
        <x:f>IF(AND(AO$6&lt;=$H51,AO$6+6&gt;=$G51),1,"")</x:f>
      </x:c>
      <x:c r="AP51" s="167" t="str">
        <x:f>IF(AND(AP$6&lt;=$H51,AP$6+6&gt;=$G51),1,"")</x:f>
      </x:c>
      <x:c r="AQ51" s="167" t="str">
        <x:f>IF(AND(AQ$6&lt;=$H51,AQ$6+6&gt;=$G51),1,"")</x:f>
      </x:c>
      <x:c r="AR51" s="167" t="str">
        <x:f>IF(AND(AR$6&lt;=$H51,AR$6+6&gt;=$G51),1,"")</x:f>
      </x:c>
      <x:c r="AS51" s="167" t="str">
        <x:f>IF(AND(AS$6&lt;=$H51,AS$6+6&gt;=$G51),1,"")</x:f>
      </x:c>
      <x:c r="AT51" s="167" t="str">
        <x:f>IF(AND(AT$6&lt;=$H51,AT$6+6&gt;=$G51),1,"")</x:f>
      </x:c>
      <x:c r="AU51" s="167" t="str">
        <x:f>IF(AND(AU$6&lt;=$H51,AU$6+6&gt;=$G51),1,"")</x:f>
      </x:c>
      <x:c r="AV51" s="167" t="str">
        <x:f>IF(AND(AV$6&lt;=$H51,AV$6+6&gt;=$G51),1,"")</x:f>
      </x:c>
      <x:c r="AW51" s="167" t="str">
        <x:f>IF(AND(AW$6&lt;=$H51,AW$6+6&gt;=$G51),1,"")</x:f>
      </x:c>
      <x:c r="AX51" s="167" t="str">
        <x:f>IF(AND(AX$6&lt;=$H51,AX$6+6&gt;=$G51),1,"")</x:f>
      </x:c>
      <x:c r="AY51" s="167" t="str">
        <x:f>IF(AND(AY$6&lt;=$H51,AY$6+6&gt;=$G51),1,"")</x:f>
      </x:c>
      <x:c r="AZ51" s="167" t="str">
        <x:f>IF(AND(AZ$6&lt;=$H51,AZ$6+6&gt;=$G51),1,"")</x:f>
      </x:c>
      <x:c r="BA51" s="167" t="str">
        <x:f>IF(AND(BA$6&lt;=$H51,BA$6+6&gt;=$G51),1,"")</x:f>
      </x:c>
      <x:c r="BB51" s="167" t="str">
        <x:f>IF(AND(BB$6&lt;=$H51,BB$6+6&gt;=$G51),1,"")</x:f>
      </x:c>
      <x:c r="BC51" s="167" t="str">
        <x:f>IF(AND(BC$6&lt;=$H51,BC$6+6&gt;=$G51),1,"")</x:f>
      </x:c>
      <x:c r="BD51" s="167" t="str">
        <x:f>IF(AND(BD$6&lt;=$H51,BD$6+6&gt;=$G51),1,"")</x:f>
      </x:c>
      <x:c r="BE51" s="167" t="str">
        <x:f>IF(AND(BE$6&lt;=$H51,BE$6+6&gt;=$G51),1,"")</x:f>
      </x:c>
      <x:c r="BF51" s="167" t="str">
        <x:f>IF(AND(BF$6&lt;=$H51,BF$6+6&gt;=$G51),1,"")</x:f>
      </x:c>
      <x:c r="BG51" s="167" t="str">
        <x:f>IF(AND(BG$6&lt;=$H51,BG$6+6&gt;=$G51),1,"")</x:f>
      </x:c>
      <x:c r="BH51" s="167" t="str">
        <x:f>IF(AND(BH$6&lt;=$H51,BH$6+6&gt;=$G51),1,"")</x:f>
      </x:c>
      <x:c r="BI51" s="167" t="str">
        <x:f>IF(AND(BI$6&lt;=$H51,BI$6+6&gt;=$G51),1,"")</x:f>
      </x:c>
      <x:c r="BJ51" s="167" t="str">
        <x:f>IF(AND(BJ$6&lt;=$H51,BJ$6+6&gt;=$G51),1,"")</x:f>
      </x:c>
      <x:c r="BK51" s="167" t="str">
        <x:f>IF(AND(BK$6&lt;=$H51,BK$6+6&gt;=$G51),1,"")</x:f>
      </x:c>
      <x:c r="BL51" s="167" t="str">
        <x:f>IF(AND(BL$6&lt;=$H51,BL$6+6&gt;=$G51),1,"")</x:f>
      </x:c>
      <x:c r="BM51" s="167" t="str">
        <x:f>IF(AND(BM$6&lt;=$H51,BM$6+6&gt;=$G51),1,"")</x:f>
      </x:c>
      <x:c r="BN51" s="167" t="str">
        <x:f>IF(AND(BN$6&lt;=$H51,BN$6+6&gt;=$G51),1,"")</x:f>
      </x:c>
      <x:c r="BO51" s="168" t="str">
        <x:f>IF(AND(BO$6&lt;=$H51,BO$6+6&gt;=$G51),1,"")</x:f>
      </x:c>
    </x:row>
    <x:row r="52" ht="24" customHeight="1">
      <x:c r="A52" s="68" t="str">
        <x:f>'Task Register'!A50</x:f>
        <x:v>AI-309</x:v>
      </x:c>
      <x:c r="B52" s="68" t="str">
        <x:f>'Task Register'!B50</x:f>
        <x:v>M3</x:v>
      </x:c>
      <x:c r="C52" s="68" t="str">
        <x:f>'Task Register'!C50</x:f>
        <x:v>Active Inference/Validation</x:v>
      </x:c>
      <x:c r="D52" s="68" t="str">
        <x:f>'Task Register'!D50</x:f>
        <x:v>Test whether epistemic action is informative or pathological</x:v>
      </x:c>
      <x:c r="E52" s="68" t="str">
        <x:f>'Task Register'!E50</x:f>
        <x:v>AI-304, AI-308</x:v>
      </x:c>
      <x:c r="F52" s="68" t="str">
        <x:f>'Task Register'!F50</x:f>
        <x:v>Blocked</x:v>
      </x:c>
      <x:c r="G52" s="94" t="n">
        <x:f>'Task Register'!I50</x:f>
        <x:v>46414</x:v>
      </x:c>
      <x:c r="H52" s="94" t="n">
        <x:f>'Task Register'!J50</x:f>
        <x:v>46419</x:v>
      </x:c>
      <x:c r="I52" s="166" t="str">
        <x:f>IF(AND(I$6&lt;=$H52,I$6+6&gt;=$G52),1,"")</x:f>
      </x:c>
      <x:c r="J52" s="167" t="str">
        <x:f>IF(AND(J$6&lt;=$H52,J$6+6&gt;=$G52),1,"")</x:f>
      </x:c>
      <x:c r="K52" s="167" t="str">
        <x:f>IF(AND(K$6&lt;=$H52,K$6+6&gt;=$G52),1,"")</x:f>
      </x:c>
      <x:c r="L52" s="167" t="str">
        <x:f>IF(AND(L$6&lt;=$H52,L$6+6&gt;=$G52),1,"")</x:f>
      </x:c>
      <x:c r="M52" s="167" t="str">
        <x:f>IF(AND(M$6&lt;=$H52,M$6+6&gt;=$G52),1,"")</x:f>
      </x:c>
      <x:c r="N52" s="167" t="str">
        <x:f>IF(AND(N$6&lt;=$H52,N$6+6&gt;=$G52),1,"")</x:f>
      </x:c>
      <x:c r="O52" s="167" t="str">
        <x:f>IF(AND(O$6&lt;=$H52,O$6+6&gt;=$G52),1,"")</x:f>
      </x:c>
      <x:c r="P52" s="167" t="str">
        <x:f>IF(AND(P$6&lt;=$H52,P$6+6&gt;=$G52),1,"")</x:f>
      </x:c>
      <x:c r="Q52" s="167" t="str">
        <x:f>IF(AND(Q$6&lt;=$H52,Q$6+6&gt;=$G52),1,"")</x:f>
      </x:c>
      <x:c r="R52" s="167" t="str">
        <x:f>IF(AND(R$6&lt;=$H52,R$6+6&gt;=$G52),1,"")</x:f>
      </x:c>
      <x:c r="S52" s="167" t="str">
        <x:f>IF(AND(S$6&lt;=$H52,S$6+6&gt;=$G52),1,"")</x:f>
      </x:c>
      <x:c r="T52" s="167" t="str">
        <x:f>IF(AND(T$6&lt;=$H52,T$6+6&gt;=$G52),1,"")</x:f>
      </x:c>
      <x:c r="U52" s="167" t="str">
        <x:f>IF(AND(U$6&lt;=$H52,U$6+6&gt;=$G52),1,"")</x:f>
      </x:c>
      <x:c r="V52" s="167" t="str">
        <x:f>IF(AND(V$6&lt;=$H52,V$6+6&gt;=$G52),1,"")</x:f>
      </x:c>
      <x:c r="W52" s="167" t="str">
        <x:f>IF(AND(W$6&lt;=$H52,W$6+6&gt;=$G52),1,"")</x:f>
      </x:c>
      <x:c r="X52" s="167" t="str">
        <x:f>IF(AND(X$6&lt;=$H52,X$6+6&gt;=$G52),1,"")</x:f>
      </x:c>
      <x:c r="Y52" s="167" t="str">
        <x:f>IF(AND(Y$6&lt;=$H52,Y$6+6&gt;=$G52),1,"")</x:f>
      </x:c>
      <x:c r="Z52" s="167" t="str">
        <x:f>IF(AND(Z$6&lt;=$H52,Z$6+6&gt;=$G52),1,"")</x:f>
      </x:c>
      <x:c r="AA52" s="167" t="str">
        <x:f>IF(AND(AA$6&lt;=$H52,AA$6+6&gt;=$G52),1,"")</x:f>
      </x:c>
      <x:c r="AB52" s="167" t="str">
        <x:f>IF(AND(AB$6&lt;=$H52,AB$6+6&gt;=$G52),1,"")</x:f>
      </x:c>
      <x:c r="AC52" s="167" t="str">
        <x:f>IF(AND(AC$6&lt;=$H52,AC$6+6&gt;=$G52),1,"")</x:f>
      </x:c>
      <x:c r="AD52" s="167" t="str">
        <x:f>IF(AND(AD$6&lt;=$H52,AD$6+6&gt;=$G52),1,"")</x:f>
      </x:c>
      <x:c r="AE52" s="167" t="str">
        <x:f>IF(AND(AE$6&lt;=$H52,AE$6+6&gt;=$G52),1,"")</x:f>
      </x:c>
      <x:c r="AF52" s="167" t="str">
        <x:f>IF(AND(AF$6&lt;=$H52,AF$6+6&gt;=$G52),1,"")</x:f>
      </x:c>
      <x:c r="AG52" s="167" t="str">
        <x:f>IF(AND(AG$6&lt;=$H52,AG$6+6&gt;=$G52),1,"")</x:f>
      </x:c>
      <x:c r="AH52" s="167" t="n">
        <x:f>IF(AND(AH$6&lt;=$H52,AH$6+6&gt;=$G52),1,"")</x:f>
        <x:v>1</x:v>
      </x:c>
      <x:c r="AI52" s="167" t="n">
        <x:f>IF(AND(AI$6&lt;=$H52,AI$6+6&gt;=$G52),1,"")</x:f>
        <x:v>1</x:v>
      </x:c>
      <x:c r="AJ52" s="167" t="str">
        <x:f>IF(AND(AJ$6&lt;=$H52,AJ$6+6&gt;=$G52),1,"")</x:f>
      </x:c>
      <x:c r="AK52" s="167" t="str">
        <x:f>IF(AND(AK$6&lt;=$H52,AK$6+6&gt;=$G52),1,"")</x:f>
      </x:c>
      <x:c r="AL52" s="167" t="str">
        <x:f>IF(AND(AL$6&lt;=$H52,AL$6+6&gt;=$G52),1,"")</x:f>
      </x:c>
      <x:c r="AM52" s="167" t="str">
        <x:f>IF(AND(AM$6&lt;=$H52,AM$6+6&gt;=$G52),1,"")</x:f>
      </x:c>
      <x:c r="AN52" s="167" t="str">
        <x:f>IF(AND(AN$6&lt;=$H52,AN$6+6&gt;=$G52),1,"")</x:f>
      </x:c>
      <x:c r="AO52" s="167" t="str">
        <x:f>IF(AND(AO$6&lt;=$H52,AO$6+6&gt;=$G52),1,"")</x:f>
      </x:c>
      <x:c r="AP52" s="167" t="str">
        <x:f>IF(AND(AP$6&lt;=$H52,AP$6+6&gt;=$G52),1,"")</x:f>
      </x:c>
      <x:c r="AQ52" s="167" t="str">
        <x:f>IF(AND(AQ$6&lt;=$H52,AQ$6+6&gt;=$G52),1,"")</x:f>
      </x:c>
      <x:c r="AR52" s="167" t="str">
        <x:f>IF(AND(AR$6&lt;=$H52,AR$6+6&gt;=$G52),1,"")</x:f>
      </x:c>
      <x:c r="AS52" s="167" t="str">
        <x:f>IF(AND(AS$6&lt;=$H52,AS$6+6&gt;=$G52),1,"")</x:f>
      </x:c>
      <x:c r="AT52" s="167" t="str">
        <x:f>IF(AND(AT$6&lt;=$H52,AT$6+6&gt;=$G52),1,"")</x:f>
      </x:c>
      <x:c r="AU52" s="167" t="str">
        <x:f>IF(AND(AU$6&lt;=$H52,AU$6+6&gt;=$G52),1,"")</x:f>
      </x:c>
      <x:c r="AV52" s="167" t="str">
        <x:f>IF(AND(AV$6&lt;=$H52,AV$6+6&gt;=$G52),1,"")</x:f>
      </x:c>
      <x:c r="AW52" s="167" t="str">
        <x:f>IF(AND(AW$6&lt;=$H52,AW$6+6&gt;=$G52),1,"")</x:f>
      </x:c>
      <x:c r="AX52" s="167" t="str">
        <x:f>IF(AND(AX$6&lt;=$H52,AX$6+6&gt;=$G52),1,"")</x:f>
      </x:c>
      <x:c r="AY52" s="167" t="str">
        <x:f>IF(AND(AY$6&lt;=$H52,AY$6+6&gt;=$G52),1,"")</x:f>
      </x:c>
      <x:c r="AZ52" s="167" t="str">
        <x:f>IF(AND(AZ$6&lt;=$H52,AZ$6+6&gt;=$G52),1,"")</x:f>
      </x:c>
      <x:c r="BA52" s="167" t="str">
        <x:f>IF(AND(BA$6&lt;=$H52,BA$6+6&gt;=$G52),1,"")</x:f>
      </x:c>
      <x:c r="BB52" s="167" t="str">
        <x:f>IF(AND(BB$6&lt;=$H52,BB$6+6&gt;=$G52),1,"")</x:f>
      </x:c>
      <x:c r="BC52" s="167" t="str">
        <x:f>IF(AND(BC$6&lt;=$H52,BC$6+6&gt;=$G52),1,"")</x:f>
      </x:c>
      <x:c r="BD52" s="167" t="str">
        <x:f>IF(AND(BD$6&lt;=$H52,BD$6+6&gt;=$G52),1,"")</x:f>
      </x:c>
      <x:c r="BE52" s="167" t="str">
        <x:f>IF(AND(BE$6&lt;=$H52,BE$6+6&gt;=$G52),1,"")</x:f>
      </x:c>
      <x:c r="BF52" s="167" t="str">
        <x:f>IF(AND(BF$6&lt;=$H52,BF$6+6&gt;=$G52),1,"")</x:f>
      </x:c>
      <x:c r="BG52" s="167" t="str">
        <x:f>IF(AND(BG$6&lt;=$H52,BG$6+6&gt;=$G52),1,"")</x:f>
      </x:c>
      <x:c r="BH52" s="167" t="str">
        <x:f>IF(AND(BH$6&lt;=$H52,BH$6+6&gt;=$G52),1,"")</x:f>
      </x:c>
      <x:c r="BI52" s="167" t="str">
        <x:f>IF(AND(BI$6&lt;=$H52,BI$6+6&gt;=$G52),1,"")</x:f>
      </x:c>
      <x:c r="BJ52" s="167" t="str">
        <x:f>IF(AND(BJ$6&lt;=$H52,BJ$6+6&gt;=$G52),1,"")</x:f>
      </x:c>
      <x:c r="BK52" s="167" t="str">
        <x:f>IF(AND(BK$6&lt;=$H52,BK$6+6&gt;=$G52),1,"")</x:f>
      </x:c>
      <x:c r="BL52" s="167" t="str">
        <x:f>IF(AND(BL$6&lt;=$H52,BL$6+6&gt;=$G52),1,"")</x:f>
      </x:c>
      <x:c r="BM52" s="167" t="str">
        <x:f>IF(AND(BM$6&lt;=$H52,BM$6+6&gt;=$G52),1,"")</x:f>
      </x:c>
      <x:c r="BN52" s="167" t="str">
        <x:f>IF(AND(BN$6&lt;=$H52,BN$6+6&gt;=$G52),1,"")</x:f>
      </x:c>
      <x:c r="BO52" s="168" t="str">
        <x:f>IF(AND(BO$6&lt;=$H52,BO$6+6&gt;=$G52),1,"")</x:f>
      </x:c>
    </x:row>
    <x:row r="53" ht="24" customHeight="1">
      <x:c r="A53" s="68" t="str">
        <x:f>'Task Register'!A51</x:f>
        <x:v>AI-310</x:v>
      </x:c>
      <x:c r="B53" s="68" t="str">
        <x:f>'Task Register'!B51</x:f>
        <x:v>M3</x:v>
      </x:c>
      <x:c r="C53" s="68" t="str">
        <x:f>'Task Register'!C51</x:f>
        <x:v>Hierarchical Inference/Validation</x:v>
      </x:c>
      <x:c r="D53" s="68" t="str">
        <x:f>'Task Register'!D51</x:f>
        <x:v>Make passage and painting timescales causally testable</x:v>
      </x:c>
      <x:c r="E53" s="68" t="str">
        <x:f>'Task Register'!E51</x:f>
        <x:v>AI-210, AI-305</x:v>
      </x:c>
      <x:c r="F53" s="68" t="str">
        <x:f>'Task Register'!F51</x:f>
        <x:v>Blocked</x:v>
      </x:c>
      <x:c r="G53" s="94" t="n">
        <x:f>'Task Register'!I51</x:f>
        <x:v>46420</x:v>
      </x:c>
      <x:c r="H53" s="94" t="n">
        <x:f>'Task Register'!J51</x:f>
        <x:v>46423</x:v>
      </x:c>
      <x:c r="I53" s="166" t="str">
        <x:f>IF(AND(I$6&lt;=$H53,I$6+6&gt;=$G53),1,"")</x:f>
      </x:c>
      <x:c r="J53" s="167" t="str">
        <x:f>IF(AND(J$6&lt;=$H53,J$6+6&gt;=$G53),1,"")</x:f>
      </x:c>
      <x:c r="K53" s="167" t="str">
        <x:f>IF(AND(K$6&lt;=$H53,K$6+6&gt;=$G53),1,"")</x:f>
      </x:c>
      <x:c r="L53" s="167" t="str">
        <x:f>IF(AND(L$6&lt;=$H53,L$6+6&gt;=$G53),1,"")</x:f>
      </x:c>
      <x:c r="M53" s="167" t="str">
        <x:f>IF(AND(M$6&lt;=$H53,M$6+6&gt;=$G53),1,"")</x:f>
      </x:c>
      <x:c r="N53" s="167" t="str">
        <x:f>IF(AND(N$6&lt;=$H53,N$6+6&gt;=$G53),1,"")</x:f>
      </x:c>
      <x:c r="O53" s="167" t="str">
        <x:f>IF(AND(O$6&lt;=$H53,O$6+6&gt;=$G53),1,"")</x:f>
      </x:c>
      <x:c r="P53" s="167" t="str">
        <x:f>IF(AND(P$6&lt;=$H53,P$6+6&gt;=$G53),1,"")</x:f>
      </x:c>
      <x:c r="Q53" s="167" t="str">
        <x:f>IF(AND(Q$6&lt;=$H53,Q$6+6&gt;=$G53),1,"")</x:f>
      </x:c>
      <x:c r="R53" s="167" t="str">
        <x:f>IF(AND(R$6&lt;=$H53,R$6+6&gt;=$G53),1,"")</x:f>
      </x:c>
      <x:c r="S53" s="167" t="str">
        <x:f>IF(AND(S$6&lt;=$H53,S$6+6&gt;=$G53),1,"")</x:f>
      </x:c>
      <x:c r="T53" s="167" t="str">
        <x:f>IF(AND(T$6&lt;=$H53,T$6+6&gt;=$G53),1,"")</x:f>
      </x:c>
      <x:c r="U53" s="167" t="str">
        <x:f>IF(AND(U$6&lt;=$H53,U$6+6&gt;=$G53),1,"")</x:f>
      </x:c>
      <x:c r="V53" s="167" t="str">
        <x:f>IF(AND(V$6&lt;=$H53,V$6+6&gt;=$G53),1,"")</x:f>
      </x:c>
      <x:c r="W53" s="167" t="str">
        <x:f>IF(AND(W$6&lt;=$H53,W$6+6&gt;=$G53),1,"")</x:f>
      </x:c>
      <x:c r="X53" s="167" t="str">
        <x:f>IF(AND(X$6&lt;=$H53,X$6+6&gt;=$G53),1,"")</x:f>
      </x:c>
      <x:c r="Y53" s="167" t="str">
        <x:f>IF(AND(Y$6&lt;=$H53,Y$6+6&gt;=$G53),1,"")</x:f>
      </x:c>
      <x:c r="Z53" s="167" t="str">
        <x:f>IF(AND(Z$6&lt;=$H53,Z$6+6&gt;=$G53),1,"")</x:f>
      </x:c>
      <x:c r="AA53" s="167" t="str">
        <x:f>IF(AND(AA$6&lt;=$H53,AA$6+6&gt;=$G53),1,"")</x:f>
      </x:c>
      <x:c r="AB53" s="167" t="str">
        <x:f>IF(AND(AB$6&lt;=$H53,AB$6+6&gt;=$G53),1,"")</x:f>
      </x:c>
      <x:c r="AC53" s="167" t="str">
        <x:f>IF(AND(AC$6&lt;=$H53,AC$6+6&gt;=$G53),1,"")</x:f>
      </x:c>
      <x:c r="AD53" s="167" t="str">
        <x:f>IF(AND(AD$6&lt;=$H53,AD$6+6&gt;=$G53),1,"")</x:f>
      </x:c>
      <x:c r="AE53" s="167" t="str">
        <x:f>IF(AND(AE$6&lt;=$H53,AE$6+6&gt;=$G53),1,"")</x:f>
      </x:c>
      <x:c r="AF53" s="167" t="str">
        <x:f>IF(AND(AF$6&lt;=$H53,AF$6+6&gt;=$G53),1,"")</x:f>
      </x:c>
      <x:c r="AG53" s="167" t="str">
        <x:f>IF(AND(AG$6&lt;=$H53,AG$6+6&gt;=$G53),1,"")</x:f>
      </x:c>
      <x:c r="AH53" s="167" t="str">
        <x:f>IF(AND(AH$6&lt;=$H53,AH$6+6&gt;=$G53),1,"")</x:f>
      </x:c>
      <x:c r="AI53" s="167" t="n">
        <x:f>IF(AND(AI$6&lt;=$H53,AI$6+6&gt;=$G53),1,"")</x:f>
        <x:v>1</x:v>
      </x:c>
      <x:c r="AJ53" s="167" t="str">
        <x:f>IF(AND(AJ$6&lt;=$H53,AJ$6+6&gt;=$G53),1,"")</x:f>
      </x:c>
      <x:c r="AK53" s="167" t="str">
        <x:f>IF(AND(AK$6&lt;=$H53,AK$6+6&gt;=$G53),1,"")</x:f>
      </x:c>
      <x:c r="AL53" s="167" t="str">
        <x:f>IF(AND(AL$6&lt;=$H53,AL$6+6&gt;=$G53),1,"")</x:f>
      </x:c>
      <x:c r="AM53" s="167" t="str">
        <x:f>IF(AND(AM$6&lt;=$H53,AM$6+6&gt;=$G53),1,"")</x:f>
      </x:c>
      <x:c r="AN53" s="167" t="str">
        <x:f>IF(AND(AN$6&lt;=$H53,AN$6+6&gt;=$G53),1,"")</x:f>
      </x:c>
      <x:c r="AO53" s="167" t="str">
        <x:f>IF(AND(AO$6&lt;=$H53,AO$6+6&gt;=$G53),1,"")</x:f>
      </x:c>
      <x:c r="AP53" s="167" t="str">
        <x:f>IF(AND(AP$6&lt;=$H53,AP$6+6&gt;=$G53),1,"")</x:f>
      </x:c>
      <x:c r="AQ53" s="167" t="str">
        <x:f>IF(AND(AQ$6&lt;=$H53,AQ$6+6&gt;=$G53),1,"")</x:f>
      </x:c>
      <x:c r="AR53" s="167" t="str">
        <x:f>IF(AND(AR$6&lt;=$H53,AR$6+6&gt;=$G53),1,"")</x:f>
      </x:c>
      <x:c r="AS53" s="167" t="str">
        <x:f>IF(AND(AS$6&lt;=$H53,AS$6+6&gt;=$G53),1,"")</x:f>
      </x:c>
      <x:c r="AT53" s="167" t="str">
        <x:f>IF(AND(AT$6&lt;=$H53,AT$6+6&gt;=$G53),1,"")</x:f>
      </x:c>
      <x:c r="AU53" s="167" t="str">
        <x:f>IF(AND(AU$6&lt;=$H53,AU$6+6&gt;=$G53),1,"")</x:f>
      </x:c>
      <x:c r="AV53" s="167" t="str">
        <x:f>IF(AND(AV$6&lt;=$H53,AV$6+6&gt;=$G53),1,"")</x:f>
      </x:c>
      <x:c r="AW53" s="167" t="str">
        <x:f>IF(AND(AW$6&lt;=$H53,AW$6+6&gt;=$G53),1,"")</x:f>
      </x:c>
      <x:c r="AX53" s="167" t="str">
        <x:f>IF(AND(AX$6&lt;=$H53,AX$6+6&gt;=$G53),1,"")</x:f>
      </x:c>
      <x:c r="AY53" s="167" t="str">
        <x:f>IF(AND(AY$6&lt;=$H53,AY$6+6&gt;=$G53),1,"")</x:f>
      </x:c>
      <x:c r="AZ53" s="167" t="str">
        <x:f>IF(AND(AZ$6&lt;=$H53,AZ$6+6&gt;=$G53),1,"")</x:f>
      </x:c>
      <x:c r="BA53" s="167" t="str">
        <x:f>IF(AND(BA$6&lt;=$H53,BA$6+6&gt;=$G53),1,"")</x:f>
      </x:c>
      <x:c r="BB53" s="167" t="str">
        <x:f>IF(AND(BB$6&lt;=$H53,BB$6+6&gt;=$G53),1,"")</x:f>
      </x:c>
      <x:c r="BC53" s="167" t="str">
        <x:f>IF(AND(BC$6&lt;=$H53,BC$6+6&gt;=$G53),1,"")</x:f>
      </x:c>
      <x:c r="BD53" s="167" t="str">
        <x:f>IF(AND(BD$6&lt;=$H53,BD$6+6&gt;=$G53),1,"")</x:f>
      </x:c>
      <x:c r="BE53" s="167" t="str">
        <x:f>IF(AND(BE$6&lt;=$H53,BE$6+6&gt;=$G53),1,"")</x:f>
      </x:c>
      <x:c r="BF53" s="167" t="str">
        <x:f>IF(AND(BF$6&lt;=$H53,BF$6+6&gt;=$G53),1,"")</x:f>
      </x:c>
      <x:c r="BG53" s="167" t="str">
        <x:f>IF(AND(BG$6&lt;=$H53,BG$6+6&gt;=$G53),1,"")</x:f>
      </x:c>
      <x:c r="BH53" s="167" t="str">
        <x:f>IF(AND(BH$6&lt;=$H53,BH$6+6&gt;=$G53),1,"")</x:f>
      </x:c>
      <x:c r="BI53" s="167" t="str">
        <x:f>IF(AND(BI$6&lt;=$H53,BI$6+6&gt;=$G53),1,"")</x:f>
      </x:c>
      <x:c r="BJ53" s="167" t="str">
        <x:f>IF(AND(BJ$6&lt;=$H53,BJ$6+6&gt;=$G53),1,"")</x:f>
      </x:c>
      <x:c r="BK53" s="167" t="str">
        <x:f>IF(AND(BK$6&lt;=$H53,BK$6+6&gt;=$G53),1,"")</x:f>
      </x:c>
      <x:c r="BL53" s="167" t="str">
        <x:f>IF(AND(BL$6&lt;=$H53,BL$6+6&gt;=$G53),1,"")</x:f>
      </x:c>
      <x:c r="BM53" s="167" t="str">
        <x:f>IF(AND(BM$6&lt;=$H53,BM$6+6&gt;=$G53),1,"")</x:f>
      </x:c>
      <x:c r="BN53" s="167" t="str">
        <x:f>IF(AND(BN$6&lt;=$H53,BN$6+6&gt;=$G53),1,"")</x:f>
      </x:c>
      <x:c r="BO53" s="168" t="str">
        <x:f>IF(AND(BO$6&lt;=$H53,BO$6+6&gt;=$G53),1,"")</x:f>
      </x:c>
    </x:row>
    <x:row r="54" ht="24" customHeight="1">
      <x:c r="A54" s="68" t="str">
        <x:f>'Task Register'!A52</x:f>
        <x:v>AI-311</x:v>
      </x:c>
      <x:c r="B54" s="68" t="str">
        <x:f>'Task Register'!B52</x:f>
        <x:v>M3</x:v>
      </x:c>
      <x:c r="C54" s="68" t="str">
        <x:f>'Task Register'!C52</x:f>
        <x:v>Performance/Inference</x:v>
      </x:c>
      <x:c r="D54" s="68" t="str">
        <x:f>'Task Register'!D52</x:f>
        <x:v>Parallelize counterfactual rollout without changing the agent</x:v>
      </x:c>
      <x:c r="E54" s="68" t="str">
        <x:f>'Task Register'!E52</x:f>
        <x:v>AI-113, AI-206, AI-305</x:v>
      </x:c>
      <x:c r="F54" s="68" t="str">
        <x:f>'Task Register'!F52</x:f>
        <x:v>Blocked</x:v>
      </x:c>
      <x:c r="G54" s="94" t="n">
        <x:f>'Task Register'!I52</x:f>
        <x:v>46426</x:v>
      </x:c>
      <x:c r="H54" s="94" t="n">
        <x:f>'Task Register'!J52</x:f>
        <x:v>46430</x:v>
      </x:c>
      <x:c r="I54" s="166" t="str">
        <x:f>IF(AND(I$6&lt;=$H54,I$6+6&gt;=$G54),1,"")</x:f>
      </x:c>
      <x:c r="J54" s="167" t="str">
        <x:f>IF(AND(J$6&lt;=$H54,J$6+6&gt;=$G54),1,"")</x:f>
      </x:c>
      <x:c r="K54" s="167" t="str">
        <x:f>IF(AND(K$6&lt;=$H54,K$6+6&gt;=$G54),1,"")</x:f>
      </x:c>
      <x:c r="L54" s="167" t="str">
        <x:f>IF(AND(L$6&lt;=$H54,L$6+6&gt;=$G54),1,"")</x:f>
      </x:c>
      <x:c r="M54" s="167" t="str">
        <x:f>IF(AND(M$6&lt;=$H54,M$6+6&gt;=$G54),1,"")</x:f>
      </x:c>
      <x:c r="N54" s="167" t="str">
        <x:f>IF(AND(N$6&lt;=$H54,N$6+6&gt;=$G54),1,"")</x:f>
      </x:c>
      <x:c r="O54" s="167" t="str">
        <x:f>IF(AND(O$6&lt;=$H54,O$6+6&gt;=$G54),1,"")</x:f>
      </x:c>
      <x:c r="P54" s="167" t="str">
        <x:f>IF(AND(P$6&lt;=$H54,P$6+6&gt;=$G54),1,"")</x:f>
      </x:c>
      <x:c r="Q54" s="167" t="str">
        <x:f>IF(AND(Q$6&lt;=$H54,Q$6+6&gt;=$G54),1,"")</x:f>
      </x:c>
      <x:c r="R54" s="167" t="str">
        <x:f>IF(AND(R$6&lt;=$H54,R$6+6&gt;=$G54),1,"")</x:f>
      </x:c>
      <x:c r="S54" s="167" t="str">
        <x:f>IF(AND(S$6&lt;=$H54,S$6+6&gt;=$G54),1,"")</x:f>
      </x:c>
      <x:c r="T54" s="167" t="str">
        <x:f>IF(AND(T$6&lt;=$H54,T$6+6&gt;=$G54),1,"")</x:f>
      </x:c>
      <x:c r="U54" s="167" t="str">
        <x:f>IF(AND(U$6&lt;=$H54,U$6+6&gt;=$G54),1,"")</x:f>
      </x:c>
      <x:c r="V54" s="167" t="str">
        <x:f>IF(AND(V$6&lt;=$H54,V$6+6&gt;=$G54),1,"")</x:f>
      </x:c>
      <x:c r="W54" s="167" t="str">
        <x:f>IF(AND(W$6&lt;=$H54,W$6+6&gt;=$G54),1,"")</x:f>
      </x:c>
      <x:c r="X54" s="167" t="str">
        <x:f>IF(AND(X$6&lt;=$H54,X$6+6&gt;=$G54),1,"")</x:f>
      </x:c>
      <x:c r="Y54" s="167" t="str">
        <x:f>IF(AND(Y$6&lt;=$H54,Y$6+6&gt;=$G54),1,"")</x:f>
      </x:c>
      <x:c r="Z54" s="167" t="str">
        <x:f>IF(AND(Z$6&lt;=$H54,Z$6+6&gt;=$G54),1,"")</x:f>
      </x:c>
      <x:c r="AA54" s="167" t="str">
        <x:f>IF(AND(AA$6&lt;=$H54,AA$6+6&gt;=$G54),1,"")</x:f>
      </x:c>
      <x:c r="AB54" s="167" t="str">
        <x:f>IF(AND(AB$6&lt;=$H54,AB$6+6&gt;=$G54),1,"")</x:f>
      </x:c>
      <x:c r="AC54" s="167" t="str">
        <x:f>IF(AND(AC$6&lt;=$H54,AC$6+6&gt;=$G54),1,"")</x:f>
      </x:c>
      <x:c r="AD54" s="167" t="str">
        <x:f>IF(AND(AD$6&lt;=$H54,AD$6+6&gt;=$G54),1,"")</x:f>
      </x:c>
      <x:c r="AE54" s="167" t="str">
        <x:f>IF(AND(AE$6&lt;=$H54,AE$6+6&gt;=$G54),1,"")</x:f>
      </x:c>
      <x:c r="AF54" s="167" t="str">
        <x:f>IF(AND(AF$6&lt;=$H54,AF$6+6&gt;=$G54),1,"")</x:f>
      </x:c>
      <x:c r="AG54" s="167" t="str">
        <x:f>IF(AND(AG$6&lt;=$H54,AG$6+6&gt;=$G54),1,"")</x:f>
      </x:c>
      <x:c r="AH54" s="167" t="str">
        <x:f>IF(AND(AH$6&lt;=$H54,AH$6+6&gt;=$G54),1,"")</x:f>
      </x:c>
      <x:c r="AI54" s="167" t="str">
        <x:f>IF(AND(AI$6&lt;=$H54,AI$6+6&gt;=$G54),1,"")</x:f>
      </x:c>
      <x:c r="AJ54" s="167" t="n">
        <x:f>IF(AND(AJ$6&lt;=$H54,AJ$6+6&gt;=$G54),1,"")</x:f>
        <x:v>1</x:v>
      </x:c>
      <x:c r="AK54" s="167" t="str">
        <x:f>IF(AND(AK$6&lt;=$H54,AK$6+6&gt;=$G54),1,"")</x:f>
      </x:c>
      <x:c r="AL54" s="167" t="str">
        <x:f>IF(AND(AL$6&lt;=$H54,AL$6+6&gt;=$G54),1,"")</x:f>
      </x:c>
      <x:c r="AM54" s="167" t="str">
        <x:f>IF(AND(AM$6&lt;=$H54,AM$6+6&gt;=$G54),1,"")</x:f>
      </x:c>
      <x:c r="AN54" s="167" t="str">
        <x:f>IF(AND(AN$6&lt;=$H54,AN$6+6&gt;=$G54),1,"")</x:f>
      </x:c>
      <x:c r="AO54" s="167" t="str">
        <x:f>IF(AND(AO$6&lt;=$H54,AO$6+6&gt;=$G54),1,"")</x:f>
      </x:c>
      <x:c r="AP54" s="167" t="str">
        <x:f>IF(AND(AP$6&lt;=$H54,AP$6+6&gt;=$G54),1,"")</x:f>
      </x:c>
      <x:c r="AQ54" s="167" t="str">
        <x:f>IF(AND(AQ$6&lt;=$H54,AQ$6+6&gt;=$G54),1,"")</x:f>
      </x:c>
      <x:c r="AR54" s="167" t="str">
        <x:f>IF(AND(AR$6&lt;=$H54,AR$6+6&gt;=$G54),1,"")</x:f>
      </x:c>
      <x:c r="AS54" s="167" t="str">
        <x:f>IF(AND(AS$6&lt;=$H54,AS$6+6&gt;=$G54),1,"")</x:f>
      </x:c>
      <x:c r="AT54" s="167" t="str">
        <x:f>IF(AND(AT$6&lt;=$H54,AT$6+6&gt;=$G54),1,"")</x:f>
      </x:c>
      <x:c r="AU54" s="167" t="str">
        <x:f>IF(AND(AU$6&lt;=$H54,AU$6+6&gt;=$G54),1,"")</x:f>
      </x:c>
      <x:c r="AV54" s="167" t="str">
        <x:f>IF(AND(AV$6&lt;=$H54,AV$6+6&gt;=$G54),1,"")</x:f>
      </x:c>
      <x:c r="AW54" s="167" t="str">
        <x:f>IF(AND(AW$6&lt;=$H54,AW$6+6&gt;=$G54),1,"")</x:f>
      </x:c>
      <x:c r="AX54" s="167" t="str">
        <x:f>IF(AND(AX$6&lt;=$H54,AX$6+6&gt;=$G54),1,"")</x:f>
      </x:c>
      <x:c r="AY54" s="167" t="str">
        <x:f>IF(AND(AY$6&lt;=$H54,AY$6+6&gt;=$G54),1,"")</x:f>
      </x:c>
      <x:c r="AZ54" s="167" t="str">
        <x:f>IF(AND(AZ$6&lt;=$H54,AZ$6+6&gt;=$G54),1,"")</x:f>
      </x:c>
      <x:c r="BA54" s="167" t="str">
        <x:f>IF(AND(BA$6&lt;=$H54,BA$6+6&gt;=$G54),1,"")</x:f>
      </x:c>
      <x:c r="BB54" s="167" t="str">
        <x:f>IF(AND(BB$6&lt;=$H54,BB$6+6&gt;=$G54),1,"")</x:f>
      </x:c>
      <x:c r="BC54" s="167" t="str">
        <x:f>IF(AND(BC$6&lt;=$H54,BC$6+6&gt;=$G54),1,"")</x:f>
      </x:c>
      <x:c r="BD54" s="167" t="str">
        <x:f>IF(AND(BD$6&lt;=$H54,BD$6+6&gt;=$G54),1,"")</x:f>
      </x:c>
      <x:c r="BE54" s="167" t="str">
        <x:f>IF(AND(BE$6&lt;=$H54,BE$6+6&gt;=$G54),1,"")</x:f>
      </x:c>
      <x:c r="BF54" s="167" t="str">
        <x:f>IF(AND(BF$6&lt;=$H54,BF$6+6&gt;=$G54),1,"")</x:f>
      </x:c>
      <x:c r="BG54" s="167" t="str">
        <x:f>IF(AND(BG$6&lt;=$H54,BG$6+6&gt;=$G54),1,"")</x:f>
      </x:c>
      <x:c r="BH54" s="167" t="str">
        <x:f>IF(AND(BH$6&lt;=$H54,BH$6+6&gt;=$G54),1,"")</x:f>
      </x:c>
      <x:c r="BI54" s="167" t="str">
        <x:f>IF(AND(BI$6&lt;=$H54,BI$6+6&gt;=$G54),1,"")</x:f>
      </x:c>
      <x:c r="BJ54" s="167" t="str">
        <x:f>IF(AND(BJ$6&lt;=$H54,BJ$6+6&gt;=$G54),1,"")</x:f>
      </x:c>
      <x:c r="BK54" s="167" t="str">
        <x:f>IF(AND(BK$6&lt;=$H54,BK$6+6&gt;=$G54),1,"")</x:f>
      </x:c>
      <x:c r="BL54" s="167" t="str">
        <x:f>IF(AND(BL$6&lt;=$H54,BL$6+6&gt;=$G54),1,"")</x:f>
      </x:c>
      <x:c r="BM54" s="167" t="str">
        <x:f>IF(AND(BM$6&lt;=$H54,BM$6+6&gt;=$G54),1,"")</x:f>
      </x:c>
      <x:c r="BN54" s="167" t="str">
        <x:f>IF(AND(BN$6&lt;=$H54,BN$6+6&gt;=$G54),1,"")</x:f>
      </x:c>
      <x:c r="BO54" s="168" t="str">
        <x:f>IF(AND(BO$6&lt;=$H54,BO$6+6&gt;=$G54),1,"")</x:f>
      </x:c>
    </x:row>
    <x:row r="55" ht="24" customHeight="1">
      <x:c r="A55" s="68" t="str">
        <x:f>'Task Register'!A53</x:f>
        <x:v>AI-312</x:v>
      </x:c>
      <x:c r="B55" s="68" t="str">
        <x:f>'Task Register'!B53</x:f>
        <x:v>M3</x:v>
      </x:c>
      <x:c r="C55" s="68" t="str">
        <x:f>'Task Register'!C53</x:f>
        <x:v>Research Design</x:v>
      </x:c>
      <x:c r="D55" s="68" t="str">
        <x:f>'Task Register'!D53</x:f>
        <x:v>Define the single-agent developmental protocol</x:v>
      </x:c>
      <x:c r="E55" s="68" t="str">
        <x:f>'Task Register'!E53</x:f>
        <x:v>AI-112, AI-212, AI-305</x:v>
      </x:c>
      <x:c r="F55" s="68" t="str">
        <x:f>'Task Register'!F53</x:f>
        <x:v>Blocked</x:v>
      </x:c>
      <x:c r="G55" s="94" t="n">
        <x:f>'Task Register'!I53</x:f>
        <x:v>46433</x:v>
      </x:c>
      <x:c r="H55" s="94" t="n">
        <x:f>'Task Register'!J53</x:f>
        <x:v>46434</x:v>
      </x:c>
      <x:c r="I55" s="166" t="str">
        <x:f>IF(AND(I$6&lt;=$H55,I$6+6&gt;=$G55),1,"")</x:f>
      </x:c>
      <x:c r="J55" s="167" t="str">
        <x:f>IF(AND(J$6&lt;=$H55,J$6+6&gt;=$G55),1,"")</x:f>
      </x:c>
      <x:c r="K55" s="167" t="str">
        <x:f>IF(AND(K$6&lt;=$H55,K$6+6&gt;=$G55),1,"")</x:f>
      </x:c>
      <x:c r="L55" s="167" t="str">
        <x:f>IF(AND(L$6&lt;=$H55,L$6+6&gt;=$G55),1,"")</x:f>
      </x:c>
      <x:c r="M55" s="167" t="str">
        <x:f>IF(AND(M$6&lt;=$H55,M$6+6&gt;=$G55),1,"")</x:f>
      </x:c>
      <x:c r="N55" s="167" t="str">
        <x:f>IF(AND(N$6&lt;=$H55,N$6+6&gt;=$G55),1,"")</x:f>
      </x:c>
      <x:c r="O55" s="167" t="str">
        <x:f>IF(AND(O$6&lt;=$H55,O$6+6&gt;=$G55),1,"")</x:f>
      </x:c>
      <x:c r="P55" s="167" t="str">
        <x:f>IF(AND(P$6&lt;=$H55,P$6+6&gt;=$G55),1,"")</x:f>
      </x:c>
      <x:c r="Q55" s="167" t="str">
        <x:f>IF(AND(Q$6&lt;=$H55,Q$6+6&gt;=$G55),1,"")</x:f>
      </x:c>
      <x:c r="R55" s="167" t="str">
        <x:f>IF(AND(R$6&lt;=$H55,R$6+6&gt;=$G55),1,"")</x:f>
      </x:c>
      <x:c r="S55" s="167" t="str">
        <x:f>IF(AND(S$6&lt;=$H55,S$6+6&gt;=$G55),1,"")</x:f>
      </x:c>
      <x:c r="T55" s="167" t="str">
        <x:f>IF(AND(T$6&lt;=$H55,T$6+6&gt;=$G55),1,"")</x:f>
      </x:c>
      <x:c r="U55" s="167" t="str">
        <x:f>IF(AND(U$6&lt;=$H55,U$6+6&gt;=$G55),1,"")</x:f>
      </x:c>
      <x:c r="V55" s="167" t="str">
        <x:f>IF(AND(V$6&lt;=$H55,V$6+6&gt;=$G55),1,"")</x:f>
      </x:c>
      <x:c r="W55" s="167" t="str">
        <x:f>IF(AND(W$6&lt;=$H55,W$6+6&gt;=$G55),1,"")</x:f>
      </x:c>
      <x:c r="X55" s="167" t="str">
        <x:f>IF(AND(X$6&lt;=$H55,X$6+6&gt;=$G55),1,"")</x:f>
      </x:c>
      <x:c r="Y55" s="167" t="str">
        <x:f>IF(AND(Y$6&lt;=$H55,Y$6+6&gt;=$G55),1,"")</x:f>
      </x:c>
      <x:c r="Z55" s="167" t="str">
        <x:f>IF(AND(Z$6&lt;=$H55,Z$6+6&gt;=$G55),1,"")</x:f>
      </x:c>
      <x:c r="AA55" s="167" t="str">
        <x:f>IF(AND(AA$6&lt;=$H55,AA$6+6&gt;=$G55),1,"")</x:f>
      </x:c>
      <x:c r="AB55" s="167" t="str">
        <x:f>IF(AND(AB$6&lt;=$H55,AB$6+6&gt;=$G55),1,"")</x:f>
      </x:c>
      <x:c r="AC55" s="167" t="str">
        <x:f>IF(AND(AC$6&lt;=$H55,AC$6+6&gt;=$G55),1,"")</x:f>
      </x:c>
      <x:c r="AD55" s="167" t="str">
        <x:f>IF(AND(AD$6&lt;=$H55,AD$6+6&gt;=$G55),1,"")</x:f>
      </x:c>
      <x:c r="AE55" s="167" t="str">
        <x:f>IF(AND(AE$6&lt;=$H55,AE$6+6&gt;=$G55),1,"")</x:f>
      </x:c>
      <x:c r="AF55" s="167" t="str">
        <x:f>IF(AND(AF$6&lt;=$H55,AF$6+6&gt;=$G55),1,"")</x:f>
      </x:c>
      <x:c r="AG55" s="167" t="str">
        <x:f>IF(AND(AG$6&lt;=$H55,AG$6+6&gt;=$G55),1,"")</x:f>
      </x:c>
      <x:c r="AH55" s="167" t="str">
        <x:f>IF(AND(AH$6&lt;=$H55,AH$6+6&gt;=$G55),1,"")</x:f>
      </x:c>
      <x:c r="AI55" s="167" t="str">
        <x:f>IF(AND(AI$6&lt;=$H55,AI$6+6&gt;=$G55),1,"")</x:f>
      </x:c>
      <x:c r="AJ55" s="167" t="str">
        <x:f>IF(AND(AJ$6&lt;=$H55,AJ$6+6&gt;=$G55),1,"")</x:f>
      </x:c>
      <x:c r="AK55" s="167" t="n">
        <x:f>IF(AND(AK$6&lt;=$H55,AK$6+6&gt;=$G55),1,"")</x:f>
        <x:v>1</x:v>
      </x:c>
      <x:c r="AL55" s="167" t="str">
        <x:f>IF(AND(AL$6&lt;=$H55,AL$6+6&gt;=$G55),1,"")</x:f>
      </x:c>
      <x:c r="AM55" s="167" t="str">
        <x:f>IF(AND(AM$6&lt;=$H55,AM$6+6&gt;=$G55),1,"")</x:f>
      </x:c>
      <x:c r="AN55" s="167" t="str">
        <x:f>IF(AND(AN$6&lt;=$H55,AN$6+6&gt;=$G55),1,"")</x:f>
      </x:c>
      <x:c r="AO55" s="167" t="str">
        <x:f>IF(AND(AO$6&lt;=$H55,AO$6+6&gt;=$G55),1,"")</x:f>
      </x:c>
      <x:c r="AP55" s="167" t="str">
        <x:f>IF(AND(AP$6&lt;=$H55,AP$6+6&gt;=$G55),1,"")</x:f>
      </x:c>
      <x:c r="AQ55" s="167" t="str">
        <x:f>IF(AND(AQ$6&lt;=$H55,AQ$6+6&gt;=$G55),1,"")</x:f>
      </x:c>
      <x:c r="AR55" s="167" t="str">
        <x:f>IF(AND(AR$6&lt;=$H55,AR$6+6&gt;=$G55),1,"")</x:f>
      </x:c>
      <x:c r="AS55" s="167" t="str">
        <x:f>IF(AND(AS$6&lt;=$H55,AS$6+6&gt;=$G55),1,"")</x:f>
      </x:c>
      <x:c r="AT55" s="167" t="str">
        <x:f>IF(AND(AT$6&lt;=$H55,AT$6+6&gt;=$G55),1,"")</x:f>
      </x:c>
      <x:c r="AU55" s="167" t="str">
        <x:f>IF(AND(AU$6&lt;=$H55,AU$6+6&gt;=$G55),1,"")</x:f>
      </x:c>
      <x:c r="AV55" s="167" t="str">
        <x:f>IF(AND(AV$6&lt;=$H55,AV$6+6&gt;=$G55),1,"")</x:f>
      </x:c>
      <x:c r="AW55" s="167" t="str">
        <x:f>IF(AND(AW$6&lt;=$H55,AW$6+6&gt;=$G55),1,"")</x:f>
      </x:c>
      <x:c r="AX55" s="167" t="str">
        <x:f>IF(AND(AX$6&lt;=$H55,AX$6+6&gt;=$G55),1,"")</x:f>
      </x:c>
      <x:c r="AY55" s="167" t="str">
        <x:f>IF(AND(AY$6&lt;=$H55,AY$6+6&gt;=$G55),1,"")</x:f>
      </x:c>
      <x:c r="AZ55" s="167" t="str">
        <x:f>IF(AND(AZ$6&lt;=$H55,AZ$6+6&gt;=$G55),1,"")</x:f>
      </x:c>
      <x:c r="BA55" s="167" t="str">
        <x:f>IF(AND(BA$6&lt;=$H55,BA$6+6&gt;=$G55),1,"")</x:f>
      </x:c>
      <x:c r="BB55" s="167" t="str">
        <x:f>IF(AND(BB$6&lt;=$H55,BB$6+6&gt;=$G55),1,"")</x:f>
      </x:c>
      <x:c r="BC55" s="167" t="str">
        <x:f>IF(AND(BC$6&lt;=$H55,BC$6+6&gt;=$G55),1,"")</x:f>
      </x:c>
      <x:c r="BD55" s="167" t="str">
        <x:f>IF(AND(BD$6&lt;=$H55,BD$6+6&gt;=$G55),1,"")</x:f>
      </x:c>
      <x:c r="BE55" s="167" t="str">
        <x:f>IF(AND(BE$6&lt;=$H55,BE$6+6&gt;=$G55),1,"")</x:f>
      </x:c>
      <x:c r="BF55" s="167" t="str">
        <x:f>IF(AND(BF$6&lt;=$H55,BF$6+6&gt;=$G55),1,"")</x:f>
      </x:c>
      <x:c r="BG55" s="167" t="str">
        <x:f>IF(AND(BG$6&lt;=$H55,BG$6+6&gt;=$G55),1,"")</x:f>
      </x:c>
      <x:c r="BH55" s="167" t="str">
        <x:f>IF(AND(BH$6&lt;=$H55,BH$6+6&gt;=$G55),1,"")</x:f>
      </x:c>
      <x:c r="BI55" s="167" t="str">
        <x:f>IF(AND(BI$6&lt;=$H55,BI$6+6&gt;=$G55),1,"")</x:f>
      </x:c>
      <x:c r="BJ55" s="167" t="str">
        <x:f>IF(AND(BJ$6&lt;=$H55,BJ$6+6&gt;=$G55),1,"")</x:f>
      </x:c>
      <x:c r="BK55" s="167" t="str">
        <x:f>IF(AND(BK$6&lt;=$H55,BK$6+6&gt;=$G55),1,"")</x:f>
      </x:c>
      <x:c r="BL55" s="167" t="str">
        <x:f>IF(AND(BL$6&lt;=$H55,BL$6+6&gt;=$G55),1,"")</x:f>
      </x:c>
      <x:c r="BM55" s="167" t="str">
        <x:f>IF(AND(BM$6&lt;=$H55,BM$6+6&gt;=$G55),1,"")</x:f>
      </x:c>
      <x:c r="BN55" s="167" t="str">
        <x:f>IF(AND(BN$6&lt;=$H55,BN$6+6&gt;=$G55),1,"")</x:f>
      </x:c>
      <x:c r="BO55" s="168" t="str">
        <x:f>IF(AND(BO$6&lt;=$H55,BO$6+6&gt;=$G55),1,"")</x:f>
      </x:c>
    </x:row>
    <x:row r="56" ht="24" customHeight="1">
      <x:c r="A56" s="68" t="str">
        <x:f>'Task Register'!A54</x:f>
        <x:v>AI-313</x:v>
      </x:c>
      <x:c r="B56" s="68" t="str">
        <x:f>'Task Register'!B54</x:f>
        <x:v>M3</x:v>
      </x:c>
      <x:c r="C56" s="68" t="str">
        <x:f>'Task Register'!C54</x:f>
        <x:v>Research Experiments</x:v>
      </x:c>
      <x:c r="D56" s="68" t="str">
        <x:f>'Task Register'!D54</x:f>
        <x:v>Run the core foveation and hierarchy ablations</x:v>
      </x:c>
      <x:c r="E56" s="68" t="str">
        <x:f>'Task Register'!E54</x:f>
        <x:v>AI-306, AI-307, AI-308, AI-309, AI-310, AI-312</x:v>
      </x:c>
      <x:c r="F56" s="68" t="str">
        <x:f>'Task Register'!F54</x:f>
        <x:v>Blocked</x:v>
      </x:c>
      <x:c r="G56" s="94" t="n">
        <x:f>'Task Register'!I54</x:f>
        <x:v>46435</x:v>
      </x:c>
      <x:c r="H56" s="94" t="n">
        <x:f>'Task Register'!J54</x:f>
        <x:v>46443</x:v>
      </x:c>
      <x:c r="I56" s="166" t="str">
        <x:f>IF(AND(I$6&lt;=$H56,I$6+6&gt;=$G56),1,"")</x:f>
      </x:c>
      <x:c r="J56" s="167" t="str">
        <x:f>IF(AND(J$6&lt;=$H56,J$6+6&gt;=$G56),1,"")</x:f>
      </x:c>
      <x:c r="K56" s="167" t="str">
        <x:f>IF(AND(K$6&lt;=$H56,K$6+6&gt;=$G56),1,"")</x:f>
      </x:c>
      <x:c r="L56" s="167" t="str">
        <x:f>IF(AND(L$6&lt;=$H56,L$6+6&gt;=$G56),1,"")</x:f>
      </x:c>
      <x:c r="M56" s="167" t="str">
        <x:f>IF(AND(M$6&lt;=$H56,M$6+6&gt;=$G56),1,"")</x:f>
      </x:c>
      <x:c r="N56" s="167" t="str">
        <x:f>IF(AND(N$6&lt;=$H56,N$6+6&gt;=$G56),1,"")</x:f>
      </x:c>
      <x:c r="O56" s="167" t="str">
        <x:f>IF(AND(O$6&lt;=$H56,O$6+6&gt;=$G56),1,"")</x:f>
      </x:c>
      <x:c r="P56" s="167" t="str">
        <x:f>IF(AND(P$6&lt;=$H56,P$6+6&gt;=$G56),1,"")</x:f>
      </x:c>
      <x:c r="Q56" s="167" t="str">
        <x:f>IF(AND(Q$6&lt;=$H56,Q$6+6&gt;=$G56),1,"")</x:f>
      </x:c>
      <x:c r="R56" s="167" t="str">
        <x:f>IF(AND(R$6&lt;=$H56,R$6+6&gt;=$G56),1,"")</x:f>
      </x:c>
      <x:c r="S56" s="167" t="str">
        <x:f>IF(AND(S$6&lt;=$H56,S$6+6&gt;=$G56),1,"")</x:f>
      </x:c>
      <x:c r="T56" s="167" t="str">
        <x:f>IF(AND(T$6&lt;=$H56,T$6+6&gt;=$G56),1,"")</x:f>
      </x:c>
      <x:c r="U56" s="167" t="str">
        <x:f>IF(AND(U$6&lt;=$H56,U$6+6&gt;=$G56),1,"")</x:f>
      </x:c>
      <x:c r="V56" s="167" t="str">
        <x:f>IF(AND(V$6&lt;=$H56,V$6+6&gt;=$G56),1,"")</x:f>
      </x:c>
      <x:c r="W56" s="167" t="str">
        <x:f>IF(AND(W$6&lt;=$H56,W$6+6&gt;=$G56),1,"")</x:f>
      </x:c>
      <x:c r="X56" s="167" t="str">
        <x:f>IF(AND(X$6&lt;=$H56,X$6+6&gt;=$G56),1,"")</x:f>
      </x:c>
      <x:c r="Y56" s="167" t="str">
        <x:f>IF(AND(Y$6&lt;=$H56,Y$6+6&gt;=$G56),1,"")</x:f>
      </x:c>
      <x:c r="Z56" s="167" t="str">
        <x:f>IF(AND(Z$6&lt;=$H56,Z$6+6&gt;=$G56),1,"")</x:f>
      </x:c>
      <x:c r="AA56" s="167" t="str">
        <x:f>IF(AND(AA$6&lt;=$H56,AA$6+6&gt;=$G56),1,"")</x:f>
      </x:c>
      <x:c r="AB56" s="167" t="str">
        <x:f>IF(AND(AB$6&lt;=$H56,AB$6+6&gt;=$G56),1,"")</x:f>
      </x:c>
      <x:c r="AC56" s="167" t="str">
        <x:f>IF(AND(AC$6&lt;=$H56,AC$6+6&gt;=$G56),1,"")</x:f>
      </x:c>
      <x:c r="AD56" s="167" t="str">
        <x:f>IF(AND(AD$6&lt;=$H56,AD$6+6&gt;=$G56),1,"")</x:f>
      </x:c>
      <x:c r="AE56" s="167" t="str">
        <x:f>IF(AND(AE$6&lt;=$H56,AE$6+6&gt;=$G56),1,"")</x:f>
      </x:c>
      <x:c r="AF56" s="167" t="str">
        <x:f>IF(AND(AF$6&lt;=$H56,AF$6+6&gt;=$G56),1,"")</x:f>
      </x:c>
      <x:c r="AG56" s="167" t="str">
        <x:f>IF(AND(AG$6&lt;=$H56,AG$6+6&gt;=$G56),1,"")</x:f>
      </x:c>
      <x:c r="AH56" s="167" t="str">
        <x:f>IF(AND(AH$6&lt;=$H56,AH$6+6&gt;=$G56),1,"")</x:f>
      </x:c>
      <x:c r="AI56" s="167" t="str">
        <x:f>IF(AND(AI$6&lt;=$H56,AI$6+6&gt;=$G56),1,"")</x:f>
      </x:c>
      <x:c r="AJ56" s="167" t="str">
        <x:f>IF(AND(AJ$6&lt;=$H56,AJ$6+6&gt;=$G56),1,"")</x:f>
      </x:c>
      <x:c r="AK56" s="167" t="n">
        <x:f>IF(AND(AK$6&lt;=$H56,AK$6+6&gt;=$G56),1,"")</x:f>
        <x:v>1</x:v>
      </x:c>
      <x:c r="AL56" s="167" t="n">
        <x:f>IF(AND(AL$6&lt;=$H56,AL$6+6&gt;=$G56),1,"")</x:f>
        <x:v>1</x:v>
      </x:c>
      <x:c r="AM56" s="167" t="str">
        <x:f>IF(AND(AM$6&lt;=$H56,AM$6+6&gt;=$G56),1,"")</x:f>
      </x:c>
      <x:c r="AN56" s="167" t="str">
        <x:f>IF(AND(AN$6&lt;=$H56,AN$6+6&gt;=$G56),1,"")</x:f>
      </x:c>
      <x:c r="AO56" s="167" t="str">
        <x:f>IF(AND(AO$6&lt;=$H56,AO$6+6&gt;=$G56),1,"")</x:f>
      </x:c>
      <x:c r="AP56" s="167" t="str">
        <x:f>IF(AND(AP$6&lt;=$H56,AP$6+6&gt;=$G56),1,"")</x:f>
      </x:c>
      <x:c r="AQ56" s="167" t="str">
        <x:f>IF(AND(AQ$6&lt;=$H56,AQ$6+6&gt;=$G56),1,"")</x:f>
      </x:c>
      <x:c r="AR56" s="167" t="str">
        <x:f>IF(AND(AR$6&lt;=$H56,AR$6+6&gt;=$G56),1,"")</x:f>
      </x:c>
      <x:c r="AS56" s="167" t="str">
        <x:f>IF(AND(AS$6&lt;=$H56,AS$6+6&gt;=$G56),1,"")</x:f>
      </x:c>
      <x:c r="AT56" s="167" t="str">
        <x:f>IF(AND(AT$6&lt;=$H56,AT$6+6&gt;=$G56),1,"")</x:f>
      </x:c>
      <x:c r="AU56" s="167" t="str">
        <x:f>IF(AND(AU$6&lt;=$H56,AU$6+6&gt;=$G56),1,"")</x:f>
      </x:c>
      <x:c r="AV56" s="167" t="str">
        <x:f>IF(AND(AV$6&lt;=$H56,AV$6+6&gt;=$G56),1,"")</x:f>
      </x:c>
      <x:c r="AW56" s="167" t="str">
        <x:f>IF(AND(AW$6&lt;=$H56,AW$6+6&gt;=$G56),1,"")</x:f>
      </x:c>
      <x:c r="AX56" s="167" t="str">
        <x:f>IF(AND(AX$6&lt;=$H56,AX$6+6&gt;=$G56),1,"")</x:f>
      </x:c>
      <x:c r="AY56" s="167" t="str">
        <x:f>IF(AND(AY$6&lt;=$H56,AY$6+6&gt;=$G56),1,"")</x:f>
      </x:c>
      <x:c r="AZ56" s="167" t="str">
        <x:f>IF(AND(AZ$6&lt;=$H56,AZ$6+6&gt;=$G56),1,"")</x:f>
      </x:c>
      <x:c r="BA56" s="167" t="str">
        <x:f>IF(AND(BA$6&lt;=$H56,BA$6+6&gt;=$G56),1,"")</x:f>
      </x:c>
      <x:c r="BB56" s="167" t="str">
        <x:f>IF(AND(BB$6&lt;=$H56,BB$6+6&gt;=$G56),1,"")</x:f>
      </x:c>
      <x:c r="BC56" s="167" t="str">
        <x:f>IF(AND(BC$6&lt;=$H56,BC$6+6&gt;=$G56),1,"")</x:f>
      </x:c>
      <x:c r="BD56" s="167" t="str">
        <x:f>IF(AND(BD$6&lt;=$H56,BD$6+6&gt;=$G56),1,"")</x:f>
      </x:c>
      <x:c r="BE56" s="167" t="str">
        <x:f>IF(AND(BE$6&lt;=$H56,BE$6+6&gt;=$G56),1,"")</x:f>
      </x:c>
      <x:c r="BF56" s="167" t="str">
        <x:f>IF(AND(BF$6&lt;=$H56,BF$6+6&gt;=$G56),1,"")</x:f>
      </x:c>
      <x:c r="BG56" s="167" t="str">
        <x:f>IF(AND(BG$6&lt;=$H56,BG$6+6&gt;=$G56),1,"")</x:f>
      </x:c>
      <x:c r="BH56" s="167" t="str">
        <x:f>IF(AND(BH$6&lt;=$H56,BH$6+6&gt;=$G56),1,"")</x:f>
      </x:c>
      <x:c r="BI56" s="167" t="str">
        <x:f>IF(AND(BI$6&lt;=$H56,BI$6+6&gt;=$G56),1,"")</x:f>
      </x:c>
      <x:c r="BJ56" s="167" t="str">
        <x:f>IF(AND(BJ$6&lt;=$H56,BJ$6+6&gt;=$G56),1,"")</x:f>
      </x:c>
      <x:c r="BK56" s="167" t="str">
        <x:f>IF(AND(BK$6&lt;=$H56,BK$6+6&gt;=$G56),1,"")</x:f>
      </x:c>
      <x:c r="BL56" s="167" t="str">
        <x:f>IF(AND(BL$6&lt;=$H56,BL$6+6&gt;=$G56),1,"")</x:f>
      </x:c>
      <x:c r="BM56" s="167" t="str">
        <x:f>IF(AND(BM$6&lt;=$H56,BM$6+6&gt;=$G56),1,"")</x:f>
      </x:c>
      <x:c r="BN56" s="167" t="str">
        <x:f>IF(AND(BN$6&lt;=$H56,BN$6+6&gt;=$G56),1,"")</x:f>
      </x:c>
      <x:c r="BO56" s="168" t="str">
        <x:f>IF(AND(BO$6&lt;=$H56,BO$6+6&gt;=$G56),1,"")</x:f>
      </x:c>
    </x:row>
    <x:row r="57" ht="24" customHeight="1">
      <x:c r="A57" s="68" t="str">
        <x:f>'Task Register'!A55</x:f>
        <x:v>AI-314</x:v>
      </x:c>
      <x:c r="B57" s="68" t="str">
        <x:f>'Task Register'!B55</x:f>
        <x:v>M3</x:v>
      </x:c>
      <x:c r="C57" s="68" t="str">
        <x:f>'Task Register'!C55</x:f>
        <x:v>Perception/Feasibility</x:v>
      </x:c>
      <x:c r="D57" s="68" t="str">
        <x:f>'Task Register'!D55</x:f>
        <x:v>Evaluate frozen pretrained perception only after baseline</x:v>
      </x:c>
      <x:c r="E57" s="68" t="str">
        <x:f>'Task Register'!E55</x:f>
        <x:v>AI-214, AI-313</x:v>
      </x:c>
      <x:c r="F57" s="68" t="str">
        <x:f>'Task Register'!F55</x:f>
        <x:v>Blocked</x:v>
      </x:c>
      <x:c r="G57" s="94" t="n">
        <x:f>'Task Register'!I55</x:f>
        <x:v>46444</x:v>
      </x:c>
      <x:c r="H57" s="94" t="n">
        <x:f>'Task Register'!J55</x:f>
        <x:v>46451</x:v>
      </x:c>
      <x:c r="I57" s="166" t="str">
        <x:f>IF(AND(I$6&lt;=$H57,I$6+6&gt;=$G57),1,"")</x:f>
      </x:c>
      <x:c r="J57" s="167" t="str">
        <x:f>IF(AND(J$6&lt;=$H57,J$6+6&gt;=$G57),1,"")</x:f>
      </x:c>
      <x:c r="K57" s="167" t="str">
        <x:f>IF(AND(K$6&lt;=$H57,K$6+6&gt;=$G57),1,"")</x:f>
      </x:c>
      <x:c r="L57" s="167" t="str">
        <x:f>IF(AND(L$6&lt;=$H57,L$6+6&gt;=$G57),1,"")</x:f>
      </x:c>
      <x:c r="M57" s="167" t="str">
        <x:f>IF(AND(M$6&lt;=$H57,M$6+6&gt;=$G57),1,"")</x:f>
      </x:c>
      <x:c r="N57" s="167" t="str">
        <x:f>IF(AND(N$6&lt;=$H57,N$6+6&gt;=$G57),1,"")</x:f>
      </x:c>
      <x:c r="O57" s="167" t="str">
        <x:f>IF(AND(O$6&lt;=$H57,O$6+6&gt;=$G57),1,"")</x:f>
      </x:c>
      <x:c r="P57" s="167" t="str">
        <x:f>IF(AND(P$6&lt;=$H57,P$6+6&gt;=$G57),1,"")</x:f>
      </x:c>
      <x:c r="Q57" s="167" t="str">
        <x:f>IF(AND(Q$6&lt;=$H57,Q$6+6&gt;=$G57),1,"")</x:f>
      </x:c>
      <x:c r="R57" s="167" t="str">
        <x:f>IF(AND(R$6&lt;=$H57,R$6+6&gt;=$G57),1,"")</x:f>
      </x:c>
      <x:c r="S57" s="167" t="str">
        <x:f>IF(AND(S$6&lt;=$H57,S$6+6&gt;=$G57),1,"")</x:f>
      </x:c>
      <x:c r="T57" s="167" t="str">
        <x:f>IF(AND(T$6&lt;=$H57,T$6+6&gt;=$G57),1,"")</x:f>
      </x:c>
      <x:c r="U57" s="167" t="str">
        <x:f>IF(AND(U$6&lt;=$H57,U$6+6&gt;=$G57),1,"")</x:f>
      </x:c>
      <x:c r="V57" s="167" t="str">
        <x:f>IF(AND(V$6&lt;=$H57,V$6+6&gt;=$G57),1,"")</x:f>
      </x:c>
      <x:c r="W57" s="167" t="str">
        <x:f>IF(AND(W$6&lt;=$H57,W$6+6&gt;=$G57),1,"")</x:f>
      </x:c>
      <x:c r="X57" s="167" t="str">
        <x:f>IF(AND(X$6&lt;=$H57,X$6+6&gt;=$G57),1,"")</x:f>
      </x:c>
      <x:c r="Y57" s="167" t="str">
        <x:f>IF(AND(Y$6&lt;=$H57,Y$6+6&gt;=$G57),1,"")</x:f>
      </x:c>
      <x:c r="Z57" s="167" t="str">
        <x:f>IF(AND(Z$6&lt;=$H57,Z$6+6&gt;=$G57),1,"")</x:f>
      </x:c>
      <x:c r="AA57" s="167" t="str">
        <x:f>IF(AND(AA$6&lt;=$H57,AA$6+6&gt;=$G57),1,"")</x:f>
      </x:c>
      <x:c r="AB57" s="167" t="str">
        <x:f>IF(AND(AB$6&lt;=$H57,AB$6+6&gt;=$G57),1,"")</x:f>
      </x:c>
      <x:c r="AC57" s="167" t="str">
        <x:f>IF(AND(AC$6&lt;=$H57,AC$6+6&gt;=$G57),1,"")</x:f>
      </x:c>
      <x:c r="AD57" s="167" t="str">
        <x:f>IF(AND(AD$6&lt;=$H57,AD$6+6&gt;=$G57),1,"")</x:f>
      </x:c>
      <x:c r="AE57" s="167" t="str">
        <x:f>IF(AND(AE$6&lt;=$H57,AE$6+6&gt;=$G57),1,"")</x:f>
      </x:c>
      <x:c r="AF57" s="167" t="str">
        <x:f>IF(AND(AF$6&lt;=$H57,AF$6+6&gt;=$G57),1,"")</x:f>
      </x:c>
      <x:c r="AG57" s="167" t="str">
        <x:f>IF(AND(AG$6&lt;=$H57,AG$6+6&gt;=$G57),1,"")</x:f>
      </x:c>
      <x:c r="AH57" s="167" t="str">
        <x:f>IF(AND(AH$6&lt;=$H57,AH$6+6&gt;=$G57),1,"")</x:f>
      </x:c>
      <x:c r="AI57" s="167" t="str">
        <x:f>IF(AND(AI$6&lt;=$H57,AI$6+6&gt;=$G57),1,"")</x:f>
      </x:c>
      <x:c r="AJ57" s="167" t="str">
        <x:f>IF(AND(AJ$6&lt;=$H57,AJ$6+6&gt;=$G57),1,"")</x:f>
      </x:c>
      <x:c r="AK57" s="167" t="str">
        <x:f>IF(AND(AK$6&lt;=$H57,AK$6+6&gt;=$G57),1,"")</x:f>
      </x:c>
      <x:c r="AL57" s="167" t="n">
        <x:f>IF(AND(AL$6&lt;=$H57,AL$6+6&gt;=$G57),1,"")</x:f>
        <x:v>1</x:v>
      </x:c>
      <x:c r="AM57" s="167" t="n">
        <x:f>IF(AND(AM$6&lt;=$H57,AM$6+6&gt;=$G57),1,"")</x:f>
        <x:v>1</x:v>
      </x:c>
      <x:c r="AN57" s="167" t="str">
        <x:f>IF(AND(AN$6&lt;=$H57,AN$6+6&gt;=$G57),1,"")</x:f>
      </x:c>
      <x:c r="AO57" s="167" t="str">
        <x:f>IF(AND(AO$6&lt;=$H57,AO$6+6&gt;=$G57),1,"")</x:f>
      </x:c>
      <x:c r="AP57" s="167" t="str">
        <x:f>IF(AND(AP$6&lt;=$H57,AP$6+6&gt;=$G57),1,"")</x:f>
      </x:c>
      <x:c r="AQ57" s="167" t="str">
        <x:f>IF(AND(AQ$6&lt;=$H57,AQ$6+6&gt;=$G57),1,"")</x:f>
      </x:c>
      <x:c r="AR57" s="167" t="str">
        <x:f>IF(AND(AR$6&lt;=$H57,AR$6+6&gt;=$G57),1,"")</x:f>
      </x:c>
      <x:c r="AS57" s="167" t="str">
        <x:f>IF(AND(AS$6&lt;=$H57,AS$6+6&gt;=$G57),1,"")</x:f>
      </x:c>
      <x:c r="AT57" s="167" t="str">
        <x:f>IF(AND(AT$6&lt;=$H57,AT$6+6&gt;=$G57),1,"")</x:f>
      </x:c>
      <x:c r="AU57" s="167" t="str">
        <x:f>IF(AND(AU$6&lt;=$H57,AU$6+6&gt;=$G57),1,"")</x:f>
      </x:c>
      <x:c r="AV57" s="167" t="str">
        <x:f>IF(AND(AV$6&lt;=$H57,AV$6+6&gt;=$G57),1,"")</x:f>
      </x:c>
      <x:c r="AW57" s="167" t="str">
        <x:f>IF(AND(AW$6&lt;=$H57,AW$6+6&gt;=$G57),1,"")</x:f>
      </x:c>
      <x:c r="AX57" s="167" t="str">
        <x:f>IF(AND(AX$6&lt;=$H57,AX$6+6&gt;=$G57),1,"")</x:f>
      </x:c>
      <x:c r="AY57" s="167" t="str">
        <x:f>IF(AND(AY$6&lt;=$H57,AY$6+6&gt;=$G57),1,"")</x:f>
      </x:c>
      <x:c r="AZ57" s="167" t="str">
        <x:f>IF(AND(AZ$6&lt;=$H57,AZ$6+6&gt;=$G57),1,"")</x:f>
      </x:c>
      <x:c r="BA57" s="167" t="str">
        <x:f>IF(AND(BA$6&lt;=$H57,BA$6+6&gt;=$G57),1,"")</x:f>
      </x:c>
      <x:c r="BB57" s="167" t="str">
        <x:f>IF(AND(BB$6&lt;=$H57,BB$6+6&gt;=$G57),1,"")</x:f>
      </x:c>
      <x:c r="BC57" s="167" t="str">
        <x:f>IF(AND(BC$6&lt;=$H57,BC$6+6&gt;=$G57),1,"")</x:f>
      </x:c>
      <x:c r="BD57" s="167" t="str">
        <x:f>IF(AND(BD$6&lt;=$H57,BD$6+6&gt;=$G57),1,"")</x:f>
      </x:c>
      <x:c r="BE57" s="167" t="str">
        <x:f>IF(AND(BE$6&lt;=$H57,BE$6+6&gt;=$G57),1,"")</x:f>
      </x:c>
      <x:c r="BF57" s="167" t="str">
        <x:f>IF(AND(BF$6&lt;=$H57,BF$6+6&gt;=$G57),1,"")</x:f>
      </x:c>
      <x:c r="BG57" s="167" t="str">
        <x:f>IF(AND(BG$6&lt;=$H57,BG$6+6&gt;=$G57),1,"")</x:f>
      </x:c>
      <x:c r="BH57" s="167" t="str">
        <x:f>IF(AND(BH$6&lt;=$H57,BH$6+6&gt;=$G57),1,"")</x:f>
      </x:c>
      <x:c r="BI57" s="167" t="str">
        <x:f>IF(AND(BI$6&lt;=$H57,BI$6+6&gt;=$G57),1,"")</x:f>
      </x:c>
      <x:c r="BJ57" s="167" t="str">
        <x:f>IF(AND(BJ$6&lt;=$H57,BJ$6+6&gt;=$G57),1,"")</x:f>
      </x:c>
      <x:c r="BK57" s="167" t="str">
        <x:f>IF(AND(BK$6&lt;=$H57,BK$6+6&gt;=$G57),1,"")</x:f>
      </x:c>
      <x:c r="BL57" s="167" t="str">
        <x:f>IF(AND(BL$6&lt;=$H57,BL$6+6&gt;=$G57),1,"")</x:f>
      </x:c>
      <x:c r="BM57" s="167" t="str">
        <x:f>IF(AND(BM$6&lt;=$H57,BM$6+6&gt;=$G57),1,"")</x:f>
      </x:c>
      <x:c r="BN57" s="167" t="str">
        <x:f>IF(AND(BN$6&lt;=$H57,BN$6+6&gt;=$G57),1,"")</x:f>
      </x:c>
      <x:c r="BO57" s="168" t="str">
        <x:f>IF(AND(BO$6&lt;=$H57,BO$6+6&gt;=$G57),1,"")</x:f>
      </x:c>
    </x:row>
    <x:row r="58" ht="24" customHeight="1">
      <x:c r="A58" s="68" t="str">
        <x:f>'Task Register'!A56</x:f>
        <x:v>AI-315</x:v>
      </x:c>
      <x:c r="B58" s="68" t="str">
        <x:f>'Task Register'!B56</x:f>
        <x:v>M3</x:v>
      </x:c>
      <x:c r="C58" s="68" t="str">
        <x:f>'Task Register'!C56</x:f>
        <x:v>Validation</x:v>
      </x:c>
      <x:c r="D58" s="68" t="str">
        <x:f>'Task Register'!D56</x:f>
        <x:v>Run the M3 capability-gate suite</x:v>
      </x:c>
      <x:c r="E58" s="68" t="str">
        <x:f>'Task Register'!E56</x:f>
        <x:v>AI-303, AI-304, AI-306, AI-308, AI-309, AI-310, AI-311, AI-313</x:v>
      </x:c>
      <x:c r="F58" s="68" t="str">
        <x:f>'Task Register'!F56</x:f>
        <x:v>Blocked</x:v>
      </x:c>
      <x:c r="G58" s="94" t="n">
        <x:f>'Task Register'!I56</x:f>
        <x:v>46454</x:v>
      </x:c>
      <x:c r="H58" s="94" t="n">
        <x:f>'Task Register'!J56</x:f>
        <x:v>46457</x:v>
      </x:c>
      <x:c r="I58" s="166" t="str">
        <x:f>IF(AND(I$6&lt;=$H58,I$6+6&gt;=$G58),1,"")</x:f>
      </x:c>
      <x:c r="J58" s="167" t="str">
        <x:f>IF(AND(J$6&lt;=$H58,J$6+6&gt;=$G58),1,"")</x:f>
      </x:c>
      <x:c r="K58" s="167" t="str">
        <x:f>IF(AND(K$6&lt;=$H58,K$6+6&gt;=$G58),1,"")</x:f>
      </x:c>
      <x:c r="L58" s="167" t="str">
        <x:f>IF(AND(L$6&lt;=$H58,L$6+6&gt;=$G58),1,"")</x:f>
      </x:c>
      <x:c r="M58" s="167" t="str">
        <x:f>IF(AND(M$6&lt;=$H58,M$6+6&gt;=$G58),1,"")</x:f>
      </x:c>
      <x:c r="N58" s="167" t="str">
        <x:f>IF(AND(N$6&lt;=$H58,N$6+6&gt;=$G58),1,"")</x:f>
      </x:c>
      <x:c r="O58" s="167" t="str">
        <x:f>IF(AND(O$6&lt;=$H58,O$6+6&gt;=$G58),1,"")</x:f>
      </x:c>
      <x:c r="P58" s="167" t="str">
        <x:f>IF(AND(P$6&lt;=$H58,P$6+6&gt;=$G58),1,"")</x:f>
      </x:c>
      <x:c r="Q58" s="167" t="str">
        <x:f>IF(AND(Q$6&lt;=$H58,Q$6+6&gt;=$G58),1,"")</x:f>
      </x:c>
      <x:c r="R58" s="167" t="str">
        <x:f>IF(AND(R$6&lt;=$H58,R$6+6&gt;=$G58),1,"")</x:f>
      </x:c>
      <x:c r="S58" s="167" t="str">
        <x:f>IF(AND(S$6&lt;=$H58,S$6+6&gt;=$G58),1,"")</x:f>
      </x:c>
      <x:c r="T58" s="167" t="str">
        <x:f>IF(AND(T$6&lt;=$H58,T$6+6&gt;=$G58),1,"")</x:f>
      </x:c>
      <x:c r="U58" s="167" t="str">
        <x:f>IF(AND(U$6&lt;=$H58,U$6+6&gt;=$G58),1,"")</x:f>
      </x:c>
      <x:c r="V58" s="167" t="str">
        <x:f>IF(AND(V$6&lt;=$H58,V$6+6&gt;=$G58),1,"")</x:f>
      </x:c>
      <x:c r="W58" s="167" t="str">
        <x:f>IF(AND(W$6&lt;=$H58,W$6+6&gt;=$G58),1,"")</x:f>
      </x:c>
      <x:c r="X58" s="167" t="str">
        <x:f>IF(AND(X$6&lt;=$H58,X$6+6&gt;=$G58),1,"")</x:f>
      </x:c>
      <x:c r="Y58" s="167" t="str">
        <x:f>IF(AND(Y$6&lt;=$H58,Y$6+6&gt;=$G58),1,"")</x:f>
      </x:c>
      <x:c r="Z58" s="167" t="str">
        <x:f>IF(AND(Z$6&lt;=$H58,Z$6+6&gt;=$G58),1,"")</x:f>
      </x:c>
      <x:c r="AA58" s="167" t="str">
        <x:f>IF(AND(AA$6&lt;=$H58,AA$6+6&gt;=$G58),1,"")</x:f>
      </x:c>
      <x:c r="AB58" s="167" t="str">
        <x:f>IF(AND(AB$6&lt;=$H58,AB$6+6&gt;=$G58),1,"")</x:f>
      </x:c>
      <x:c r="AC58" s="167" t="str">
        <x:f>IF(AND(AC$6&lt;=$H58,AC$6+6&gt;=$G58),1,"")</x:f>
      </x:c>
      <x:c r="AD58" s="167" t="str">
        <x:f>IF(AND(AD$6&lt;=$H58,AD$6+6&gt;=$G58),1,"")</x:f>
      </x:c>
      <x:c r="AE58" s="167" t="str">
        <x:f>IF(AND(AE$6&lt;=$H58,AE$6+6&gt;=$G58),1,"")</x:f>
      </x:c>
      <x:c r="AF58" s="167" t="str">
        <x:f>IF(AND(AF$6&lt;=$H58,AF$6+6&gt;=$G58),1,"")</x:f>
      </x:c>
      <x:c r="AG58" s="167" t="str">
        <x:f>IF(AND(AG$6&lt;=$H58,AG$6+6&gt;=$G58),1,"")</x:f>
      </x:c>
      <x:c r="AH58" s="167" t="str">
        <x:f>IF(AND(AH$6&lt;=$H58,AH$6+6&gt;=$G58),1,"")</x:f>
      </x:c>
      <x:c r="AI58" s="167" t="str">
        <x:f>IF(AND(AI$6&lt;=$H58,AI$6+6&gt;=$G58),1,"")</x:f>
      </x:c>
      <x:c r="AJ58" s="167" t="str">
        <x:f>IF(AND(AJ$6&lt;=$H58,AJ$6+6&gt;=$G58),1,"")</x:f>
      </x:c>
      <x:c r="AK58" s="167" t="str">
        <x:f>IF(AND(AK$6&lt;=$H58,AK$6+6&gt;=$G58),1,"")</x:f>
      </x:c>
      <x:c r="AL58" s="167" t="str">
        <x:f>IF(AND(AL$6&lt;=$H58,AL$6+6&gt;=$G58),1,"")</x:f>
      </x:c>
      <x:c r="AM58" s="167" t="str">
        <x:f>IF(AND(AM$6&lt;=$H58,AM$6+6&gt;=$G58),1,"")</x:f>
      </x:c>
      <x:c r="AN58" s="167" t="n">
        <x:f>IF(AND(AN$6&lt;=$H58,AN$6+6&gt;=$G58),1,"")</x:f>
        <x:v>1</x:v>
      </x:c>
      <x:c r="AO58" s="167" t="str">
        <x:f>IF(AND(AO$6&lt;=$H58,AO$6+6&gt;=$G58),1,"")</x:f>
      </x:c>
      <x:c r="AP58" s="167" t="str">
        <x:f>IF(AND(AP$6&lt;=$H58,AP$6+6&gt;=$G58),1,"")</x:f>
      </x:c>
      <x:c r="AQ58" s="167" t="str">
        <x:f>IF(AND(AQ$6&lt;=$H58,AQ$6+6&gt;=$G58),1,"")</x:f>
      </x:c>
      <x:c r="AR58" s="167" t="str">
        <x:f>IF(AND(AR$6&lt;=$H58,AR$6+6&gt;=$G58),1,"")</x:f>
      </x:c>
      <x:c r="AS58" s="167" t="str">
        <x:f>IF(AND(AS$6&lt;=$H58,AS$6+6&gt;=$G58),1,"")</x:f>
      </x:c>
      <x:c r="AT58" s="167" t="str">
        <x:f>IF(AND(AT$6&lt;=$H58,AT$6+6&gt;=$G58),1,"")</x:f>
      </x:c>
      <x:c r="AU58" s="167" t="str">
        <x:f>IF(AND(AU$6&lt;=$H58,AU$6+6&gt;=$G58),1,"")</x:f>
      </x:c>
      <x:c r="AV58" s="167" t="str">
        <x:f>IF(AND(AV$6&lt;=$H58,AV$6+6&gt;=$G58),1,"")</x:f>
      </x:c>
      <x:c r="AW58" s="167" t="str">
        <x:f>IF(AND(AW$6&lt;=$H58,AW$6+6&gt;=$G58),1,"")</x:f>
      </x:c>
      <x:c r="AX58" s="167" t="str">
        <x:f>IF(AND(AX$6&lt;=$H58,AX$6+6&gt;=$G58),1,"")</x:f>
      </x:c>
      <x:c r="AY58" s="167" t="str">
        <x:f>IF(AND(AY$6&lt;=$H58,AY$6+6&gt;=$G58),1,"")</x:f>
      </x:c>
      <x:c r="AZ58" s="167" t="str">
        <x:f>IF(AND(AZ$6&lt;=$H58,AZ$6+6&gt;=$G58),1,"")</x:f>
      </x:c>
      <x:c r="BA58" s="167" t="str">
        <x:f>IF(AND(BA$6&lt;=$H58,BA$6+6&gt;=$G58),1,"")</x:f>
      </x:c>
      <x:c r="BB58" s="167" t="str">
        <x:f>IF(AND(BB$6&lt;=$H58,BB$6+6&gt;=$G58),1,"")</x:f>
      </x:c>
      <x:c r="BC58" s="167" t="str">
        <x:f>IF(AND(BC$6&lt;=$H58,BC$6+6&gt;=$G58),1,"")</x:f>
      </x:c>
      <x:c r="BD58" s="167" t="str">
        <x:f>IF(AND(BD$6&lt;=$H58,BD$6+6&gt;=$G58),1,"")</x:f>
      </x:c>
      <x:c r="BE58" s="167" t="str">
        <x:f>IF(AND(BE$6&lt;=$H58,BE$6+6&gt;=$G58),1,"")</x:f>
      </x:c>
      <x:c r="BF58" s="167" t="str">
        <x:f>IF(AND(BF$6&lt;=$H58,BF$6+6&gt;=$G58),1,"")</x:f>
      </x:c>
      <x:c r="BG58" s="167" t="str">
        <x:f>IF(AND(BG$6&lt;=$H58,BG$6+6&gt;=$G58),1,"")</x:f>
      </x:c>
      <x:c r="BH58" s="167" t="str">
        <x:f>IF(AND(BH$6&lt;=$H58,BH$6+6&gt;=$G58),1,"")</x:f>
      </x:c>
      <x:c r="BI58" s="167" t="str">
        <x:f>IF(AND(BI$6&lt;=$H58,BI$6+6&gt;=$G58),1,"")</x:f>
      </x:c>
      <x:c r="BJ58" s="167" t="str">
        <x:f>IF(AND(BJ$6&lt;=$H58,BJ$6+6&gt;=$G58),1,"")</x:f>
      </x:c>
      <x:c r="BK58" s="167" t="str">
        <x:f>IF(AND(BK$6&lt;=$H58,BK$6+6&gt;=$G58),1,"")</x:f>
      </x:c>
      <x:c r="BL58" s="167" t="str">
        <x:f>IF(AND(BL$6&lt;=$H58,BL$6+6&gt;=$G58),1,"")</x:f>
      </x:c>
      <x:c r="BM58" s="167" t="str">
        <x:f>IF(AND(BM$6&lt;=$H58,BM$6+6&gt;=$G58),1,"")</x:f>
      </x:c>
      <x:c r="BN58" s="167" t="str">
        <x:f>IF(AND(BN$6&lt;=$H58,BN$6+6&gt;=$G58),1,"")</x:f>
      </x:c>
      <x:c r="BO58" s="168" t="str">
        <x:f>IF(AND(BO$6&lt;=$H58,BO$6+6&gt;=$G58),1,"")</x:f>
      </x:c>
    </x:row>
    <x:row r="59" ht="24" customHeight="1">
      <x:c r="A59" s="68" t="str">
        <x:f>'Task Register'!A57</x:f>
        <x:v>AI-316</x:v>
      </x:c>
      <x:c r="B59" s="68" t="str">
        <x:f>'Task Register'!B57</x:f>
        <x:v>M3</x:v>
      </x:c>
      <x:c r="C59" s="68" t="str">
        <x:f>'Task Register'!C57</x:f>
        <x:v>Validation</x:v>
      </x:c>
      <x:c r="D59" s="68" t="str">
        <x:f>'Task Register'!D57</x:f>
        <x:v>M3 lock decision</x:v>
      </x:c>
      <x:c r="E59" s="68" t="str">
        <x:f>'Task Register'!E57</x:f>
        <x:v>AI-315</x:v>
      </x:c>
      <x:c r="F59" s="68" t="str">
        <x:f>'Task Register'!F57</x:f>
        <x:v>Blocked</x:v>
      </x:c>
      <x:c r="G59" s="94" t="n">
        <x:f>'Task Register'!I57</x:f>
        <x:v>46458</x:v>
      </x:c>
      <x:c r="H59" s="94" t="n">
        <x:f>'Task Register'!J57</x:f>
        <x:v>46458</x:v>
      </x:c>
      <x:c r="I59" s="166" t="str">
        <x:f>IF(AND(I$6&lt;=$H59,I$6+6&gt;=$G59),1,"")</x:f>
      </x:c>
      <x:c r="J59" s="167" t="str">
        <x:f>IF(AND(J$6&lt;=$H59,J$6+6&gt;=$G59),1,"")</x:f>
      </x:c>
      <x:c r="K59" s="167" t="str">
        <x:f>IF(AND(K$6&lt;=$H59,K$6+6&gt;=$G59),1,"")</x:f>
      </x:c>
      <x:c r="L59" s="167" t="str">
        <x:f>IF(AND(L$6&lt;=$H59,L$6+6&gt;=$G59),1,"")</x:f>
      </x:c>
      <x:c r="M59" s="167" t="str">
        <x:f>IF(AND(M$6&lt;=$H59,M$6+6&gt;=$G59),1,"")</x:f>
      </x:c>
      <x:c r="N59" s="167" t="str">
        <x:f>IF(AND(N$6&lt;=$H59,N$6+6&gt;=$G59),1,"")</x:f>
      </x:c>
      <x:c r="O59" s="167" t="str">
        <x:f>IF(AND(O$6&lt;=$H59,O$6+6&gt;=$G59),1,"")</x:f>
      </x:c>
      <x:c r="P59" s="167" t="str">
        <x:f>IF(AND(P$6&lt;=$H59,P$6+6&gt;=$G59),1,"")</x:f>
      </x:c>
      <x:c r="Q59" s="167" t="str">
        <x:f>IF(AND(Q$6&lt;=$H59,Q$6+6&gt;=$G59),1,"")</x:f>
      </x:c>
      <x:c r="R59" s="167" t="str">
        <x:f>IF(AND(R$6&lt;=$H59,R$6+6&gt;=$G59),1,"")</x:f>
      </x:c>
      <x:c r="S59" s="167" t="str">
        <x:f>IF(AND(S$6&lt;=$H59,S$6+6&gt;=$G59),1,"")</x:f>
      </x:c>
      <x:c r="T59" s="167" t="str">
        <x:f>IF(AND(T$6&lt;=$H59,T$6+6&gt;=$G59),1,"")</x:f>
      </x:c>
      <x:c r="U59" s="167" t="str">
        <x:f>IF(AND(U$6&lt;=$H59,U$6+6&gt;=$G59),1,"")</x:f>
      </x:c>
      <x:c r="V59" s="167" t="str">
        <x:f>IF(AND(V$6&lt;=$H59,V$6+6&gt;=$G59),1,"")</x:f>
      </x:c>
      <x:c r="W59" s="167" t="str">
        <x:f>IF(AND(W$6&lt;=$H59,W$6+6&gt;=$G59),1,"")</x:f>
      </x:c>
      <x:c r="X59" s="167" t="str">
        <x:f>IF(AND(X$6&lt;=$H59,X$6+6&gt;=$G59),1,"")</x:f>
      </x:c>
      <x:c r="Y59" s="167" t="str">
        <x:f>IF(AND(Y$6&lt;=$H59,Y$6+6&gt;=$G59),1,"")</x:f>
      </x:c>
      <x:c r="Z59" s="167" t="str">
        <x:f>IF(AND(Z$6&lt;=$H59,Z$6+6&gt;=$G59),1,"")</x:f>
      </x:c>
      <x:c r="AA59" s="167" t="str">
        <x:f>IF(AND(AA$6&lt;=$H59,AA$6+6&gt;=$G59),1,"")</x:f>
      </x:c>
      <x:c r="AB59" s="167" t="str">
        <x:f>IF(AND(AB$6&lt;=$H59,AB$6+6&gt;=$G59),1,"")</x:f>
      </x:c>
      <x:c r="AC59" s="167" t="str">
        <x:f>IF(AND(AC$6&lt;=$H59,AC$6+6&gt;=$G59),1,"")</x:f>
      </x:c>
      <x:c r="AD59" s="167" t="str">
        <x:f>IF(AND(AD$6&lt;=$H59,AD$6+6&gt;=$G59),1,"")</x:f>
      </x:c>
      <x:c r="AE59" s="167" t="str">
        <x:f>IF(AND(AE$6&lt;=$H59,AE$6+6&gt;=$G59),1,"")</x:f>
      </x:c>
      <x:c r="AF59" s="167" t="str">
        <x:f>IF(AND(AF$6&lt;=$H59,AF$6+6&gt;=$G59),1,"")</x:f>
      </x:c>
      <x:c r="AG59" s="167" t="str">
        <x:f>IF(AND(AG$6&lt;=$H59,AG$6+6&gt;=$G59),1,"")</x:f>
      </x:c>
      <x:c r="AH59" s="167" t="str">
        <x:f>IF(AND(AH$6&lt;=$H59,AH$6+6&gt;=$G59),1,"")</x:f>
      </x:c>
      <x:c r="AI59" s="167" t="str">
        <x:f>IF(AND(AI$6&lt;=$H59,AI$6+6&gt;=$G59),1,"")</x:f>
      </x:c>
      <x:c r="AJ59" s="167" t="str">
        <x:f>IF(AND(AJ$6&lt;=$H59,AJ$6+6&gt;=$G59),1,"")</x:f>
      </x:c>
      <x:c r="AK59" s="167" t="str">
        <x:f>IF(AND(AK$6&lt;=$H59,AK$6+6&gt;=$G59),1,"")</x:f>
      </x:c>
      <x:c r="AL59" s="167" t="str">
        <x:f>IF(AND(AL$6&lt;=$H59,AL$6+6&gt;=$G59),1,"")</x:f>
      </x:c>
      <x:c r="AM59" s="167" t="str">
        <x:f>IF(AND(AM$6&lt;=$H59,AM$6+6&gt;=$G59),1,"")</x:f>
      </x:c>
      <x:c r="AN59" s="167" t="n">
        <x:f>IF(AND(AN$6&lt;=$H59,AN$6+6&gt;=$G59),1,"")</x:f>
        <x:v>1</x:v>
      </x:c>
      <x:c r="AO59" s="167" t="str">
        <x:f>IF(AND(AO$6&lt;=$H59,AO$6+6&gt;=$G59),1,"")</x:f>
      </x:c>
      <x:c r="AP59" s="167" t="str">
        <x:f>IF(AND(AP$6&lt;=$H59,AP$6+6&gt;=$G59),1,"")</x:f>
      </x:c>
      <x:c r="AQ59" s="167" t="str">
        <x:f>IF(AND(AQ$6&lt;=$H59,AQ$6+6&gt;=$G59),1,"")</x:f>
      </x:c>
      <x:c r="AR59" s="167" t="str">
        <x:f>IF(AND(AR$6&lt;=$H59,AR$6+6&gt;=$G59),1,"")</x:f>
      </x:c>
      <x:c r="AS59" s="167" t="str">
        <x:f>IF(AND(AS$6&lt;=$H59,AS$6+6&gt;=$G59),1,"")</x:f>
      </x:c>
      <x:c r="AT59" s="167" t="str">
        <x:f>IF(AND(AT$6&lt;=$H59,AT$6+6&gt;=$G59),1,"")</x:f>
      </x:c>
      <x:c r="AU59" s="167" t="str">
        <x:f>IF(AND(AU$6&lt;=$H59,AU$6+6&gt;=$G59),1,"")</x:f>
      </x:c>
      <x:c r="AV59" s="167" t="str">
        <x:f>IF(AND(AV$6&lt;=$H59,AV$6+6&gt;=$G59),1,"")</x:f>
      </x:c>
      <x:c r="AW59" s="167" t="str">
        <x:f>IF(AND(AW$6&lt;=$H59,AW$6+6&gt;=$G59),1,"")</x:f>
      </x:c>
      <x:c r="AX59" s="167" t="str">
        <x:f>IF(AND(AX$6&lt;=$H59,AX$6+6&gt;=$G59),1,"")</x:f>
      </x:c>
      <x:c r="AY59" s="167" t="str">
        <x:f>IF(AND(AY$6&lt;=$H59,AY$6+6&gt;=$G59),1,"")</x:f>
      </x:c>
      <x:c r="AZ59" s="167" t="str">
        <x:f>IF(AND(AZ$6&lt;=$H59,AZ$6+6&gt;=$G59),1,"")</x:f>
      </x:c>
      <x:c r="BA59" s="167" t="str">
        <x:f>IF(AND(BA$6&lt;=$H59,BA$6+6&gt;=$G59),1,"")</x:f>
      </x:c>
      <x:c r="BB59" s="167" t="str">
        <x:f>IF(AND(BB$6&lt;=$H59,BB$6+6&gt;=$G59),1,"")</x:f>
      </x:c>
      <x:c r="BC59" s="167" t="str">
        <x:f>IF(AND(BC$6&lt;=$H59,BC$6+6&gt;=$G59),1,"")</x:f>
      </x:c>
      <x:c r="BD59" s="167" t="str">
        <x:f>IF(AND(BD$6&lt;=$H59,BD$6+6&gt;=$G59),1,"")</x:f>
      </x:c>
      <x:c r="BE59" s="167" t="str">
        <x:f>IF(AND(BE$6&lt;=$H59,BE$6+6&gt;=$G59),1,"")</x:f>
      </x:c>
      <x:c r="BF59" s="167" t="str">
        <x:f>IF(AND(BF$6&lt;=$H59,BF$6+6&gt;=$G59),1,"")</x:f>
      </x:c>
      <x:c r="BG59" s="167" t="str">
        <x:f>IF(AND(BG$6&lt;=$H59,BG$6+6&gt;=$G59),1,"")</x:f>
      </x:c>
      <x:c r="BH59" s="167" t="str">
        <x:f>IF(AND(BH$6&lt;=$H59,BH$6+6&gt;=$G59),1,"")</x:f>
      </x:c>
      <x:c r="BI59" s="167" t="str">
        <x:f>IF(AND(BI$6&lt;=$H59,BI$6+6&gt;=$G59),1,"")</x:f>
      </x:c>
      <x:c r="BJ59" s="167" t="str">
        <x:f>IF(AND(BJ$6&lt;=$H59,BJ$6+6&gt;=$G59),1,"")</x:f>
      </x:c>
      <x:c r="BK59" s="167" t="str">
        <x:f>IF(AND(BK$6&lt;=$H59,BK$6+6&gt;=$G59),1,"")</x:f>
      </x:c>
      <x:c r="BL59" s="167" t="str">
        <x:f>IF(AND(BL$6&lt;=$H59,BL$6+6&gt;=$G59),1,"")</x:f>
      </x:c>
      <x:c r="BM59" s="167" t="str">
        <x:f>IF(AND(BM$6&lt;=$H59,BM$6+6&gt;=$G59),1,"")</x:f>
      </x:c>
      <x:c r="BN59" s="167" t="str">
        <x:f>IF(AND(BN$6&lt;=$H59,BN$6+6&gt;=$G59),1,"")</x:f>
      </x:c>
      <x:c r="BO59" s="168" t="str">
        <x:f>IF(AND(BO$6&lt;=$H59,BO$6+6&gt;=$G59),1,"")</x:f>
      </x:c>
    </x:row>
    <x:row r="60" ht="24" customHeight="1">
      <x:c r="A60" s="68" t="str">
        <x:f>'Task Register'!A58</x:f>
        <x:v>T-401</x:v>
      </x:c>
      <x:c r="B60" s="68" t="str">
        <x:f>'Task Register'!B58</x:f>
        <x:v>M4</x:v>
      </x:c>
      <x:c r="C60" s="68" t="str">
        <x:f>'Task Register'!C58</x:f>
        <x:v>Architecture/Research Ops</x:v>
      </x:c>
      <x:c r="D60" s="68" t="str">
        <x:f>'Task Register'!D58</x:f>
        <x:v>Define the experimental-state contract</x:v>
      </x:c>
      <x:c r="E60" s="68" t="str">
        <x:f>'Task Register'!E58</x:f>
        <x:v>T-003, T-103, T-105</x:v>
      </x:c>
      <x:c r="F60" s="68" t="str">
        <x:f>'Task Register'!F58</x:f>
        <x:v>Blocked</x:v>
      </x:c>
      <x:c r="G60" s="94" t="n">
        <x:f>'Task Register'!I58</x:f>
        <x:v>46272</x:v>
      </x:c>
      <x:c r="H60" s="94" t="n">
        <x:f>'Task Register'!J58</x:f>
        <x:v>46272</x:v>
      </x:c>
      <x:c r="I60" s="166" t="str">
        <x:f>IF(AND(I$6&lt;=$H60,I$6+6&gt;=$G60),1,"")</x:f>
      </x:c>
      <x:c r="J60" s="167" t="str">
        <x:f>IF(AND(J$6&lt;=$H60,J$6+6&gt;=$G60),1,"")</x:f>
      </x:c>
      <x:c r="K60" s="167" t="str">
        <x:f>IF(AND(K$6&lt;=$H60,K$6+6&gt;=$G60),1,"")</x:f>
      </x:c>
      <x:c r="L60" s="167" t="str">
        <x:f>IF(AND(L$6&lt;=$H60,L$6+6&gt;=$G60),1,"")</x:f>
      </x:c>
      <x:c r="M60" s="167" t="str">
        <x:f>IF(AND(M$6&lt;=$H60,M$6+6&gt;=$G60),1,"")</x:f>
      </x:c>
      <x:c r="N60" s="167" t="n">
        <x:f>IF(AND(N$6&lt;=$H60,N$6+6&gt;=$G60),1,"")</x:f>
        <x:v>1</x:v>
      </x:c>
      <x:c r="O60" s="167" t="str">
        <x:f>IF(AND(O$6&lt;=$H60,O$6+6&gt;=$G60),1,"")</x:f>
      </x:c>
      <x:c r="P60" s="167" t="str">
        <x:f>IF(AND(P$6&lt;=$H60,P$6+6&gt;=$G60),1,"")</x:f>
      </x:c>
      <x:c r="Q60" s="167" t="str">
        <x:f>IF(AND(Q$6&lt;=$H60,Q$6+6&gt;=$G60),1,"")</x:f>
      </x:c>
      <x:c r="R60" s="167" t="str">
        <x:f>IF(AND(R$6&lt;=$H60,R$6+6&gt;=$G60),1,"")</x:f>
      </x:c>
      <x:c r="S60" s="167" t="str">
        <x:f>IF(AND(S$6&lt;=$H60,S$6+6&gt;=$G60),1,"")</x:f>
      </x:c>
      <x:c r="T60" s="167" t="str">
        <x:f>IF(AND(T$6&lt;=$H60,T$6+6&gt;=$G60),1,"")</x:f>
      </x:c>
      <x:c r="U60" s="167" t="str">
        <x:f>IF(AND(U$6&lt;=$H60,U$6+6&gt;=$G60),1,"")</x:f>
      </x:c>
      <x:c r="V60" s="167" t="str">
        <x:f>IF(AND(V$6&lt;=$H60,V$6+6&gt;=$G60),1,"")</x:f>
      </x:c>
      <x:c r="W60" s="167" t="str">
        <x:f>IF(AND(W$6&lt;=$H60,W$6+6&gt;=$G60),1,"")</x:f>
      </x:c>
      <x:c r="X60" s="167" t="str">
        <x:f>IF(AND(X$6&lt;=$H60,X$6+6&gt;=$G60),1,"")</x:f>
      </x:c>
      <x:c r="Y60" s="167" t="str">
        <x:f>IF(AND(Y$6&lt;=$H60,Y$6+6&gt;=$G60),1,"")</x:f>
      </x:c>
      <x:c r="Z60" s="167" t="str">
        <x:f>IF(AND(Z$6&lt;=$H60,Z$6+6&gt;=$G60),1,"")</x:f>
      </x:c>
      <x:c r="AA60" s="167" t="str">
        <x:f>IF(AND(AA$6&lt;=$H60,AA$6+6&gt;=$G60),1,"")</x:f>
      </x:c>
      <x:c r="AB60" s="167" t="str">
        <x:f>IF(AND(AB$6&lt;=$H60,AB$6+6&gt;=$G60),1,"")</x:f>
      </x:c>
      <x:c r="AC60" s="167" t="str">
        <x:f>IF(AND(AC$6&lt;=$H60,AC$6+6&gt;=$G60),1,"")</x:f>
      </x:c>
      <x:c r="AD60" s="167" t="str">
        <x:f>IF(AND(AD$6&lt;=$H60,AD$6+6&gt;=$G60),1,"")</x:f>
      </x:c>
      <x:c r="AE60" s="167" t="str">
        <x:f>IF(AND(AE$6&lt;=$H60,AE$6+6&gt;=$G60),1,"")</x:f>
      </x:c>
      <x:c r="AF60" s="167" t="str">
        <x:f>IF(AND(AF$6&lt;=$H60,AF$6+6&gt;=$G60),1,"")</x:f>
      </x:c>
      <x:c r="AG60" s="167" t="str">
        <x:f>IF(AND(AG$6&lt;=$H60,AG$6+6&gt;=$G60),1,"")</x:f>
      </x:c>
      <x:c r="AH60" s="167" t="str">
        <x:f>IF(AND(AH$6&lt;=$H60,AH$6+6&gt;=$G60),1,"")</x:f>
      </x:c>
      <x:c r="AI60" s="167" t="str">
        <x:f>IF(AND(AI$6&lt;=$H60,AI$6+6&gt;=$G60),1,"")</x:f>
      </x:c>
      <x:c r="AJ60" s="167" t="str">
        <x:f>IF(AND(AJ$6&lt;=$H60,AJ$6+6&gt;=$G60),1,"")</x:f>
      </x:c>
      <x:c r="AK60" s="167" t="str">
        <x:f>IF(AND(AK$6&lt;=$H60,AK$6+6&gt;=$G60),1,"")</x:f>
      </x:c>
      <x:c r="AL60" s="167" t="str">
        <x:f>IF(AND(AL$6&lt;=$H60,AL$6+6&gt;=$G60),1,"")</x:f>
      </x:c>
      <x:c r="AM60" s="167" t="str">
        <x:f>IF(AND(AM$6&lt;=$H60,AM$6+6&gt;=$G60),1,"")</x:f>
      </x:c>
      <x:c r="AN60" s="167" t="str">
        <x:f>IF(AND(AN$6&lt;=$H60,AN$6+6&gt;=$G60),1,"")</x:f>
      </x:c>
      <x:c r="AO60" s="167" t="str">
        <x:f>IF(AND(AO$6&lt;=$H60,AO$6+6&gt;=$G60),1,"")</x:f>
      </x:c>
      <x:c r="AP60" s="167" t="str">
        <x:f>IF(AND(AP$6&lt;=$H60,AP$6+6&gt;=$G60),1,"")</x:f>
      </x:c>
      <x:c r="AQ60" s="167" t="str">
        <x:f>IF(AND(AQ$6&lt;=$H60,AQ$6+6&gt;=$G60),1,"")</x:f>
      </x:c>
      <x:c r="AR60" s="167" t="str">
        <x:f>IF(AND(AR$6&lt;=$H60,AR$6+6&gt;=$G60),1,"")</x:f>
      </x:c>
      <x:c r="AS60" s="167" t="str">
        <x:f>IF(AND(AS$6&lt;=$H60,AS$6+6&gt;=$G60),1,"")</x:f>
      </x:c>
      <x:c r="AT60" s="167" t="str">
        <x:f>IF(AND(AT$6&lt;=$H60,AT$6+6&gt;=$G60),1,"")</x:f>
      </x:c>
      <x:c r="AU60" s="167" t="str">
        <x:f>IF(AND(AU$6&lt;=$H60,AU$6+6&gt;=$G60),1,"")</x:f>
      </x:c>
      <x:c r="AV60" s="167" t="str">
        <x:f>IF(AND(AV$6&lt;=$H60,AV$6+6&gt;=$G60),1,"")</x:f>
      </x:c>
      <x:c r="AW60" s="167" t="str">
        <x:f>IF(AND(AW$6&lt;=$H60,AW$6+6&gt;=$G60),1,"")</x:f>
      </x:c>
      <x:c r="AX60" s="167" t="str">
        <x:f>IF(AND(AX$6&lt;=$H60,AX$6+6&gt;=$G60),1,"")</x:f>
      </x:c>
      <x:c r="AY60" s="167" t="str">
        <x:f>IF(AND(AY$6&lt;=$H60,AY$6+6&gt;=$G60),1,"")</x:f>
      </x:c>
      <x:c r="AZ60" s="167" t="str">
        <x:f>IF(AND(AZ$6&lt;=$H60,AZ$6+6&gt;=$G60),1,"")</x:f>
      </x:c>
      <x:c r="BA60" s="167" t="str">
        <x:f>IF(AND(BA$6&lt;=$H60,BA$6+6&gt;=$G60),1,"")</x:f>
      </x:c>
      <x:c r="BB60" s="167" t="str">
        <x:f>IF(AND(BB$6&lt;=$H60,BB$6+6&gt;=$G60),1,"")</x:f>
      </x:c>
      <x:c r="BC60" s="167" t="str">
        <x:f>IF(AND(BC$6&lt;=$H60,BC$6+6&gt;=$G60),1,"")</x:f>
      </x:c>
      <x:c r="BD60" s="167" t="str">
        <x:f>IF(AND(BD$6&lt;=$H60,BD$6+6&gt;=$G60),1,"")</x:f>
      </x:c>
      <x:c r="BE60" s="167" t="str">
        <x:f>IF(AND(BE$6&lt;=$H60,BE$6+6&gt;=$G60),1,"")</x:f>
      </x:c>
      <x:c r="BF60" s="167" t="str">
        <x:f>IF(AND(BF$6&lt;=$H60,BF$6+6&gt;=$G60),1,"")</x:f>
      </x:c>
      <x:c r="BG60" s="167" t="str">
        <x:f>IF(AND(BG$6&lt;=$H60,BG$6+6&gt;=$G60),1,"")</x:f>
      </x:c>
      <x:c r="BH60" s="167" t="str">
        <x:f>IF(AND(BH$6&lt;=$H60,BH$6+6&gt;=$G60),1,"")</x:f>
      </x:c>
      <x:c r="BI60" s="167" t="str">
        <x:f>IF(AND(BI$6&lt;=$H60,BI$6+6&gt;=$G60),1,"")</x:f>
      </x:c>
      <x:c r="BJ60" s="167" t="str">
        <x:f>IF(AND(BJ$6&lt;=$H60,BJ$6+6&gt;=$G60),1,"")</x:f>
      </x:c>
      <x:c r="BK60" s="167" t="str">
        <x:f>IF(AND(BK$6&lt;=$H60,BK$6+6&gt;=$G60),1,"")</x:f>
      </x:c>
      <x:c r="BL60" s="167" t="str">
        <x:f>IF(AND(BL$6&lt;=$H60,BL$6+6&gt;=$G60),1,"")</x:f>
      </x:c>
      <x:c r="BM60" s="167" t="str">
        <x:f>IF(AND(BM$6&lt;=$H60,BM$6+6&gt;=$G60),1,"")</x:f>
      </x:c>
      <x:c r="BN60" s="167" t="str">
        <x:f>IF(AND(BN$6&lt;=$H60,BN$6+6&gt;=$G60),1,"")</x:f>
      </x:c>
      <x:c r="BO60" s="168" t="str">
        <x:f>IF(AND(BO$6&lt;=$H60,BO$6+6&gt;=$G60),1,"")</x:f>
      </x:c>
    </x:row>
    <x:row r="61" ht="24" customHeight="1">
      <x:c r="A61" s="68" t="str">
        <x:f>'Task Register'!A59</x:f>
        <x:v>T-402</x:v>
      </x:c>
      <x:c r="B61" s="68" t="str">
        <x:f>'Task Register'!B59</x:f>
        <x:v>M4</x:v>
      </x:c>
      <x:c r="C61" s="68" t="str">
        <x:f>'Task Register'!C59</x:f>
        <x:v>Research Ops/Telemetry</x:v>
      </x:c>
      <x:c r="D61" s="68" t="str">
        <x:f>'Task Register'!D59</x:f>
        <x:v>Define clocks, revisions, and provenance</x:v>
      </x:c>
      <x:c r="E61" s="68" t="str">
        <x:f>'Task Register'!E59</x:f>
        <x:v>T-002, T-401</x:v>
      </x:c>
      <x:c r="F61" s="68" t="str">
        <x:f>'Task Register'!F59</x:f>
        <x:v>Blocked</x:v>
      </x:c>
      <x:c r="G61" s="94" t="n">
        <x:f>'Task Register'!I59</x:f>
        <x:v>46273</x:v>
      </x:c>
      <x:c r="H61" s="94" t="n">
        <x:f>'Task Register'!J59</x:f>
        <x:v>46273</x:v>
      </x:c>
      <x:c r="I61" s="166" t="str">
        <x:f>IF(AND(I$6&lt;=$H61,I$6+6&gt;=$G61),1,"")</x:f>
      </x:c>
      <x:c r="J61" s="167" t="str">
        <x:f>IF(AND(J$6&lt;=$H61,J$6+6&gt;=$G61),1,"")</x:f>
      </x:c>
      <x:c r="K61" s="167" t="str">
        <x:f>IF(AND(K$6&lt;=$H61,K$6+6&gt;=$G61),1,"")</x:f>
      </x:c>
      <x:c r="L61" s="167" t="str">
        <x:f>IF(AND(L$6&lt;=$H61,L$6+6&gt;=$G61),1,"")</x:f>
      </x:c>
      <x:c r="M61" s="167" t="str">
        <x:f>IF(AND(M$6&lt;=$H61,M$6+6&gt;=$G61),1,"")</x:f>
      </x:c>
      <x:c r="N61" s="167" t="n">
        <x:f>IF(AND(N$6&lt;=$H61,N$6+6&gt;=$G61),1,"")</x:f>
        <x:v>1</x:v>
      </x:c>
      <x:c r="O61" s="167" t="str">
        <x:f>IF(AND(O$6&lt;=$H61,O$6+6&gt;=$G61),1,"")</x:f>
      </x:c>
      <x:c r="P61" s="167" t="str">
        <x:f>IF(AND(P$6&lt;=$H61,P$6+6&gt;=$G61),1,"")</x:f>
      </x:c>
      <x:c r="Q61" s="167" t="str">
        <x:f>IF(AND(Q$6&lt;=$H61,Q$6+6&gt;=$G61),1,"")</x:f>
      </x:c>
      <x:c r="R61" s="167" t="str">
        <x:f>IF(AND(R$6&lt;=$H61,R$6+6&gt;=$G61),1,"")</x:f>
      </x:c>
      <x:c r="S61" s="167" t="str">
        <x:f>IF(AND(S$6&lt;=$H61,S$6+6&gt;=$G61),1,"")</x:f>
      </x:c>
      <x:c r="T61" s="167" t="str">
        <x:f>IF(AND(T$6&lt;=$H61,T$6+6&gt;=$G61),1,"")</x:f>
      </x:c>
      <x:c r="U61" s="167" t="str">
        <x:f>IF(AND(U$6&lt;=$H61,U$6+6&gt;=$G61),1,"")</x:f>
      </x:c>
      <x:c r="V61" s="167" t="str">
        <x:f>IF(AND(V$6&lt;=$H61,V$6+6&gt;=$G61),1,"")</x:f>
      </x:c>
      <x:c r="W61" s="167" t="str">
        <x:f>IF(AND(W$6&lt;=$H61,W$6+6&gt;=$G61),1,"")</x:f>
      </x:c>
      <x:c r="X61" s="167" t="str">
        <x:f>IF(AND(X$6&lt;=$H61,X$6+6&gt;=$G61),1,"")</x:f>
      </x:c>
      <x:c r="Y61" s="167" t="str">
        <x:f>IF(AND(Y$6&lt;=$H61,Y$6+6&gt;=$G61),1,"")</x:f>
      </x:c>
      <x:c r="Z61" s="167" t="str">
        <x:f>IF(AND(Z$6&lt;=$H61,Z$6+6&gt;=$G61),1,"")</x:f>
      </x:c>
      <x:c r="AA61" s="167" t="str">
        <x:f>IF(AND(AA$6&lt;=$H61,AA$6+6&gt;=$G61),1,"")</x:f>
      </x:c>
      <x:c r="AB61" s="167" t="str">
        <x:f>IF(AND(AB$6&lt;=$H61,AB$6+6&gt;=$G61),1,"")</x:f>
      </x:c>
      <x:c r="AC61" s="167" t="str">
        <x:f>IF(AND(AC$6&lt;=$H61,AC$6+6&gt;=$G61),1,"")</x:f>
      </x:c>
      <x:c r="AD61" s="167" t="str">
        <x:f>IF(AND(AD$6&lt;=$H61,AD$6+6&gt;=$G61),1,"")</x:f>
      </x:c>
      <x:c r="AE61" s="167" t="str">
        <x:f>IF(AND(AE$6&lt;=$H61,AE$6+6&gt;=$G61),1,"")</x:f>
      </x:c>
      <x:c r="AF61" s="167" t="str">
        <x:f>IF(AND(AF$6&lt;=$H61,AF$6+6&gt;=$G61),1,"")</x:f>
      </x:c>
      <x:c r="AG61" s="167" t="str">
        <x:f>IF(AND(AG$6&lt;=$H61,AG$6+6&gt;=$G61),1,"")</x:f>
      </x:c>
      <x:c r="AH61" s="167" t="str">
        <x:f>IF(AND(AH$6&lt;=$H61,AH$6+6&gt;=$G61),1,"")</x:f>
      </x:c>
      <x:c r="AI61" s="167" t="str">
        <x:f>IF(AND(AI$6&lt;=$H61,AI$6+6&gt;=$G61),1,"")</x:f>
      </x:c>
      <x:c r="AJ61" s="167" t="str">
        <x:f>IF(AND(AJ$6&lt;=$H61,AJ$6+6&gt;=$G61),1,"")</x:f>
      </x:c>
      <x:c r="AK61" s="167" t="str">
        <x:f>IF(AND(AK$6&lt;=$H61,AK$6+6&gt;=$G61),1,"")</x:f>
      </x:c>
      <x:c r="AL61" s="167" t="str">
        <x:f>IF(AND(AL$6&lt;=$H61,AL$6+6&gt;=$G61),1,"")</x:f>
      </x:c>
      <x:c r="AM61" s="167" t="str">
        <x:f>IF(AND(AM$6&lt;=$H61,AM$6+6&gt;=$G61),1,"")</x:f>
      </x:c>
      <x:c r="AN61" s="167" t="str">
        <x:f>IF(AND(AN$6&lt;=$H61,AN$6+6&gt;=$G61),1,"")</x:f>
      </x:c>
      <x:c r="AO61" s="167" t="str">
        <x:f>IF(AND(AO$6&lt;=$H61,AO$6+6&gt;=$G61),1,"")</x:f>
      </x:c>
      <x:c r="AP61" s="167" t="str">
        <x:f>IF(AND(AP$6&lt;=$H61,AP$6+6&gt;=$G61),1,"")</x:f>
      </x:c>
      <x:c r="AQ61" s="167" t="str">
        <x:f>IF(AND(AQ$6&lt;=$H61,AQ$6+6&gt;=$G61),1,"")</x:f>
      </x:c>
      <x:c r="AR61" s="167" t="str">
        <x:f>IF(AND(AR$6&lt;=$H61,AR$6+6&gt;=$G61),1,"")</x:f>
      </x:c>
      <x:c r="AS61" s="167" t="str">
        <x:f>IF(AND(AS$6&lt;=$H61,AS$6+6&gt;=$G61),1,"")</x:f>
      </x:c>
      <x:c r="AT61" s="167" t="str">
        <x:f>IF(AND(AT$6&lt;=$H61,AT$6+6&gt;=$G61),1,"")</x:f>
      </x:c>
      <x:c r="AU61" s="167" t="str">
        <x:f>IF(AND(AU$6&lt;=$H61,AU$6+6&gt;=$G61),1,"")</x:f>
      </x:c>
      <x:c r="AV61" s="167" t="str">
        <x:f>IF(AND(AV$6&lt;=$H61,AV$6+6&gt;=$G61),1,"")</x:f>
      </x:c>
      <x:c r="AW61" s="167" t="str">
        <x:f>IF(AND(AW$6&lt;=$H61,AW$6+6&gt;=$G61),1,"")</x:f>
      </x:c>
      <x:c r="AX61" s="167" t="str">
        <x:f>IF(AND(AX$6&lt;=$H61,AX$6+6&gt;=$G61),1,"")</x:f>
      </x:c>
      <x:c r="AY61" s="167" t="str">
        <x:f>IF(AND(AY$6&lt;=$H61,AY$6+6&gt;=$G61),1,"")</x:f>
      </x:c>
      <x:c r="AZ61" s="167" t="str">
        <x:f>IF(AND(AZ$6&lt;=$H61,AZ$6+6&gt;=$G61),1,"")</x:f>
      </x:c>
      <x:c r="BA61" s="167" t="str">
        <x:f>IF(AND(BA$6&lt;=$H61,BA$6+6&gt;=$G61),1,"")</x:f>
      </x:c>
      <x:c r="BB61" s="167" t="str">
        <x:f>IF(AND(BB$6&lt;=$H61,BB$6+6&gt;=$G61),1,"")</x:f>
      </x:c>
      <x:c r="BC61" s="167" t="str">
        <x:f>IF(AND(BC$6&lt;=$H61,BC$6+6&gt;=$G61),1,"")</x:f>
      </x:c>
      <x:c r="BD61" s="167" t="str">
        <x:f>IF(AND(BD$6&lt;=$H61,BD$6+6&gt;=$G61),1,"")</x:f>
      </x:c>
      <x:c r="BE61" s="167" t="str">
        <x:f>IF(AND(BE$6&lt;=$H61,BE$6+6&gt;=$G61),1,"")</x:f>
      </x:c>
      <x:c r="BF61" s="167" t="str">
        <x:f>IF(AND(BF$6&lt;=$H61,BF$6+6&gt;=$G61),1,"")</x:f>
      </x:c>
      <x:c r="BG61" s="167" t="str">
        <x:f>IF(AND(BG$6&lt;=$H61,BG$6+6&gt;=$G61),1,"")</x:f>
      </x:c>
      <x:c r="BH61" s="167" t="str">
        <x:f>IF(AND(BH$6&lt;=$H61,BH$6+6&gt;=$G61),1,"")</x:f>
      </x:c>
      <x:c r="BI61" s="167" t="str">
        <x:f>IF(AND(BI$6&lt;=$H61,BI$6+6&gt;=$G61),1,"")</x:f>
      </x:c>
      <x:c r="BJ61" s="167" t="str">
        <x:f>IF(AND(BJ$6&lt;=$H61,BJ$6+6&gt;=$G61),1,"")</x:f>
      </x:c>
      <x:c r="BK61" s="167" t="str">
        <x:f>IF(AND(BK$6&lt;=$H61,BK$6+6&gt;=$G61),1,"")</x:f>
      </x:c>
      <x:c r="BL61" s="167" t="str">
        <x:f>IF(AND(BL$6&lt;=$H61,BL$6+6&gt;=$G61),1,"")</x:f>
      </x:c>
      <x:c r="BM61" s="167" t="str">
        <x:f>IF(AND(BM$6&lt;=$H61,BM$6+6&gt;=$G61),1,"")</x:f>
      </x:c>
      <x:c r="BN61" s="167" t="str">
        <x:f>IF(AND(BN$6&lt;=$H61,BN$6+6&gt;=$G61),1,"")</x:f>
      </x:c>
      <x:c r="BO61" s="168" t="str">
        <x:f>IF(AND(BO$6&lt;=$H61,BO$6+6&gt;=$G61),1,"")</x:f>
      </x:c>
    </x:row>
    <x:row r="62" ht="24" customHeight="1">
      <x:c r="A62" s="68" t="str">
        <x:f>'Task Register'!A60</x:f>
        <x:v>T-403</x:v>
      </x:c>
      <x:c r="B62" s="68" t="str">
        <x:f>'Task Register'!B60</x:f>
        <x:v>M4</x:v>
      </x:c>
      <x:c r="C62" s="68" t="str">
        <x:f>'Task Register'!C60</x:f>
        <x:v>Runtime/Web</x:v>
      </x:c>
      <x:c r="D62" s="68" t="str">
        <x:f>'Task Register'!D60</x:f>
        <x:v>Implement the native runtime adapter</x:v>
      </x:c>
      <x:c r="E62" s="68" t="str">
        <x:f>'Task Register'!E60</x:f>
        <x:v>T-401, T-402</x:v>
      </x:c>
      <x:c r="F62" s="68" t="str">
        <x:f>'Task Register'!F60</x:f>
        <x:v>Blocked</x:v>
      </x:c>
      <x:c r="G62" s="94" t="n">
        <x:f>'Task Register'!I60</x:f>
        <x:v>46274</x:v>
      </x:c>
      <x:c r="H62" s="94" t="n">
        <x:f>'Task Register'!J60</x:f>
        <x:v>46274</x:v>
      </x:c>
      <x:c r="I62" s="166" t="str">
        <x:f>IF(AND(I$6&lt;=$H62,I$6+6&gt;=$G62),1,"")</x:f>
      </x:c>
      <x:c r="J62" s="167" t="str">
        <x:f>IF(AND(J$6&lt;=$H62,J$6+6&gt;=$G62),1,"")</x:f>
      </x:c>
      <x:c r="K62" s="167" t="str">
        <x:f>IF(AND(K$6&lt;=$H62,K$6+6&gt;=$G62),1,"")</x:f>
      </x:c>
      <x:c r="L62" s="167" t="str">
        <x:f>IF(AND(L$6&lt;=$H62,L$6+6&gt;=$G62),1,"")</x:f>
      </x:c>
      <x:c r="M62" s="167" t="str">
        <x:f>IF(AND(M$6&lt;=$H62,M$6+6&gt;=$G62),1,"")</x:f>
      </x:c>
      <x:c r="N62" s="167" t="n">
        <x:f>IF(AND(N$6&lt;=$H62,N$6+6&gt;=$G62),1,"")</x:f>
        <x:v>1</x:v>
      </x:c>
      <x:c r="O62" s="167" t="str">
        <x:f>IF(AND(O$6&lt;=$H62,O$6+6&gt;=$G62),1,"")</x:f>
      </x:c>
      <x:c r="P62" s="167" t="str">
        <x:f>IF(AND(P$6&lt;=$H62,P$6+6&gt;=$G62),1,"")</x:f>
      </x:c>
      <x:c r="Q62" s="167" t="str">
        <x:f>IF(AND(Q$6&lt;=$H62,Q$6+6&gt;=$G62),1,"")</x:f>
      </x:c>
      <x:c r="R62" s="167" t="str">
        <x:f>IF(AND(R$6&lt;=$H62,R$6+6&gt;=$G62),1,"")</x:f>
      </x:c>
      <x:c r="S62" s="167" t="str">
        <x:f>IF(AND(S$6&lt;=$H62,S$6+6&gt;=$G62),1,"")</x:f>
      </x:c>
      <x:c r="T62" s="167" t="str">
        <x:f>IF(AND(T$6&lt;=$H62,T$6+6&gt;=$G62),1,"")</x:f>
      </x:c>
      <x:c r="U62" s="167" t="str">
        <x:f>IF(AND(U$6&lt;=$H62,U$6+6&gt;=$G62),1,"")</x:f>
      </x:c>
      <x:c r="V62" s="167" t="str">
        <x:f>IF(AND(V$6&lt;=$H62,V$6+6&gt;=$G62),1,"")</x:f>
      </x:c>
      <x:c r="W62" s="167" t="str">
        <x:f>IF(AND(W$6&lt;=$H62,W$6+6&gt;=$G62),1,"")</x:f>
      </x:c>
      <x:c r="X62" s="167" t="str">
        <x:f>IF(AND(X$6&lt;=$H62,X$6+6&gt;=$G62),1,"")</x:f>
      </x:c>
      <x:c r="Y62" s="167" t="str">
        <x:f>IF(AND(Y$6&lt;=$H62,Y$6+6&gt;=$G62),1,"")</x:f>
      </x:c>
      <x:c r="Z62" s="167" t="str">
        <x:f>IF(AND(Z$6&lt;=$H62,Z$6+6&gt;=$G62),1,"")</x:f>
      </x:c>
      <x:c r="AA62" s="167" t="str">
        <x:f>IF(AND(AA$6&lt;=$H62,AA$6+6&gt;=$G62),1,"")</x:f>
      </x:c>
      <x:c r="AB62" s="167" t="str">
        <x:f>IF(AND(AB$6&lt;=$H62,AB$6+6&gt;=$G62),1,"")</x:f>
      </x:c>
      <x:c r="AC62" s="167" t="str">
        <x:f>IF(AND(AC$6&lt;=$H62,AC$6+6&gt;=$G62),1,"")</x:f>
      </x:c>
      <x:c r="AD62" s="167" t="str">
        <x:f>IF(AND(AD$6&lt;=$H62,AD$6+6&gt;=$G62),1,"")</x:f>
      </x:c>
      <x:c r="AE62" s="167" t="str">
        <x:f>IF(AND(AE$6&lt;=$H62,AE$6+6&gt;=$G62),1,"")</x:f>
      </x:c>
      <x:c r="AF62" s="167" t="str">
        <x:f>IF(AND(AF$6&lt;=$H62,AF$6+6&gt;=$G62),1,"")</x:f>
      </x:c>
      <x:c r="AG62" s="167" t="str">
        <x:f>IF(AND(AG$6&lt;=$H62,AG$6+6&gt;=$G62),1,"")</x:f>
      </x:c>
      <x:c r="AH62" s="167" t="str">
        <x:f>IF(AND(AH$6&lt;=$H62,AH$6+6&gt;=$G62),1,"")</x:f>
      </x:c>
      <x:c r="AI62" s="167" t="str">
        <x:f>IF(AND(AI$6&lt;=$H62,AI$6+6&gt;=$G62),1,"")</x:f>
      </x:c>
      <x:c r="AJ62" s="167" t="str">
        <x:f>IF(AND(AJ$6&lt;=$H62,AJ$6+6&gt;=$G62),1,"")</x:f>
      </x:c>
      <x:c r="AK62" s="167" t="str">
        <x:f>IF(AND(AK$6&lt;=$H62,AK$6+6&gt;=$G62),1,"")</x:f>
      </x:c>
      <x:c r="AL62" s="167" t="str">
        <x:f>IF(AND(AL$6&lt;=$H62,AL$6+6&gt;=$G62),1,"")</x:f>
      </x:c>
      <x:c r="AM62" s="167" t="str">
        <x:f>IF(AND(AM$6&lt;=$H62,AM$6+6&gt;=$G62),1,"")</x:f>
      </x:c>
      <x:c r="AN62" s="167" t="str">
        <x:f>IF(AND(AN$6&lt;=$H62,AN$6+6&gt;=$G62),1,"")</x:f>
      </x:c>
      <x:c r="AO62" s="167" t="str">
        <x:f>IF(AND(AO$6&lt;=$H62,AO$6+6&gt;=$G62),1,"")</x:f>
      </x:c>
      <x:c r="AP62" s="167" t="str">
        <x:f>IF(AND(AP$6&lt;=$H62,AP$6+6&gt;=$G62),1,"")</x:f>
      </x:c>
      <x:c r="AQ62" s="167" t="str">
        <x:f>IF(AND(AQ$6&lt;=$H62,AQ$6+6&gt;=$G62),1,"")</x:f>
      </x:c>
      <x:c r="AR62" s="167" t="str">
        <x:f>IF(AND(AR$6&lt;=$H62,AR$6+6&gt;=$G62),1,"")</x:f>
      </x:c>
      <x:c r="AS62" s="167" t="str">
        <x:f>IF(AND(AS$6&lt;=$H62,AS$6+6&gt;=$G62),1,"")</x:f>
      </x:c>
      <x:c r="AT62" s="167" t="str">
        <x:f>IF(AND(AT$6&lt;=$H62,AT$6+6&gt;=$G62),1,"")</x:f>
      </x:c>
      <x:c r="AU62" s="167" t="str">
        <x:f>IF(AND(AU$6&lt;=$H62,AU$6+6&gt;=$G62),1,"")</x:f>
      </x:c>
      <x:c r="AV62" s="167" t="str">
        <x:f>IF(AND(AV$6&lt;=$H62,AV$6+6&gt;=$G62),1,"")</x:f>
      </x:c>
      <x:c r="AW62" s="167" t="str">
        <x:f>IF(AND(AW$6&lt;=$H62,AW$6+6&gt;=$G62),1,"")</x:f>
      </x:c>
      <x:c r="AX62" s="167" t="str">
        <x:f>IF(AND(AX$6&lt;=$H62,AX$6+6&gt;=$G62),1,"")</x:f>
      </x:c>
      <x:c r="AY62" s="167" t="str">
        <x:f>IF(AND(AY$6&lt;=$H62,AY$6+6&gt;=$G62),1,"")</x:f>
      </x:c>
      <x:c r="AZ62" s="167" t="str">
        <x:f>IF(AND(AZ$6&lt;=$H62,AZ$6+6&gt;=$G62),1,"")</x:f>
      </x:c>
      <x:c r="BA62" s="167" t="str">
        <x:f>IF(AND(BA$6&lt;=$H62,BA$6+6&gt;=$G62),1,"")</x:f>
      </x:c>
      <x:c r="BB62" s="167" t="str">
        <x:f>IF(AND(BB$6&lt;=$H62,BB$6+6&gt;=$G62),1,"")</x:f>
      </x:c>
      <x:c r="BC62" s="167" t="str">
        <x:f>IF(AND(BC$6&lt;=$H62,BC$6+6&gt;=$G62),1,"")</x:f>
      </x:c>
      <x:c r="BD62" s="167" t="str">
        <x:f>IF(AND(BD$6&lt;=$H62,BD$6+6&gt;=$G62),1,"")</x:f>
      </x:c>
      <x:c r="BE62" s="167" t="str">
        <x:f>IF(AND(BE$6&lt;=$H62,BE$6+6&gt;=$G62),1,"")</x:f>
      </x:c>
      <x:c r="BF62" s="167" t="str">
        <x:f>IF(AND(BF$6&lt;=$H62,BF$6+6&gt;=$G62),1,"")</x:f>
      </x:c>
      <x:c r="BG62" s="167" t="str">
        <x:f>IF(AND(BG$6&lt;=$H62,BG$6+6&gt;=$G62),1,"")</x:f>
      </x:c>
      <x:c r="BH62" s="167" t="str">
        <x:f>IF(AND(BH$6&lt;=$H62,BH$6+6&gt;=$G62),1,"")</x:f>
      </x:c>
      <x:c r="BI62" s="167" t="str">
        <x:f>IF(AND(BI$6&lt;=$H62,BI$6+6&gt;=$G62),1,"")</x:f>
      </x:c>
      <x:c r="BJ62" s="167" t="str">
        <x:f>IF(AND(BJ$6&lt;=$H62,BJ$6+6&gt;=$G62),1,"")</x:f>
      </x:c>
      <x:c r="BK62" s="167" t="str">
        <x:f>IF(AND(BK$6&lt;=$H62,BK$6+6&gt;=$G62),1,"")</x:f>
      </x:c>
      <x:c r="BL62" s="167" t="str">
        <x:f>IF(AND(BL$6&lt;=$H62,BL$6+6&gt;=$G62),1,"")</x:f>
      </x:c>
      <x:c r="BM62" s="167" t="str">
        <x:f>IF(AND(BM$6&lt;=$H62,BM$6+6&gt;=$G62),1,"")</x:f>
      </x:c>
      <x:c r="BN62" s="167" t="str">
        <x:f>IF(AND(BN$6&lt;=$H62,BN$6+6&gt;=$G62),1,"")</x:f>
      </x:c>
      <x:c r="BO62" s="168" t="str">
        <x:f>IF(AND(BO$6&lt;=$H62,BO$6+6&gt;=$G62),1,"")</x:f>
      </x:c>
    </x:row>
    <x:row r="63" ht="24" customHeight="1">
      <x:c r="A63" s="68" t="str">
        <x:f>'Task Register'!A61</x:f>
        <x:v>T-404</x:v>
      </x:c>
      <x:c r="B63" s="68" t="str">
        <x:f>'Task Register'!B61</x:f>
        <x:v>M4</x:v>
      </x:c>
      <x:c r="C63" s="68" t="str">
        <x:f>'Task Register'!C61</x:f>
        <x:v>Web</x:v>
      </x:c>
      <x:c r="D63" s="68" t="str">
        <x:f>'Task Register'!D61</x:f>
        <x:v>Reuse the Three.js arm and canvas scene</x:v>
      </x:c>
      <x:c r="E63" s="68" t="str">
        <x:f>'Task Register'!E61</x:f>
        <x:v>T-403</x:v>
      </x:c>
      <x:c r="F63" s="68" t="str">
        <x:f>'Task Register'!F61</x:f>
        <x:v>Blocked</x:v>
      </x:c>
      <x:c r="G63" s="94" t="n">
        <x:f>'Task Register'!I61</x:f>
        <x:v>46275</x:v>
      </x:c>
      <x:c r="H63" s="94" t="n">
        <x:f>'Task Register'!J61</x:f>
        <x:v>46275</x:v>
      </x:c>
      <x:c r="I63" s="166" t="str">
        <x:f>IF(AND(I$6&lt;=$H63,I$6+6&gt;=$G63),1,"")</x:f>
      </x:c>
      <x:c r="J63" s="167" t="str">
        <x:f>IF(AND(J$6&lt;=$H63,J$6+6&gt;=$G63),1,"")</x:f>
      </x:c>
      <x:c r="K63" s="167" t="str">
        <x:f>IF(AND(K$6&lt;=$H63,K$6+6&gt;=$G63),1,"")</x:f>
      </x:c>
      <x:c r="L63" s="167" t="str">
        <x:f>IF(AND(L$6&lt;=$H63,L$6+6&gt;=$G63),1,"")</x:f>
      </x:c>
      <x:c r="M63" s="167" t="str">
        <x:f>IF(AND(M$6&lt;=$H63,M$6+6&gt;=$G63),1,"")</x:f>
      </x:c>
      <x:c r="N63" s="167" t="n">
        <x:f>IF(AND(N$6&lt;=$H63,N$6+6&gt;=$G63),1,"")</x:f>
        <x:v>1</x:v>
      </x:c>
      <x:c r="O63" s="167" t="str">
        <x:f>IF(AND(O$6&lt;=$H63,O$6+6&gt;=$G63),1,"")</x:f>
      </x:c>
      <x:c r="P63" s="167" t="str">
        <x:f>IF(AND(P$6&lt;=$H63,P$6+6&gt;=$G63),1,"")</x:f>
      </x:c>
      <x:c r="Q63" s="167" t="str">
        <x:f>IF(AND(Q$6&lt;=$H63,Q$6+6&gt;=$G63),1,"")</x:f>
      </x:c>
      <x:c r="R63" s="167" t="str">
        <x:f>IF(AND(R$6&lt;=$H63,R$6+6&gt;=$G63),1,"")</x:f>
      </x:c>
      <x:c r="S63" s="167" t="str">
        <x:f>IF(AND(S$6&lt;=$H63,S$6+6&gt;=$G63),1,"")</x:f>
      </x:c>
      <x:c r="T63" s="167" t="str">
        <x:f>IF(AND(T$6&lt;=$H63,T$6+6&gt;=$G63),1,"")</x:f>
      </x:c>
      <x:c r="U63" s="167" t="str">
        <x:f>IF(AND(U$6&lt;=$H63,U$6+6&gt;=$G63),1,"")</x:f>
      </x:c>
      <x:c r="V63" s="167" t="str">
        <x:f>IF(AND(V$6&lt;=$H63,V$6+6&gt;=$G63),1,"")</x:f>
      </x:c>
      <x:c r="W63" s="167" t="str">
        <x:f>IF(AND(W$6&lt;=$H63,W$6+6&gt;=$G63),1,"")</x:f>
      </x:c>
      <x:c r="X63" s="167" t="str">
        <x:f>IF(AND(X$6&lt;=$H63,X$6+6&gt;=$G63),1,"")</x:f>
      </x:c>
      <x:c r="Y63" s="167" t="str">
        <x:f>IF(AND(Y$6&lt;=$H63,Y$6+6&gt;=$G63),1,"")</x:f>
      </x:c>
      <x:c r="Z63" s="167" t="str">
        <x:f>IF(AND(Z$6&lt;=$H63,Z$6+6&gt;=$G63),1,"")</x:f>
      </x:c>
      <x:c r="AA63" s="167" t="str">
        <x:f>IF(AND(AA$6&lt;=$H63,AA$6+6&gt;=$G63),1,"")</x:f>
      </x:c>
      <x:c r="AB63" s="167" t="str">
        <x:f>IF(AND(AB$6&lt;=$H63,AB$6+6&gt;=$G63),1,"")</x:f>
      </x:c>
      <x:c r="AC63" s="167" t="str">
        <x:f>IF(AND(AC$6&lt;=$H63,AC$6+6&gt;=$G63),1,"")</x:f>
      </x:c>
      <x:c r="AD63" s="167" t="str">
        <x:f>IF(AND(AD$6&lt;=$H63,AD$6+6&gt;=$G63),1,"")</x:f>
      </x:c>
      <x:c r="AE63" s="167" t="str">
        <x:f>IF(AND(AE$6&lt;=$H63,AE$6+6&gt;=$G63),1,"")</x:f>
      </x:c>
      <x:c r="AF63" s="167" t="str">
        <x:f>IF(AND(AF$6&lt;=$H63,AF$6+6&gt;=$G63),1,"")</x:f>
      </x:c>
      <x:c r="AG63" s="167" t="str">
        <x:f>IF(AND(AG$6&lt;=$H63,AG$6+6&gt;=$G63),1,"")</x:f>
      </x:c>
      <x:c r="AH63" s="167" t="str">
        <x:f>IF(AND(AH$6&lt;=$H63,AH$6+6&gt;=$G63),1,"")</x:f>
      </x:c>
      <x:c r="AI63" s="167" t="str">
        <x:f>IF(AND(AI$6&lt;=$H63,AI$6+6&gt;=$G63),1,"")</x:f>
      </x:c>
      <x:c r="AJ63" s="167" t="str">
        <x:f>IF(AND(AJ$6&lt;=$H63,AJ$6+6&gt;=$G63),1,"")</x:f>
      </x:c>
      <x:c r="AK63" s="167" t="str">
        <x:f>IF(AND(AK$6&lt;=$H63,AK$6+6&gt;=$G63),1,"")</x:f>
      </x:c>
      <x:c r="AL63" s="167" t="str">
        <x:f>IF(AND(AL$6&lt;=$H63,AL$6+6&gt;=$G63),1,"")</x:f>
      </x:c>
      <x:c r="AM63" s="167" t="str">
        <x:f>IF(AND(AM$6&lt;=$H63,AM$6+6&gt;=$G63),1,"")</x:f>
      </x:c>
      <x:c r="AN63" s="167" t="str">
        <x:f>IF(AND(AN$6&lt;=$H63,AN$6+6&gt;=$G63),1,"")</x:f>
      </x:c>
      <x:c r="AO63" s="167" t="str">
        <x:f>IF(AND(AO$6&lt;=$H63,AO$6+6&gt;=$G63),1,"")</x:f>
      </x:c>
      <x:c r="AP63" s="167" t="str">
        <x:f>IF(AND(AP$6&lt;=$H63,AP$6+6&gt;=$G63),1,"")</x:f>
      </x:c>
      <x:c r="AQ63" s="167" t="str">
        <x:f>IF(AND(AQ$6&lt;=$H63,AQ$6+6&gt;=$G63),1,"")</x:f>
      </x:c>
      <x:c r="AR63" s="167" t="str">
        <x:f>IF(AND(AR$6&lt;=$H63,AR$6+6&gt;=$G63),1,"")</x:f>
      </x:c>
      <x:c r="AS63" s="167" t="str">
        <x:f>IF(AND(AS$6&lt;=$H63,AS$6+6&gt;=$G63),1,"")</x:f>
      </x:c>
      <x:c r="AT63" s="167" t="str">
        <x:f>IF(AND(AT$6&lt;=$H63,AT$6+6&gt;=$G63),1,"")</x:f>
      </x:c>
      <x:c r="AU63" s="167" t="str">
        <x:f>IF(AND(AU$6&lt;=$H63,AU$6+6&gt;=$G63),1,"")</x:f>
      </x:c>
      <x:c r="AV63" s="167" t="str">
        <x:f>IF(AND(AV$6&lt;=$H63,AV$6+6&gt;=$G63),1,"")</x:f>
      </x:c>
      <x:c r="AW63" s="167" t="str">
        <x:f>IF(AND(AW$6&lt;=$H63,AW$6+6&gt;=$G63),1,"")</x:f>
      </x:c>
      <x:c r="AX63" s="167" t="str">
        <x:f>IF(AND(AX$6&lt;=$H63,AX$6+6&gt;=$G63),1,"")</x:f>
      </x:c>
      <x:c r="AY63" s="167" t="str">
        <x:f>IF(AND(AY$6&lt;=$H63,AY$6+6&gt;=$G63),1,"")</x:f>
      </x:c>
      <x:c r="AZ63" s="167" t="str">
        <x:f>IF(AND(AZ$6&lt;=$H63,AZ$6+6&gt;=$G63),1,"")</x:f>
      </x:c>
      <x:c r="BA63" s="167" t="str">
        <x:f>IF(AND(BA$6&lt;=$H63,BA$6+6&gt;=$G63),1,"")</x:f>
      </x:c>
      <x:c r="BB63" s="167" t="str">
        <x:f>IF(AND(BB$6&lt;=$H63,BB$6+6&gt;=$G63),1,"")</x:f>
      </x:c>
      <x:c r="BC63" s="167" t="str">
        <x:f>IF(AND(BC$6&lt;=$H63,BC$6+6&gt;=$G63),1,"")</x:f>
      </x:c>
      <x:c r="BD63" s="167" t="str">
        <x:f>IF(AND(BD$6&lt;=$H63,BD$6+6&gt;=$G63),1,"")</x:f>
      </x:c>
      <x:c r="BE63" s="167" t="str">
        <x:f>IF(AND(BE$6&lt;=$H63,BE$6+6&gt;=$G63),1,"")</x:f>
      </x:c>
      <x:c r="BF63" s="167" t="str">
        <x:f>IF(AND(BF$6&lt;=$H63,BF$6+6&gt;=$G63),1,"")</x:f>
      </x:c>
      <x:c r="BG63" s="167" t="str">
        <x:f>IF(AND(BG$6&lt;=$H63,BG$6+6&gt;=$G63),1,"")</x:f>
      </x:c>
      <x:c r="BH63" s="167" t="str">
        <x:f>IF(AND(BH$6&lt;=$H63,BH$6+6&gt;=$G63),1,"")</x:f>
      </x:c>
      <x:c r="BI63" s="167" t="str">
        <x:f>IF(AND(BI$6&lt;=$H63,BI$6+6&gt;=$G63),1,"")</x:f>
      </x:c>
      <x:c r="BJ63" s="167" t="str">
        <x:f>IF(AND(BJ$6&lt;=$H63,BJ$6+6&gt;=$G63),1,"")</x:f>
      </x:c>
      <x:c r="BK63" s="167" t="str">
        <x:f>IF(AND(BK$6&lt;=$H63,BK$6+6&gt;=$G63),1,"")</x:f>
      </x:c>
      <x:c r="BL63" s="167" t="str">
        <x:f>IF(AND(BL$6&lt;=$H63,BL$6+6&gt;=$G63),1,"")</x:f>
      </x:c>
      <x:c r="BM63" s="167" t="str">
        <x:f>IF(AND(BM$6&lt;=$H63,BM$6+6&gt;=$G63),1,"")</x:f>
      </x:c>
      <x:c r="BN63" s="167" t="str">
        <x:f>IF(AND(BN$6&lt;=$H63,BN$6+6&gt;=$G63),1,"")</x:f>
      </x:c>
      <x:c r="BO63" s="168" t="str">
        <x:f>IF(AND(BO$6&lt;=$H63,BO$6+6&gt;=$G63),1,"")</x:f>
      </x:c>
    </x:row>
    <x:row r="64" ht="24" customHeight="1">
      <x:c r="A64" s="68" t="str">
        <x:f>'Task Register'!A62</x:f>
        <x:v>T-405</x:v>
      </x:c>
      <x:c r="B64" s="68" t="str">
        <x:f>'Task Register'!B62</x:f>
        <x:v>M4</x:v>
      </x:c>
      <x:c r="C64" s="68" t="str">
        <x:f>'Task Register'!C62</x:f>
        <x:v>Web/Observation Boundary</x:v>
      </x:c>
      <x:c r="D64" s="68" t="str">
        <x:f>'Task Register'!D62</x:f>
        <x:v>Separate material truth, observation, and prediction views</x:v>
      </x:c>
      <x:c r="E64" s="68" t="str">
        <x:f>'Task Register'!E62</x:f>
        <x:v>T-102, T-403</x:v>
      </x:c>
      <x:c r="F64" s="68" t="str">
        <x:f>'Task Register'!F62</x:f>
        <x:v>Blocked</x:v>
      </x:c>
      <x:c r="G64" s="94" t="n">
        <x:f>'Task Register'!I62</x:f>
        <x:v>46276</x:v>
      </x:c>
      <x:c r="H64" s="94" t="n">
        <x:f>'Task Register'!J62</x:f>
        <x:v>46279</x:v>
      </x:c>
      <x:c r="I64" s="166" t="str">
        <x:f>IF(AND(I$6&lt;=$H64,I$6+6&gt;=$G64),1,"")</x:f>
      </x:c>
      <x:c r="J64" s="167" t="str">
        <x:f>IF(AND(J$6&lt;=$H64,J$6+6&gt;=$G64),1,"")</x:f>
      </x:c>
      <x:c r="K64" s="167" t="str">
        <x:f>IF(AND(K$6&lt;=$H64,K$6+6&gt;=$G64),1,"")</x:f>
      </x:c>
      <x:c r="L64" s="167" t="str">
        <x:f>IF(AND(L$6&lt;=$H64,L$6+6&gt;=$G64),1,"")</x:f>
      </x:c>
      <x:c r="M64" s="167" t="str">
        <x:f>IF(AND(M$6&lt;=$H64,M$6+6&gt;=$G64),1,"")</x:f>
      </x:c>
      <x:c r="N64" s="167" t="n">
        <x:f>IF(AND(N$6&lt;=$H64,N$6+6&gt;=$G64),1,"")</x:f>
        <x:v>1</x:v>
      </x:c>
      <x:c r="O64" s="167" t="n">
        <x:f>IF(AND(O$6&lt;=$H64,O$6+6&gt;=$G64),1,"")</x:f>
        <x:v>1</x:v>
      </x:c>
      <x:c r="P64" s="167" t="str">
        <x:f>IF(AND(P$6&lt;=$H64,P$6+6&gt;=$G64),1,"")</x:f>
      </x:c>
      <x:c r="Q64" s="167" t="str">
        <x:f>IF(AND(Q$6&lt;=$H64,Q$6+6&gt;=$G64),1,"")</x:f>
      </x:c>
      <x:c r="R64" s="167" t="str">
        <x:f>IF(AND(R$6&lt;=$H64,R$6+6&gt;=$G64),1,"")</x:f>
      </x:c>
      <x:c r="S64" s="167" t="str">
        <x:f>IF(AND(S$6&lt;=$H64,S$6+6&gt;=$G64),1,"")</x:f>
      </x:c>
      <x:c r="T64" s="167" t="str">
        <x:f>IF(AND(T$6&lt;=$H64,T$6+6&gt;=$G64),1,"")</x:f>
      </x:c>
      <x:c r="U64" s="167" t="str">
        <x:f>IF(AND(U$6&lt;=$H64,U$6+6&gt;=$G64),1,"")</x:f>
      </x:c>
      <x:c r="V64" s="167" t="str">
        <x:f>IF(AND(V$6&lt;=$H64,V$6+6&gt;=$G64),1,"")</x:f>
      </x:c>
      <x:c r="W64" s="167" t="str">
        <x:f>IF(AND(W$6&lt;=$H64,W$6+6&gt;=$G64),1,"")</x:f>
      </x:c>
      <x:c r="X64" s="167" t="str">
        <x:f>IF(AND(X$6&lt;=$H64,X$6+6&gt;=$G64),1,"")</x:f>
      </x:c>
      <x:c r="Y64" s="167" t="str">
        <x:f>IF(AND(Y$6&lt;=$H64,Y$6+6&gt;=$G64),1,"")</x:f>
      </x:c>
      <x:c r="Z64" s="167" t="str">
        <x:f>IF(AND(Z$6&lt;=$H64,Z$6+6&gt;=$G64),1,"")</x:f>
      </x:c>
      <x:c r="AA64" s="167" t="str">
        <x:f>IF(AND(AA$6&lt;=$H64,AA$6+6&gt;=$G64),1,"")</x:f>
      </x:c>
      <x:c r="AB64" s="167" t="str">
        <x:f>IF(AND(AB$6&lt;=$H64,AB$6+6&gt;=$G64),1,"")</x:f>
      </x:c>
      <x:c r="AC64" s="167" t="str">
        <x:f>IF(AND(AC$6&lt;=$H64,AC$6+6&gt;=$G64),1,"")</x:f>
      </x:c>
      <x:c r="AD64" s="167" t="str">
        <x:f>IF(AND(AD$6&lt;=$H64,AD$6+6&gt;=$G64),1,"")</x:f>
      </x:c>
      <x:c r="AE64" s="167" t="str">
        <x:f>IF(AND(AE$6&lt;=$H64,AE$6+6&gt;=$G64),1,"")</x:f>
      </x:c>
      <x:c r="AF64" s="167" t="str">
        <x:f>IF(AND(AF$6&lt;=$H64,AF$6+6&gt;=$G64),1,"")</x:f>
      </x:c>
      <x:c r="AG64" s="167" t="str">
        <x:f>IF(AND(AG$6&lt;=$H64,AG$6+6&gt;=$G64),1,"")</x:f>
      </x:c>
      <x:c r="AH64" s="167" t="str">
        <x:f>IF(AND(AH$6&lt;=$H64,AH$6+6&gt;=$G64),1,"")</x:f>
      </x:c>
      <x:c r="AI64" s="167" t="str">
        <x:f>IF(AND(AI$6&lt;=$H64,AI$6+6&gt;=$G64),1,"")</x:f>
      </x:c>
      <x:c r="AJ64" s="167" t="str">
        <x:f>IF(AND(AJ$6&lt;=$H64,AJ$6+6&gt;=$G64),1,"")</x:f>
      </x:c>
      <x:c r="AK64" s="167" t="str">
        <x:f>IF(AND(AK$6&lt;=$H64,AK$6+6&gt;=$G64),1,"")</x:f>
      </x:c>
      <x:c r="AL64" s="167" t="str">
        <x:f>IF(AND(AL$6&lt;=$H64,AL$6+6&gt;=$G64),1,"")</x:f>
      </x:c>
      <x:c r="AM64" s="167" t="str">
        <x:f>IF(AND(AM$6&lt;=$H64,AM$6+6&gt;=$G64),1,"")</x:f>
      </x:c>
      <x:c r="AN64" s="167" t="str">
        <x:f>IF(AND(AN$6&lt;=$H64,AN$6+6&gt;=$G64),1,"")</x:f>
      </x:c>
      <x:c r="AO64" s="167" t="str">
        <x:f>IF(AND(AO$6&lt;=$H64,AO$6+6&gt;=$G64),1,"")</x:f>
      </x:c>
      <x:c r="AP64" s="167" t="str">
        <x:f>IF(AND(AP$6&lt;=$H64,AP$6+6&gt;=$G64),1,"")</x:f>
      </x:c>
      <x:c r="AQ64" s="167" t="str">
        <x:f>IF(AND(AQ$6&lt;=$H64,AQ$6+6&gt;=$G64),1,"")</x:f>
      </x:c>
      <x:c r="AR64" s="167" t="str">
        <x:f>IF(AND(AR$6&lt;=$H64,AR$6+6&gt;=$G64),1,"")</x:f>
      </x:c>
      <x:c r="AS64" s="167" t="str">
        <x:f>IF(AND(AS$6&lt;=$H64,AS$6+6&gt;=$G64),1,"")</x:f>
      </x:c>
      <x:c r="AT64" s="167" t="str">
        <x:f>IF(AND(AT$6&lt;=$H64,AT$6+6&gt;=$G64),1,"")</x:f>
      </x:c>
      <x:c r="AU64" s="167" t="str">
        <x:f>IF(AND(AU$6&lt;=$H64,AU$6+6&gt;=$G64),1,"")</x:f>
      </x:c>
      <x:c r="AV64" s="167" t="str">
        <x:f>IF(AND(AV$6&lt;=$H64,AV$6+6&gt;=$G64),1,"")</x:f>
      </x:c>
      <x:c r="AW64" s="167" t="str">
        <x:f>IF(AND(AW$6&lt;=$H64,AW$6+6&gt;=$G64),1,"")</x:f>
      </x:c>
      <x:c r="AX64" s="167" t="str">
        <x:f>IF(AND(AX$6&lt;=$H64,AX$6+6&gt;=$G64),1,"")</x:f>
      </x:c>
      <x:c r="AY64" s="167" t="str">
        <x:f>IF(AND(AY$6&lt;=$H64,AY$6+6&gt;=$G64),1,"")</x:f>
      </x:c>
      <x:c r="AZ64" s="167" t="str">
        <x:f>IF(AND(AZ$6&lt;=$H64,AZ$6+6&gt;=$G64),1,"")</x:f>
      </x:c>
      <x:c r="BA64" s="167" t="str">
        <x:f>IF(AND(BA$6&lt;=$H64,BA$6+6&gt;=$G64),1,"")</x:f>
      </x:c>
      <x:c r="BB64" s="167" t="str">
        <x:f>IF(AND(BB$6&lt;=$H64,BB$6+6&gt;=$G64),1,"")</x:f>
      </x:c>
      <x:c r="BC64" s="167" t="str">
        <x:f>IF(AND(BC$6&lt;=$H64,BC$6+6&gt;=$G64),1,"")</x:f>
      </x:c>
      <x:c r="BD64" s="167" t="str">
        <x:f>IF(AND(BD$6&lt;=$H64,BD$6+6&gt;=$G64),1,"")</x:f>
      </x:c>
      <x:c r="BE64" s="167" t="str">
        <x:f>IF(AND(BE$6&lt;=$H64,BE$6+6&gt;=$G64),1,"")</x:f>
      </x:c>
      <x:c r="BF64" s="167" t="str">
        <x:f>IF(AND(BF$6&lt;=$H64,BF$6+6&gt;=$G64),1,"")</x:f>
      </x:c>
      <x:c r="BG64" s="167" t="str">
        <x:f>IF(AND(BG$6&lt;=$H64,BG$6+6&gt;=$G64),1,"")</x:f>
      </x:c>
      <x:c r="BH64" s="167" t="str">
        <x:f>IF(AND(BH$6&lt;=$H64,BH$6+6&gt;=$G64),1,"")</x:f>
      </x:c>
      <x:c r="BI64" s="167" t="str">
        <x:f>IF(AND(BI$6&lt;=$H64,BI$6+6&gt;=$G64),1,"")</x:f>
      </x:c>
      <x:c r="BJ64" s="167" t="str">
        <x:f>IF(AND(BJ$6&lt;=$H64,BJ$6+6&gt;=$G64),1,"")</x:f>
      </x:c>
      <x:c r="BK64" s="167" t="str">
        <x:f>IF(AND(BK$6&lt;=$H64,BK$6+6&gt;=$G64),1,"")</x:f>
      </x:c>
      <x:c r="BL64" s="167" t="str">
        <x:f>IF(AND(BL$6&lt;=$H64,BL$6+6&gt;=$G64),1,"")</x:f>
      </x:c>
      <x:c r="BM64" s="167" t="str">
        <x:f>IF(AND(BM$6&lt;=$H64,BM$6+6&gt;=$G64),1,"")</x:f>
      </x:c>
      <x:c r="BN64" s="167" t="str">
        <x:f>IF(AND(BN$6&lt;=$H64,BN$6+6&gt;=$G64),1,"")</x:f>
      </x:c>
      <x:c r="BO64" s="168" t="str">
        <x:f>IF(AND(BO$6&lt;=$H64,BO$6+6&gt;=$G64),1,"")</x:f>
      </x:c>
    </x:row>
    <x:row r="65" ht="24" customHeight="1">
      <x:c r="A65" s="68" t="str">
        <x:f>'Task Register'!A63</x:f>
        <x:v>T-406</x:v>
      </x:c>
      <x:c r="B65" s="68" t="str">
        <x:f>'Task Register'!B63</x:f>
        <x:v>M4</x:v>
      </x:c>
      <x:c r="C65" s="68" t="str">
        <x:f>'Task Register'!C63</x:f>
        <x:v>Web/Runtime</x:v>
      </x:c>
      <x:c r="D65" s="68" t="str">
        <x:f>'Task Register'!D63</x:f>
        <x:v>Handle capabilities, stale state, and runtime errors</x:v>
      </x:c>
      <x:c r="E65" s="68" t="str">
        <x:f>'Task Register'!E63</x:f>
        <x:v>T-402, T-403, T-404</x:v>
      </x:c>
      <x:c r="F65" s="68" t="str">
        <x:f>'Task Register'!F63</x:f>
        <x:v>Blocked</x:v>
      </x:c>
      <x:c r="G65" s="94" t="n">
        <x:f>'Task Register'!I63</x:f>
        <x:v>46280</x:v>
      </x:c>
      <x:c r="H65" s="94" t="n">
        <x:f>'Task Register'!J63</x:f>
        <x:v>46280</x:v>
      </x:c>
      <x:c r="I65" s="166" t="str">
        <x:f>IF(AND(I$6&lt;=$H65,I$6+6&gt;=$G65),1,"")</x:f>
      </x:c>
      <x:c r="J65" s="167" t="str">
        <x:f>IF(AND(J$6&lt;=$H65,J$6+6&gt;=$G65),1,"")</x:f>
      </x:c>
      <x:c r="K65" s="167" t="str">
        <x:f>IF(AND(K$6&lt;=$H65,K$6+6&gt;=$G65),1,"")</x:f>
      </x:c>
      <x:c r="L65" s="167" t="str">
        <x:f>IF(AND(L$6&lt;=$H65,L$6+6&gt;=$G65),1,"")</x:f>
      </x:c>
      <x:c r="M65" s="167" t="str">
        <x:f>IF(AND(M$6&lt;=$H65,M$6+6&gt;=$G65),1,"")</x:f>
      </x:c>
      <x:c r="N65" s="167" t="str">
        <x:f>IF(AND(N$6&lt;=$H65,N$6+6&gt;=$G65),1,"")</x:f>
      </x:c>
      <x:c r="O65" s="167" t="n">
        <x:f>IF(AND(O$6&lt;=$H65,O$6+6&gt;=$G65),1,"")</x:f>
        <x:v>1</x:v>
      </x:c>
      <x:c r="P65" s="167" t="str">
        <x:f>IF(AND(P$6&lt;=$H65,P$6+6&gt;=$G65),1,"")</x:f>
      </x:c>
      <x:c r="Q65" s="167" t="str">
        <x:f>IF(AND(Q$6&lt;=$H65,Q$6+6&gt;=$G65),1,"")</x:f>
      </x:c>
      <x:c r="R65" s="167" t="str">
        <x:f>IF(AND(R$6&lt;=$H65,R$6+6&gt;=$G65),1,"")</x:f>
      </x:c>
      <x:c r="S65" s="167" t="str">
        <x:f>IF(AND(S$6&lt;=$H65,S$6+6&gt;=$G65),1,"")</x:f>
      </x:c>
      <x:c r="T65" s="167" t="str">
        <x:f>IF(AND(T$6&lt;=$H65,T$6+6&gt;=$G65),1,"")</x:f>
      </x:c>
      <x:c r="U65" s="167" t="str">
        <x:f>IF(AND(U$6&lt;=$H65,U$6+6&gt;=$G65),1,"")</x:f>
      </x:c>
      <x:c r="V65" s="167" t="str">
        <x:f>IF(AND(V$6&lt;=$H65,V$6+6&gt;=$G65),1,"")</x:f>
      </x:c>
      <x:c r="W65" s="167" t="str">
        <x:f>IF(AND(W$6&lt;=$H65,W$6+6&gt;=$G65),1,"")</x:f>
      </x:c>
      <x:c r="X65" s="167" t="str">
        <x:f>IF(AND(X$6&lt;=$H65,X$6+6&gt;=$G65),1,"")</x:f>
      </x:c>
      <x:c r="Y65" s="167" t="str">
        <x:f>IF(AND(Y$6&lt;=$H65,Y$6+6&gt;=$G65),1,"")</x:f>
      </x:c>
      <x:c r="Z65" s="167" t="str">
        <x:f>IF(AND(Z$6&lt;=$H65,Z$6+6&gt;=$G65),1,"")</x:f>
      </x:c>
      <x:c r="AA65" s="167" t="str">
        <x:f>IF(AND(AA$6&lt;=$H65,AA$6+6&gt;=$G65),1,"")</x:f>
      </x:c>
      <x:c r="AB65" s="167" t="str">
        <x:f>IF(AND(AB$6&lt;=$H65,AB$6+6&gt;=$G65),1,"")</x:f>
      </x:c>
      <x:c r="AC65" s="167" t="str">
        <x:f>IF(AND(AC$6&lt;=$H65,AC$6+6&gt;=$G65),1,"")</x:f>
      </x:c>
      <x:c r="AD65" s="167" t="str">
        <x:f>IF(AND(AD$6&lt;=$H65,AD$6+6&gt;=$G65),1,"")</x:f>
      </x:c>
      <x:c r="AE65" s="167" t="str">
        <x:f>IF(AND(AE$6&lt;=$H65,AE$6+6&gt;=$G65),1,"")</x:f>
      </x:c>
      <x:c r="AF65" s="167" t="str">
        <x:f>IF(AND(AF$6&lt;=$H65,AF$6+6&gt;=$G65),1,"")</x:f>
      </x:c>
      <x:c r="AG65" s="167" t="str">
        <x:f>IF(AND(AG$6&lt;=$H65,AG$6+6&gt;=$G65),1,"")</x:f>
      </x:c>
      <x:c r="AH65" s="167" t="str">
        <x:f>IF(AND(AH$6&lt;=$H65,AH$6+6&gt;=$G65),1,"")</x:f>
      </x:c>
      <x:c r="AI65" s="167" t="str">
        <x:f>IF(AND(AI$6&lt;=$H65,AI$6+6&gt;=$G65),1,"")</x:f>
      </x:c>
      <x:c r="AJ65" s="167" t="str">
        <x:f>IF(AND(AJ$6&lt;=$H65,AJ$6+6&gt;=$G65),1,"")</x:f>
      </x:c>
      <x:c r="AK65" s="167" t="str">
        <x:f>IF(AND(AK$6&lt;=$H65,AK$6+6&gt;=$G65),1,"")</x:f>
      </x:c>
      <x:c r="AL65" s="167" t="str">
        <x:f>IF(AND(AL$6&lt;=$H65,AL$6+6&gt;=$G65),1,"")</x:f>
      </x:c>
      <x:c r="AM65" s="167" t="str">
        <x:f>IF(AND(AM$6&lt;=$H65,AM$6+6&gt;=$G65),1,"")</x:f>
      </x:c>
      <x:c r="AN65" s="167" t="str">
        <x:f>IF(AND(AN$6&lt;=$H65,AN$6+6&gt;=$G65),1,"")</x:f>
      </x:c>
      <x:c r="AO65" s="167" t="str">
        <x:f>IF(AND(AO$6&lt;=$H65,AO$6+6&gt;=$G65),1,"")</x:f>
      </x:c>
      <x:c r="AP65" s="167" t="str">
        <x:f>IF(AND(AP$6&lt;=$H65,AP$6+6&gt;=$G65),1,"")</x:f>
      </x:c>
      <x:c r="AQ65" s="167" t="str">
        <x:f>IF(AND(AQ$6&lt;=$H65,AQ$6+6&gt;=$G65),1,"")</x:f>
      </x:c>
      <x:c r="AR65" s="167" t="str">
        <x:f>IF(AND(AR$6&lt;=$H65,AR$6+6&gt;=$G65),1,"")</x:f>
      </x:c>
      <x:c r="AS65" s="167" t="str">
        <x:f>IF(AND(AS$6&lt;=$H65,AS$6+6&gt;=$G65),1,"")</x:f>
      </x:c>
      <x:c r="AT65" s="167" t="str">
        <x:f>IF(AND(AT$6&lt;=$H65,AT$6+6&gt;=$G65),1,"")</x:f>
      </x:c>
      <x:c r="AU65" s="167" t="str">
        <x:f>IF(AND(AU$6&lt;=$H65,AU$6+6&gt;=$G65),1,"")</x:f>
      </x:c>
      <x:c r="AV65" s="167" t="str">
        <x:f>IF(AND(AV$6&lt;=$H65,AV$6+6&gt;=$G65),1,"")</x:f>
      </x:c>
      <x:c r="AW65" s="167" t="str">
        <x:f>IF(AND(AW$6&lt;=$H65,AW$6+6&gt;=$G65),1,"")</x:f>
      </x:c>
      <x:c r="AX65" s="167" t="str">
        <x:f>IF(AND(AX$6&lt;=$H65,AX$6+6&gt;=$G65),1,"")</x:f>
      </x:c>
      <x:c r="AY65" s="167" t="str">
        <x:f>IF(AND(AY$6&lt;=$H65,AY$6+6&gt;=$G65),1,"")</x:f>
      </x:c>
      <x:c r="AZ65" s="167" t="str">
        <x:f>IF(AND(AZ$6&lt;=$H65,AZ$6+6&gt;=$G65),1,"")</x:f>
      </x:c>
      <x:c r="BA65" s="167" t="str">
        <x:f>IF(AND(BA$6&lt;=$H65,BA$6+6&gt;=$G65),1,"")</x:f>
      </x:c>
      <x:c r="BB65" s="167" t="str">
        <x:f>IF(AND(BB$6&lt;=$H65,BB$6+6&gt;=$G65),1,"")</x:f>
      </x:c>
      <x:c r="BC65" s="167" t="str">
        <x:f>IF(AND(BC$6&lt;=$H65,BC$6+6&gt;=$G65),1,"")</x:f>
      </x:c>
      <x:c r="BD65" s="167" t="str">
        <x:f>IF(AND(BD$6&lt;=$H65,BD$6+6&gt;=$G65),1,"")</x:f>
      </x:c>
      <x:c r="BE65" s="167" t="str">
        <x:f>IF(AND(BE$6&lt;=$H65,BE$6+6&gt;=$G65),1,"")</x:f>
      </x:c>
      <x:c r="BF65" s="167" t="str">
        <x:f>IF(AND(BF$6&lt;=$H65,BF$6+6&gt;=$G65),1,"")</x:f>
      </x:c>
      <x:c r="BG65" s="167" t="str">
        <x:f>IF(AND(BG$6&lt;=$H65,BG$6+6&gt;=$G65),1,"")</x:f>
      </x:c>
      <x:c r="BH65" s="167" t="str">
        <x:f>IF(AND(BH$6&lt;=$H65,BH$6+6&gt;=$G65),1,"")</x:f>
      </x:c>
      <x:c r="BI65" s="167" t="str">
        <x:f>IF(AND(BI$6&lt;=$H65,BI$6+6&gt;=$G65),1,"")</x:f>
      </x:c>
      <x:c r="BJ65" s="167" t="str">
        <x:f>IF(AND(BJ$6&lt;=$H65,BJ$6+6&gt;=$G65),1,"")</x:f>
      </x:c>
      <x:c r="BK65" s="167" t="str">
        <x:f>IF(AND(BK$6&lt;=$H65,BK$6+6&gt;=$G65),1,"")</x:f>
      </x:c>
      <x:c r="BL65" s="167" t="str">
        <x:f>IF(AND(BL$6&lt;=$H65,BL$6+6&gt;=$G65),1,"")</x:f>
      </x:c>
      <x:c r="BM65" s="167" t="str">
        <x:f>IF(AND(BM$6&lt;=$H65,BM$6+6&gt;=$G65),1,"")</x:f>
      </x:c>
      <x:c r="BN65" s="167" t="str">
        <x:f>IF(AND(BN$6&lt;=$H65,BN$6+6&gt;=$G65),1,"")</x:f>
      </x:c>
      <x:c r="BO65" s="168" t="str">
        <x:f>IF(AND(BO$6&lt;=$H65,BO$6+6&gt;=$G65),1,"")</x:f>
      </x:c>
    </x:row>
    <x:row r="66" ht="24" customHeight="1">
      <x:c r="A66" s="68" t="str">
        <x:f>'Task Register'!A64</x:f>
        <x:v>T-407</x:v>
      </x:c>
      <x:c r="B66" s="68" t="str">
        <x:f>'Task Register'!B64</x:f>
        <x:v>M4</x:v>
      </x:c>
      <x:c r="C66" s="68" t="str">
        <x:f>'Task Register'!C64</x:f>
        <x:v>Web/Active-Inference Diagnostics</x:v>
      </x:c>
      <x:c r="D66" s="68" t="str">
        <x:f>'Task Register'!D64</x:f>
        <x:v>Add belief, prediction, and policy overlays</x:v>
      </x:c>
      <x:c r="E66" s="68" t="str">
        <x:f>'Task Register'!E64</x:f>
        <x:v>AI-101, T-403, T-405</x:v>
      </x:c>
      <x:c r="F66" s="68" t="str">
        <x:f>'Task Register'!F64</x:f>
        <x:v>Blocked</x:v>
      </x:c>
      <x:c r="G66" s="94" t="n">
        <x:f>'Task Register'!I64</x:f>
        <x:v>46281</x:v>
      </x:c>
      <x:c r="H66" s="94" t="n">
        <x:f>'Task Register'!J64</x:f>
        <x:v>46282</x:v>
      </x:c>
      <x:c r="I66" s="166" t="str">
        <x:f>IF(AND(I$6&lt;=$H66,I$6+6&gt;=$G66),1,"")</x:f>
      </x:c>
      <x:c r="J66" s="167" t="str">
        <x:f>IF(AND(J$6&lt;=$H66,J$6+6&gt;=$G66),1,"")</x:f>
      </x:c>
      <x:c r="K66" s="167" t="str">
        <x:f>IF(AND(K$6&lt;=$H66,K$6+6&gt;=$G66),1,"")</x:f>
      </x:c>
      <x:c r="L66" s="167" t="str">
        <x:f>IF(AND(L$6&lt;=$H66,L$6+6&gt;=$G66),1,"")</x:f>
      </x:c>
      <x:c r="M66" s="167" t="str">
        <x:f>IF(AND(M$6&lt;=$H66,M$6+6&gt;=$G66),1,"")</x:f>
      </x:c>
      <x:c r="N66" s="167" t="str">
        <x:f>IF(AND(N$6&lt;=$H66,N$6+6&gt;=$G66),1,"")</x:f>
      </x:c>
      <x:c r="O66" s="167" t="n">
        <x:f>IF(AND(O$6&lt;=$H66,O$6+6&gt;=$G66),1,"")</x:f>
        <x:v>1</x:v>
      </x:c>
      <x:c r="P66" s="167" t="str">
        <x:f>IF(AND(P$6&lt;=$H66,P$6+6&gt;=$G66),1,"")</x:f>
      </x:c>
      <x:c r="Q66" s="167" t="str">
        <x:f>IF(AND(Q$6&lt;=$H66,Q$6+6&gt;=$G66),1,"")</x:f>
      </x:c>
      <x:c r="R66" s="167" t="str">
        <x:f>IF(AND(R$6&lt;=$H66,R$6+6&gt;=$G66),1,"")</x:f>
      </x:c>
      <x:c r="S66" s="167" t="str">
        <x:f>IF(AND(S$6&lt;=$H66,S$6+6&gt;=$G66),1,"")</x:f>
      </x:c>
      <x:c r="T66" s="167" t="str">
        <x:f>IF(AND(T$6&lt;=$H66,T$6+6&gt;=$G66),1,"")</x:f>
      </x:c>
      <x:c r="U66" s="167" t="str">
        <x:f>IF(AND(U$6&lt;=$H66,U$6+6&gt;=$G66),1,"")</x:f>
      </x:c>
      <x:c r="V66" s="167" t="str">
        <x:f>IF(AND(V$6&lt;=$H66,V$6+6&gt;=$G66),1,"")</x:f>
      </x:c>
      <x:c r="W66" s="167" t="str">
        <x:f>IF(AND(W$6&lt;=$H66,W$6+6&gt;=$G66),1,"")</x:f>
      </x:c>
      <x:c r="X66" s="167" t="str">
        <x:f>IF(AND(X$6&lt;=$H66,X$6+6&gt;=$G66),1,"")</x:f>
      </x:c>
      <x:c r="Y66" s="167" t="str">
        <x:f>IF(AND(Y$6&lt;=$H66,Y$6+6&gt;=$G66),1,"")</x:f>
      </x:c>
      <x:c r="Z66" s="167" t="str">
        <x:f>IF(AND(Z$6&lt;=$H66,Z$6+6&gt;=$G66),1,"")</x:f>
      </x:c>
      <x:c r="AA66" s="167" t="str">
        <x:f>IF(AND(AA$6&lt;=$H66,AA$6+6&gt;=$G66),1,"")</x:f>
      </x:c>
      <x:c r="AB66" s="167" t="str">
        <x:f>IF(AND(AB$6&lt;=$H66,AB$6+6&gt;=$G66),1,"")</x:f>
      </x:c>
      <x:c r="AC66" s="167" t="str">
        <x:f>IF(AND(AC$6&lt;=$H66,AC$6+6&gt;=$G66),1,"")</x:f>
      </x:c>
      <x:c r="AD66" s="167" t="str">
        <x:f>IF(AND(AD$6&lt;=$H66,AD$6+6&gt;=$G66),1,"")</x:f>
      </x:c>
      <x:c r="AE66" s="167" t="str">
        <x:f>IF(AND(AE$6&lt;=$H66,AE$6+6&gt;=$G66),1,"")</x:f>
      </x:c>
      <x:c r="AF66" s="167" t="str">
        <x:f>IF(AND(AF$6&lt;=$H66,AF$6+6&gt;=$G66),1,"")</x:f>
      </x:c>
      <x:c r="AG66" s="167" t="str">
        <x:f>IF(AND(AG$6&lt;=$H66,AG$6+6&gt;=$G66),1,"")</x:f>
      </x:c>
      <x:c r="AH66" s="167" t="str">
        <x:f>IF(AND(AH$6&lt;=$H66,AH$6+6&gt;=$G66),1,"")</x:f>
      </x:c>
      <x:c r="AI66" s="167" t="str">
        <x:f>IF(AND(AI$6&lt;=$H66,AI$6+6&gt;=$G66),1,"")</x:f>
      </x:c>
      <x:c r="AJ66" s="167" t="str">
        <x:f>IF(AND(AJ$6&lt;=$H66,AJ$6+6&gt;=$G66),1,"")</x:f>
      </x:c>
      <x:c r="AK66" s="167" t="str">
        <x:f>IF(AND(AK$6&lt;=$H66,AK$6+6&gt;=$G66),1,"")</x:f>
      </x:c>
      <x:c r="AL66" s="167" t="str">
        <x:f>IF(AND(AL$6&lt;=$H66,AL$6+6&gt;=$G66),1,"")</x:f>
      </x:c>
      <x:c r="AM66" s="167" t="str">
        <x:f>IF(AND(AM$6&lt;=$H66,AM$6+6&gt;=$G66),1,"")</x:f>
      </x:c>
      <x:c r="AN66" s="167" t="str">
        <x:f>IF(AND(AN$6&lt;=$H66,AN$6+6&gt;=$G66),1,"")</x:f>
      </x:c>
      <x:c r="AO66" s="167" t="str">
        <x:f>IF(AND(AO$6&lt;=$H66,AO$6+6&gt;=$G66),1,"")</x:f>
      </x:c>
      <x:c r="AP66" s="167" t="str">
        <x:f>IF(AND(AP$6&lt;=$H66,AP$6+6&gt;=$G66),1,"")</x:f>
      </x:c>
      <x:c r="AQ66" s="167" t="str">
        <x:f>IF(AND(AQ$6&lt;=$H66,AQ$6+6&gt;=$G66),1,"")</x:f>
      </x:c>
      <x:c r="AR66" s="167" t="str">
        <x:f>IF(AND(AR$6&lt;=$H66,AR$6+6&gt;=$G66),1,"")</x:f>
      </x:c>
      <x:c r="AS66" s="167" t="str">
        <x:f>IF(AND(AS$6&lt;=$H66,AS$6+6&gt;=$G66),1,"")</x:f>
      </x:c>
      <x:c r="AT66" s="167" t="str">
        <x:f>IF(AND(AT$6&lt;=$H66,AT$6+6&gt;=$G66),1,"")</x:f>
      </x:c>
      <x:c r="AU66" s="167" t="str">
        <x:f>IF(AND(AU$6&lt;=$H66,AU$6+6&gt;=$G66),1,"")</x:f>
      </x:c>
      <x:c r="AV66" s="167" t="str">
        <x:f>IF(AND(AV$6&lt;=$H66,AV$6+6&gt;=$G66),1,"")</x:f>
      </x:c>
      <x:c r="AW66" s="167" t="str">
        <x:f>IF(AND(AW$6&lt;=$H66,AW$6+6&gt;=$G66),1,"")</x:f>
      </x:c>
      <x:c r="AX66" s="167" t="str">
        <x:f>IF(AND(AX$6&lt;=$H66,AX$6+6&gt;=$G66),1,"")</x:f>
      </x:c>
      <x:c r="AY66" s="167" t="str">
        <x:f>IF(AND(AY$6&lt;=$H66,AY$6+6&gt;=$G66),1,"")</x:f>
      </x:c>
      <x:c r="AZ66" s="167" t="str">
        <x:f>IF(AND(AZ$6&lt;=$H66,AZ$6+6&gt;=$G66),1,"")</x:f>
      </x:c>
      <x:c r="BA66" s="167" t="str">
        <x:f>IF(AND(BA$6&lt;=$H66,BA$6+6&gt;=$G66),1,"")</x:f>
      </x:c>
      <x:c r="BB66" s="167" t="str">
        <x:f>IF(AND(BB$6&lt;=$H66,BB$6+6&gt;=$G66),1,"")</x:f>
      </x:c>
      <x:c r="BC66" s="167" t="str">
        <x:f>IF(AND(BC$6&lt;=$H66,BC$6+6&gt;=$G66),1,"")</x:f>
      </x:c>
      <x:c r="BD66" s="167" t="str">
        <x:f>IF(AND(BD$6&lt;=$H66,BD$6+6&gt;=$G66),1,"")</x:f>
      </x:c>
      <x:c r="BE66" s="167" t="str">
        <x:f>IF(AND(BE$6&lt;=$H66,BE$6+6&gt;=$G66),1,"")</x:f>
      </x:c>
      <x:c r="BF66" s="167" t="str">
        <x:f>IF(AND(BF$6&lt;=$H66,BF$6+6&gt;=$G66),1,"")</x:f>
      </x:c>
      <x:c r="BG66" s="167" t="str">
        <x:f>IF(AND(BG$6&lt;=$H66,BG$6+6&gt;=$G66),1,"")</x:f>
      </x:c>
      <x:c r="BH66" s="167" t="str">
        <x:f>IF(AND(BH$6&lt;=$H66,BH$6+6&gt;=$G66),1,"")</x:f>
      </x:c>
      <x:c r="BI66" s="167" t="str">
        <x:f>IF(AND(BI$6&lt;=$H66,BI$6+6&gt;=$G66),1,"")</x:f>
      </x:c>
      <x:c r="BJ66" s="167" t="str">
        <x:f>IF(AND(BJ$6&lt;=$H66,BJ$6+6&gt;=$G66),1,"")</x:f>
      </x:c>
      <x:c r="BK66" s="167" t="str">
        <x:f>IF(AND(BK$6&lt;=$H66,BK$6+6&gt;=$G66),1,"")</x:f>
      </x:c>
      <x:c r="BL66" s="167" t="str">
        <x:f>IF(AND(BL$6&lt;=$H66,BL$6+6&gt;=$G66),1,"")</x:f>
      </x:c>
      <x:c r="BM66" s="167" t="str">
        <x:f>IF(AND(BM$6&lt;=$H66,BM$6+6&gt;=$G66),1,"")</x:f>
      </x:c>
      <x:c r="BN66" s="167" t="str">
        <x:f>IF(AND(BN$6&lt;=$H66,BN$6+6&gt;=$G66),1,"")</x:f>
      </x:c>
      <x:c r="BO66" s="168" t="str">
        <x:f>IF(AND(BO$6&lt;=$H66,BO$6+6&gt;=$G66),1,"")</x:f>
      </x:c>
    </x:row>
    <x:row r="67" ht="24" customHeight="1">
      <x:c r="A67" s="68" t="str">
        <x:f>'Task Register'!A65</x:f>
        <x:v>T-408</x:v>
      </x:c>
      <x:c r="B67" s="68" t="str">
        <x:f>'Task Register'!B65</x:f>
        <x:v>M4</x:v>
      </x:c>
      <x:c r="C67" s="68" t="str">
        <x:f>'Task Register'!C65</x:f>
        <x:v>Research Ops</x:v>
      </x:c>
      <x:c r="D67" s="68" t="str">
        <x:f>'Task Register'!D65</x:f>
        <x:v>Implement synchronized experiment artifact capture</x:v>
      </x:c>
      <x:c r="E67" s="68" t="str">
        <x:f>'Task Register'!E65</x:f>
        <x:v>T-003, T-402, T-405, T-407</x:v>
      </x:c>
      <x:c r="F67" s="68" t="str">
        <x:f>'Task Register'!F65</x:f>
        <x:v>Blocked</x:v>
      </x:c>
      <x:c r="G67" s="94" t="n">
        <x:f>'Task Register'!I65</x:f>
        <x:v>46283</x:v>
      </x:c>
      <x:c r="H67" s="94" t="n">
        <x:f>'Task Register'!J65</x:f>
        <x:v>46286</x:v>
      </x:c>
      <x:c r="I67" s="166" t="str">
        <x:f>IF(AND(I$6&lt;=$H67,I$6+6&gt;=$G67),1,"")</x:f>
      </x:c>
      <x:c r="J67" s="167" t="str">
        <x:f>IF(AND(J$6&lt;=$H67,J$6+6&gt;=$G67),1,"")</x:f>
      </x:c>
      <x:c r="K67" s="167" t="str">
        <x:f>IF(AND(K$6&lt;=$H67,K$6+6&gt;=$G67),1,"")</x:f>
      </x:c>
      <x:c r="L67" s="167" t="str">
        <x:f>IF(AND(L$6&lt;=$H67,L$6+6&gt;=$G67),1,"")</x:f>
      </x:c>
      <x:c r="M67" s="167" t="str">
        <x:f>IF(AND(M$6&lt;=$H67,M$6+6&gt;=$G67),1,"")</x:f>
      </x:c>
      <x:c r="N67" s="167" t="str">
        <x:f>IF(AND(N$6&lt;=$H67,N$6+6&gt;=$G67),1,"")</x:f>
      </x:c>
      <x:c r="O67" s="167" t="n">
        <x:f>IF(AND(O$6&lt;=$H67,O$6+6&gt;=$G67),1,"")</x:f>
        <x:v>1</x:v>
      </x:c>
      <x:c r="P67" s="167" t="n">
        <x:f>IF(AND(P$6&lt;=$H67,P$6+6&gt;=$G67),1,"")</x:f>
        <x:v>1</x:v>
      </x:c>
      <x:c r="Q67" s="167" t="str">
        <x:f>IF(AND(Q$6&lt;=$H67,Q$6+6&gt;=$G67),1,"")</x:f>
      </x:c>
      <x:c r="R67" s="167" t="str">
        <x:f>IF(AND(R$6&lt;=$H67,R$6+6&gt;=$G67),1,"")</x:f>
      </x:c>
      <x:c r="S67" s="167" t="str">
        <x:f>IF(AND(S$6&lt;=$H67,S$6+6&gt;=$G67),1,"")</x:f>
      </x:c>
      <x:c r="T67" s="167" t="str">
        <x:f>IF(AND(T$6&lt;=$H67,T$6+6&gt;=$G67),1,"")</x:f>
      </x:c>
      <x:c r="U67" s="167" t="str">
        <x:f>IF(AND(U$6&lt;=$H67,U$6+6&gt;=$G67),1,"")</x:f>
      </x:c>
      <x:c r="V67" s="167" t="str">
        <x:f>IF(AND(V$6&lt;=$H67,V$6+6&gt;=$G67),1,"")</x:f>
      </x:c>
      <x:c r="W67" s="167" t="str">
        <x:f>IF(AND(W$6&lt;=$H67,W$6+6&gt;=$G67),1,"")</x:f>
      </x:c>
      <x:c r="X67" s="167" t="str">
        <x:f>IF(AND(X$6&lt;=$H67,X$6+6&gt;=$G67),1,"")</x:f>
      </x:c>
      <x:c r="Y67" s="167" t="str">
        <x:f>IF(AND(Y$6&lt;=$H67,Y$6+6&gt;=$G67),1,"")</x:f>
      </x:c>
      <x:c r="Z67" s="167" t="str">
        <x:f>IF(AND(Z$6&lt;=$H67,Z$6+6&gt;=$G67),1,"")</x:f>
      </x:c>
      <x:c r="AA67" s="167" t="str">
        <x:f>IF(AND(AA$6&lt;=$H67,AA$6+6&gt;=$G67),1,"")</x:f>
      </x:c>
      <x:c r="AB67" s="167" t="str">
        <x:f>IF(AND(AB$6&lt;=$H67,AB$6+6&gt;=$G67),1,"")</x:f>
      </x:c>
      <x:c r="AC67" s="167" t="str">
        <x:f>IF(AND(AC$6&lt;=$H67,AC$6+6&gt;=$G67),1,"")</x:f>
      </x:c>
      <x:c r="AD67" s="167" t="str">
        <x:f>IF(AND(AD$6&lt;=$H67,AD$6+6&gt;=$G67),1,"")</x:f>
      </x:c>
      <x:c r="AE67" s="167" t="str">
        <x:f>IF(AND(AE$6&lt;=$H67,AE$6+6&gt;=$G67),1,"")</x:f>
      </x:c>
      <x:c r="AF67" s="167" t="str">
        <x:f>IF(AND(AF$6&lt;=$H67,AF$6+6&gt;=$G67),1,"")</x:f>
      </x:c>
      <x:c r="AG67" s="167" t="str">
        <x:f>IF(AND(AG$6&lt;=$H67,AG$6+6&gt;=$G67),1,"")</x:f>
      </x:c>
      <x:c r="AH67" s="167" t="str">
        <x:f>IF(AND(AH$6&lt;=$H67,AH$6+6&gt;=$G67),1,"")</x:f>
      </x:c>
      <x:c r="AI67" s="167" t="str">
        <x:f>IF(AND(AI$6&lt;=$H67,AI$6+6&gt;=$G67),1,"")</x:f>
      </x:c>
      <x:c r="AJ67" s="167" t="str">
        <x:f>IF(AND(AJ$6&lt;=$H67,AJ$6+6&gt;=$G67),1,"")</x:f>
      </x:c>
      <x:c r="AK67" s="167" t="str">
        <x:f>IF(AND(AK$6&lt;=$H67,AK$6+6&gt;=$G67),1,"")</x:f>
      </x:c>
      <x:c r="AL67" s="167" t="str">
        <x:f>IF(AND(AL$6&lt;=$H67,AL$6+6&gt;=$G67),1,"")</x:f>
      </x:c>
      <x:c r="AM67" s="167" t="str">
        <x:f>IF(AND(AM$6&lt;=$H67,AM$6+6&gt;=$G67),1,"")</x:f>
      </x:c>
      <x:c r="AN67" s="167" t="str">
        <x:f>IF(AND(AN$6&lt;=$H67,AN$6+6&gt;=$G67),1,"")</x:f>
      </x:c>
      <x:c r="AO67" s="167" t="str">
        <x:f>IF(AND(AO$6&lt;=$H67,AO$6+6&gt;=$G67),1,"")</x:f>
      </x:c>
      <x:c r="AP67" s="167" t="str">
        <x:f>IF(AND(AP$6&lt;=$H67,AP$6+6&gt;=$G67),1,"")</x:f>
      </x:c>
      <x:c r="AQ67" s="167" t="str">
        <x:f>IF(AND(AQ$6&lt;=$H67,AQ$6+6&gt;=$G67),1,"")</x:f>
      </x:c>
      <x:c r="AR67" s="167" t="str">
        <x:f>IF(AND(AR$6&lt;=$H67,AR$6+6&gt;=$G67),1,"")</x:f>
      </x:c>
      <x:c r="AS67" s="167" t="str">
        <x:f>IF(AND(AS$6&lt;=$H67,AS$6+6&gt;=$G67),1,"")</x:f>
      </x:c>
      <x:c r="AT67" s="167" t="str">
        <x:f>IF(AND(AT$6&lt;=$H67,AT$6+6&gt;=$G67),1,"")</x:f>
      </x:c>
      <x:c r="AU67" s="167" t="str">
        <x:f>IF(AND(AU$6&lt;=$H67,AU$6+6&gt;=$G67),1,"")</x:f>
      </x:c>
      <x:c r="AV67" s="167" t="str">
        <x:f>IF(AND(AV$6&lt;=$H67,AV$6+6&gt;=$G67),1,"")</x:f>
      </x:c>
      <x:c r="AW67" s="167" t="str">
        <x:f>IF(AND(AW$6&lt;=$H67,AW$6+6&gt;=$G67),1,"")</x:f>
      </x:c>
      <x:c r="AX67" s="167" t="str">
        <x:f>IF(AND(AX$6&lt;=$H67,AX$6+6&gt;=$G67),1,"")</x:f>
      </x:c>
      <x:c r="AY67" s="167" t="str">
        <x:f>IF(AND(AY$6&lt;=$H67,AY$6+6&gt;=$G67),1,"")</x:f>
      </x:c>
      <x:c r="AZ67" s="167" t="str">
        <x:f>IF(AND(AZ$6&lt;=$H67,AZ$6+6&gt;=$G67),1,"")</x:f>
      </x:c>
      <x:c r="BA67" s="167" t="str">
        <x:f>IF(AND(BA$6&lt;=$H67,BA$6+6&gt;=$G67),1,"")</x:f>
      </x:c>
      <x:c r="BB67" s="167" t="str">
        <x:f>IF(AND(BB$6&lt;=$H67,BB$6+6&gt;=$G67),1,"")</x:f>
      </x:c>
      <x:c r="BC67" s="167" t="str">
        <x:f>IF(AND(BC$6&lt;=$H67,BC$6+6&gt;=$G67),1,"")</x:f>
      </x:c>
      <x:c r="BD67" s="167" t="str">
        <x:f>IF(AND(BD$6&lt;=$H67,BD$6+6&gt;=$G67),1,"")</x:f>
      </x:c>
      <x:c r="BE67" s="167" t="str">
        <x:f>IF(AND(BE$6&lt;=$H67,BE$6+6&gt;=$G67),1,"")</x:f>
      </x:c>
      <x:c r="BF67" s="167" t="str">
        <x:f>IF(AND(BF$6&lt;=$H67,BF$6+6&gt;=$G67),1,"")</x:f>
      </x:c>
      <x:c r="BG67" s="167" t="str">
        <x:f>IF(AND(BG$6&lt;=$H67,BG$6+6&gt;=$G67),1,"")</x:f>
      </x:c>
      <x:c r="BH67" s="167" t="str">
        <x:f>IF(AND(BH$6&lt;=$H67,BH$6+6&gt;=$G67),1,"")</x:f>
      </x:c>
      <x:c r="BI67" s="167" t="str">
        <x:f>IF(AND(BI$6&lt;=$H67,BI$6+6&gt;=$G67),1,"")</x:f>
      </x:c>
      <x:c r="BJ67" s="167" t="str">
        <x:f>IF(AND(BJ$6&lt;=$H67,BJ$6+6&gt;=$G67),1,"")</x:f>
      </x:c>
      <x:c r="BK67" s="167" t="str">
        <x:f>IF(AND(BK$6&lt;=$H67,BK$6+6&gt;=$G67),1,"")</x:f>
      </x:c>
      <x:c r="BL67" s="167" t="str">
        <x:f>IF(AND(BL$6&lt;=$H67,BL$6+6&gt;=$G67),1,"")</x:f>
      </x:c>
      <x:c r="BM67" s="167" t="str">
        <x:f>IF(AND(BM$6&lt;=$H67,BM$6+6&gt;=$G67),1,"")</x:f>
      </x:c>
      <x:c r="BN67" s="167" t="str">
        <x:f>IF(AND(BN$6&lt;=$H67,BN$6+6&gt;=$G67),1,"")</x:f>
      </x:c>
      <x:c r="BO67" s="168" t="str">
        <x:f>IF(AND(BO$6&lt;=$H67,BO$6+6&gt;=$G67),1,"")</x:f>
      </x:c>
    </x:row>
    <x:row r="68" ht="24" customHeight="1">
      <x:c r="A68" s="68" t="str">
        <x:f>'Task Register'!A66</x:f>
        <x:v>T-409</x:v>
      </x:c>
      <x:c r="B68" s="68" t="str">
        <x:f>'Task Register'!B66</x:f>
        <x:v>M4</x:v>
      </x:c>
      <x:c r="C68" s="68" t="str">
        <x:f>'Task Register'!C66</x:f>
        <x:v>Validation</x:v>
      </x:c>
      <x:c r="D68" s="68" t="str">
        <x:f>'Task Register'!D66</x:f>
        <x:v>Add contract and synchronization tests</x:v>
      </x:c>
      <x:c r="E68" s="68" t="str">
        <x:f>'Task Register'!E66</x:f>
        <x:v>T-403, T-405, T-406, T-407, T-408</x:v>
      </x:c>
      <x:c r="F68" s="68" t="str">
        <x:f>'Task Register'!F66</x:f>
        <x:v>Blocked</x:v>
      </x:c>
      <x:c r="G68" s="94" t="n">
        <x:f>'Task Register'!I66</x:f>
        <x:v>46287</x:v>
      </x:c>
      <x:c r="H68" s="94" t="n">
        <x:f>'Task Register'!J66</x:f>
        <x:v>46288</x:v>
      </x:c>
      <x:c r="I68" s="166" t="str">
        <x:f>IF(AND(I$6&lt;=$H68,I$6+6&gt;=$G68),1,"")</x:f>
      </x:c>
      <x:c r="J68" s="167" t="str">
        <x:f>IF(AND(J$6&lt;=$H68,J$6+6&gt;=$G68),1,"")</x:f>
      </x:c>
      <x:c r="K68" s="167" t="str">
        <x:f>IF(AND(K$6&lt;=$H68,K$6+6&gt;=$G68),1,"")</x:f>
      </x:c>
      <x:c r="L68" s="167" t="str">
        <x:f>IF(AND(L$6&lt;=$H68,L$6+6&gt;=$G68),1,"")</x:f>
      </x:c>
      <x:c r="M68" s="167" t="str">
        <x:f>IF(AND(M$6&lt;=$H68,M$6+6&gt;=$G68),1,"")</x:f>
      </x:c>
      <x:c r="N68" s="167" t="str">
        <x:f>IF(AND(N$6&lt;=$H68,N$6+6&gt;=$G68),1,"")</x:f>
      </x:c>
      <x:c r="O68" s="167" t="str">
        <x:f>IF(AND(O$6&lt;=$H68,O$6+6&gt;=$G68),1,"")</x:f>
      </x:c>
      <x:c r="P68" s="167" t="n">
        <x:f>IF(AND(P$6&lt;=$H68,P$6+6&gt;=$G68),1,"")</x:f>
        <x:v>1</x:v>
      </x:c>
      <x:c r="Q68" s="167" t="str">
        <x:f>IF(AND(Q$6&lt;=$H68,Q$6+6&gt;=$G68),1,"")</x:f>
      </x:c>
      <x:c r="R68" s="167" t="str">
        <x:f>IF(AND(R$6&lt;=$H68,R$6+6&gt;=$G68),1,"")</x:f>
      </x:c>
      <x:c r="S68" s="167" t="str">
        <x:f>IF(AND(S$6&lt;=$H68,S$6+6&gt;=$G68),1,"")</x:f>
      </x:c>
      <x:c r="T68" s="167" t="str">
        <x:f>IF(AND(T$6&lt;=$H68,T$6+6&gt;=$G68),1,"")</x:f>
      </x:c>
      <x:c r="U68" s="167" t="str">
        <x:f>IF(AND(U$6&lt;=$H68,U$6+6&gt;=$G68),1,"")</x:f>
      </x:c>
      <x:c r="V68" s="167" t="str">
        <x:f>IF(AND(V$6&lt;=$H68,V$6+6&gt;=$G68),1,"")</x:f>
      </x:c>
      <x:c r="W68" s="167" t="str">
        <x:f>IF(AND(W$6&lt;=$H68,W$6+6&gt;=$G68),1,"")</x:f>
      </x:c>
      <x:c r="X68" s="167" t="str">
        <x:f>IF(AND(X$6&lt;=$H68,X$6+6&gt;=$G68),1,"")</x:f>
      </x:c>
      <x:c r="Y68" s="167" t="str">
        <x:f>IF(AND(Y$6&lt;=$H68,Y$6+6&gt;=$G68),1,"")</x:f>
      </x:c>
      <x:c r="Z68" s="167" t="str">
        <x:f>IF(AND(Z$6&lt;=$H68,Z$6+6&gt;=$G68),1,"")</x:f>
      </x:c>
      <x:c r="AA68" s="167" t="str">
        <x:f>IF(AND(AA$6&lt;=$H68,AA$6+6&gt;=$G68),1,"")</x:f>
      </x:c>
      <x:c r="AB68" s="167" t="str">
        <x:f>IF(AND(AB$6&lt;=$H68,AB$6+6&gt;=$G68),1,"")</x:f>
      </x:c>
      <x:c r="AC68" s="167" t="str">
        <x:f>IF(AND(AC$6&lt;=$H68,AC$6+6&gt;=$G68),1,"")</x:f>
      </x:c>
      <x:c r="AD68" s="167" t="str">
        <x:f>IF(AND(AD$6&lt;=$H68,AD$6+6&gt;=$G68),1,"")</x:f>
      </x:c>
      <x:c r="AE68" s="167" t="str">
        <x:f>IF(AND(AE$6&lt;=$H68,AE$6+6&gt;=$G68),1,"")</x:f>
      </x:c>
      <x:c r="AF68" s="167" t="str">
        <x:f>IF(AND(AF$6&lt;=$H68,AF$6+6&gt;=$G68),1,"")</x:f>
      </x:c>
      <x:c r="AG68" s="167" t="str">
        <x:f>IF(AND(AG$6&lt;=$H68,AG$6+6&gt;=$G68),1,"")</x:f>
      </x:c>
      <x:c r="AH68" s="167" t="str">
        <x:f>IF(AND(AH$6&lt;=$H68,AH$6+6&gt;=$G68),1,"")</x:f>
      </x:c>
      <x:c r="AI68" s="167" t="str">
        <x:f>IF(AND(AI$6&lt;=$H68,AI$6+6&gt;=$G68),1,"")</x:f>
      </x:c>
      <x:c r="AJ68" s="167" t="str">
        <x:f>IF(AND(AJ$6&lt;=$H68,AJ$6+6&gt;=$G68),1,"")</x:f>
      </x:c>
      <x:c r="AK68" s="167" t="str">
        <x:f>IF(AND(AK$6&lt;=$H68,AK$6+6&gt;=$G68),1,"")</x:f>
      </x:c>
      <x:c r="AL68" s="167" t="str">
        <x:f>IF(AND(AL$6&lt;=$H68,AL$6+6&gt;=$G68),1,"")</x:f>
      </x:c>
      <x:c r="AM68" s="167" t="str">
        <x:f>IF(AND(AM$6&lt;=$H68,AM$6+6&gt;=$G68),1,"")</x:f>
      </x:c>
      <x:c r="AN68" s="167" t="str">
        <x:f>IF(AND(AN$6&lt;=$H68,AN$6+6&gt;=$G68),1,"")</x:f>
      </x:c>
      <x:c r="AO68" s="167" t="str">
        <x:f>IF(AND(AO$6&lt;=$H68,AO$6+6&gt;=$G68),1,"")</x:f>
      </x:c>
      <x:c r="AP68" s="167" t="str">
        <x:f>IF(AND(AP$6&lt;=$H68,AP$6+6&gt;=$G68),1,"")</x:f>
      </x:c>
      <x:c r="AQ68" s="167" t="str">
        <x:f>IF(AND(AQ$6&lt;=$H68,AQ$6+6&gt;=$G68),1,"")</x:f>
      </x:c>
      <x:c r="AR68" s="167" t="str">
        <x:f>IF(AND(AR$6&lt;=$H68,AR$6+6&gt;=$G68),1,"")</x:f>
      </x:c>
      <x:c r="AS68" s="167" t="str">
        <x:f>IF(AND(AS$6&lt;=$H68,AS$6+6&gt;=$G68),1,"")</x:f>
      </x:c>
      <x:c r="AT68" s="167" t="str">
        <x:f>IF(AND(AT$6&lt;=$H68,AT$6+6&gt;=$G68),1,"")</x:f>
      </x:c>
      <x:c r="AU68" s="167" t="str">
        <x:f>IF(AND(AU$6&lt;=$H68,AU$6+6&gt;=$G68),1,"")</x:f>
      </x:c>
      <x:c r="AV68" s="167" t="str">
        <x:f>IF(AND(AV$6&lt;=$H68,AV$6+6&gt;=$G68),1,"")</x:f>
      </x:c>
      <x:c r="AW68" s="167" t="str">
        <x:f>IF(AND(AW$6&lt;=$H68,AW$6+6&gt;=$G68),1,"")</x:f>
      </x:c>
      <x:c r="AX68" s="167" t="str">
        <x:f>IF(AND(AX$6&lt;=$H68,AX$6+6&gt;=$G68),1,"")</x:f>
      </x:c>
      <x:c r="AY68" s="167" t="str">
        <x:f>IF(AND(AY$6&lt;=$H68,AY$6+6&gt;=$G68),1,"")</x:f>
      </x:c>
      <x:c r="AZ68" s="167" t="str">
        <x:f>IF(AND(AZ$6&lt;=$H68,AZ$6+6&gt;=$G68),1,"")</x:f>
      </x:c>
      <x:c r="BA68" s="167" t="str">
        <x:f>IF(AND(BA$6&lt;=$H68,BA$6+6&gt;=$G68),1,"")</x:f>
      </x:c>
      <x:c r="BB68" s="167" t="str">
        <x:f>IF(AND(BB$6&lt;=$H68,BB$6+6&gt;=$G68),1,"")</x:f>
      </x:c>
      <x:c r="BC68" s="167" t="str">
        <x:f>IF(AND(BC$6&lt;=$H68,BC$6+6&gt;=$G68),1,"")</x:f>
      </x:c>
      <x:c r="BD68" s="167" t="str">
        <x:f>IF(AND(BD$6&lt;=$H68,BD$6+6&gt;=$G68),1,"")</x:f>
      </x:c>
      <x:c r="BE68" s="167" t="str">
        <x:f>IF(AND(BE$6&lt;=$H68,BE$6+6&gt;=$G68),1,"")</x:f>
      </x:c>
      <x:c r="BF68" s="167" t="str">
        <x:f>IF(AND(BF$6&lt;=$H68,BF$6+6&gt;=$G68),1,"")</x:f>
      </x:c>
      <x:c r="BG68" s="167" t="str">
        <x:f>IF(AND(BG$6&lt;=$H68,BG$6+6&gt;=$G68),1,"")</x:f>
      </x:c>
      <x:c r="BH68" s="167" t="str">
        <x:f>IF(AND(BH$6&lt;=$H68,BH$6+6&gt;=$G68),1,"")</x:f>
      </x:c>
      <x:c r="BI68" s="167" t="str">
        <x:f>IF(AND(BI$6&lt;=$H68,BI$6+6&gt;=$G68),1,"")</x:f>
      </x:c>
      <x:c r="BJ68" s="167" t="str">
        <x:f>IF(AND(BJ$6&lt;=$H68,BJ$6+6&gt;=$G68),1,"")</x:f>
      </x:c>
      <x:c r="BK68" s="167" t="str">
        <x:f>IF(AND(BK$6&lt;=$H68,BK$6+6&gt;=$G68),1,"")</x:f>
      </x:c>
      <x:c r="BL68" s="167" t="str">
        <x:f>IF(AND(BL$6&lt;=$H68,BL$6+6&gt;=$G68),1,"")</x:f>
      </x:c>
      <x:c r="BM68" s="167" t="str">
        <x:f>IF(AND(BM$6&lt;=$H68,BM$6+6&gt;=$G68),1,"")</x:f>
      </x:c>
      <x:c r="BN68" s="167" t="str">
        <x:f>IF(AND(BN$6&lt;=$H68,BN$6+6&gt;=$G68),1,"")</x:f>
      </x:c>
      <x:c r="BO68" s="168" t="str">
        <x:f>IF(AND(BO$6&lt;=$H68,BO$6+6&gt;=$G68),1,"")</x:f>
      </x:c>
    </x:row>
    <x:row r="69" ht="24" customHeight="1">
      <x:c r="A69" s="68" t="str">
        <x:f>'Task Register'!A67</x:f>
        <x:v>T-411</x:v>
      </x:c>
      <x:c r="B69" s="68" t="str">
        <x:f>'Task Register'!B67</x:f>
        <x:v>M4</x:v>
      </x:c>
      <x:c r="C69" s="68" t="str">
        <x:f>'Task Register'!C67</x:f>
        <x:v>Web/Manual Validation</x:v>
      </x:c>
      <x:c r="D69" s="68" t="str">
        <x:f>'Task Register'!D67</x:f>
        <x:v>Validate responsiveness and visual legibility</x:v>
      </x:c>
      <x:c r="E69" s="68" t="str">
        <x:f>'Task Register'!E67</x:f>
        <x:v>T-404, T-405, T-406, T-407</x:v>
      </x:c>
      <x:c r="F69" s="68" t="str">
        <x:f>'Task Register'!F67</x:f>
        <x:v>Blocked</x:v>
      </x:c>
      <x:c r="G69" s="94" t="n">
        <x:f>'Task Register'!I67</x:f>
        <x:v>46289</x:v>
      </x:c>
      <x:c r="H69" s="94" t="n">
        <x:f>'Task Register'!J67</x:f>
        <x:v>46289</x:v>
      </x:c>
      <x:c r="I69" s="166" t="str">
        <x:f>IF(AND(I$6&lt;=$H69,I$6+6&gt;=$G69),1,"")</x:f>
      </x:c>
      <x:c r="J69" s="167" t="str">
        <x:f>IF(AND(J$6&lt;=$H69,J$6+6&gt;=$G69),1,"")</x:f>
      </x:c>
      <x:c r="K69" s="167" t="str">
        <x:f>IF(AND(K$6&lt;=$H69,K$6+6&gt;=$G69),1,"")</x:f>
      </x:c>
      <x:c r="L69" s="167" t="str">
        <x:f>IF(AND(L$6&lt;=$H69,L$6+6&gt;=$G69),1,"")</x:f>
      </x:c>
      <x:c r="M69" s="167" t="str">
        <x:f>IF(AND(M$6&lt;=$H69,M$6+6&gt;=$G69),1,"")</x:f>
      </x:c>
      <x:c r="N69" s="167" t="str">
        <x:f>IF(AND(N$6&lt;=$H69,N$6+6&gt;=$G69),1,"")</x:f>
      </x:c>
      <x:c r="O69" s="167" t="str">
        <x:f>IF(AND(O$6&lt;=$H69,O$6+6&gt;=$G69),1,"")</x:f>
      </x:c>
      <x:c r="P69" s="167" t="n">
        <x:f>IF(AND(P$6&lt;=$H69,P$6+6&gt;=$G69),1,"")</x:f>
        <x:v>1</x:v>
      </x:c>
      <x:c r="Q69" s="167" t="str">
        <x:f>IF(AND(Q$6&lt;=$H69,Q$6+6&gt;=$G69),1,"")</x:f>
      </x:c>
      <x:c r="R69" s="167" t="str">
        <x:f>IF(AND(R$6&lt;=$H69,R$6+6&gt;=$G69),1,"")</x:f>
      </x:c>
      <x:c r="S69" s="167" t="str">
        <x:f>IF(AND(S$6&lt;=$H69,S$6+6&gt;=$G69),1,"")</x:f>
      </x:c>
      <x:c r="T69" s="167" t="str">
        <x:f>IF(AND(T$6&lt;=$H69,T$6+6&gt;=$G69),1,"")</x:f>
      </x:c>
      <x:c r="U69" s="167" t="str">
        <x:f>IF(AND(U$6&lt;=$H69,U$6+6&gt;=$G69),1,"")</x:f>
      </x:c>
      <x:c r="V69" s="167" t="str">
        <x:f>IF(AND(V$6&lt;=$H69,V$6+6&gt;=$G69),1,"")</x:f>
      </x:c>
      <x:c r="W69" s="167" t="str">
        <x:f>IF(AND(W$6&lt;=$H69,W$6+6&gt;=$G69),1,"")</x:f>
      </x:c>
      <x:c r="X69" s="167" t="str">
        <x:f>IF(AND(X$6&lt;=$H69,X$6+6&gt;=$G69),1,"")</x:f>
      </x:c>
      <x:c r="Y69" s="167" t="str">
        <x:f>IF(AND(Y$6&lt;=$H69,Y$6+6&gt;=$G69),1,"")</x:f>
      </x:c>
      <x:c r="Z69" s="167" t="str">
        <x:f>IF(AND(Z$6&lt;=$H69,Z$6+6&gt;=$G69),1,"")</x:f>
      </x:c>
      <x:c r="AA69" s="167" t="str">
        <x:f>IF(AND(AA$6&lt;=$H69,AA$6+6&gt;=$G69),1,"")</x:f>
      </x:c>
      <x:c r="AB69" s="167" t="str">
        <x:f>IF(AND(AB$6&lt;=$H69,AB$6+6&gt;=$G69),1,"")</x:f>
      </x:c>
      <x:c r="AC69" s="167" t="str">
        <x:f>IF(AND(AC$6&lt;=$H69,AC$6+6&gt;=$G69),1,"")</x:f>
      </x:c>
      <x:c r="AD69" s="167" t="str">
        <x:f>IF(AND(AD$6&lt;=$H69,AD$6+6&gt;=$G69),1,"")</x:f>
      </x:c>
      <x:c r="AE69" s="167" t="str">
        <x:f>IF(AND(AE$6&lt;=$H69,AE$6+6&gt;=$G69),1,"")</x:f>
      </x:c>
      <x:c r="AF69" s="167" t="str">
        <x:f>IF(AND(AF$6&lt;=$H69,AF$6+6&gt;=$G69),1,"")</x:f>
      </x:c>
      <x:c r="AG69" s="167" t="str">
        <x:f>IF(AND(AG$6&lt;=$H69,AG$6+6&gt;=$G69),1,"")</x:f>
      </x:c>
      <x:c r="AH69" s="167" t="str">
        <x:f>IF(AND(AH$6&lt;=$H69,AH$6+6&gt;=$G69),1,"")</x:f>
      </x:c>
      <x:c r="AI69" s="167" t="str">
        <x:f>IF(AND(AI$6&lt;=$H69,AI$6+6&gt;=$G69),1,"")</x:f>
      </x:c>
      <x:c r="AJ69" s="167" t="str">
        <x:f>IF(AND(AJ$6&lt;=$H69,AJ$6+6&gt;=$G69),1,"")</x:f>
      </x:c>
      <x:c r="AK69" s="167" t="str">
        <x:f>IF(AND(AK$6&lt;=$H69,AK$6+6&gt;=$G69),1,"")</x:f>
      </x:c>
      <x:c r="AL69" s="167" t="str">
        <x:f>IF(AND(AL$6&lt;=$H69,AL$6+6&gt;=$G69),1,"")</x:f>
      </x:c>
      <x:c r="AM69" s="167" t="str">
        <x:f>IF(AND(AM$6&lt;=$H69,AM$6+6&gt;=$G69),1,"")</x:f>
      </x:c>
      <x:c r="AN69" s="167" t="str">
        <x:f>IF(AND(AN$6&lt;=$H69,AN$6+6&gt;=$G69),1,"")</x:f>
      </x:c>
      <x:c r="AO69" s="167" t="str">
        <x:f>IF(AND(AO$6&lt;=$H69,AO$6+6&gt;=$G69),1,"")</x:f>
      </x:c>
      <x:c r="AP69" s="167" t="str">
        <x:f>IF(AND(AP$6&lt;=$H69,AP$6+6&gt;=$G69),1,"")</x:f>
      </x:c>
      <x:c r="AQ69" s="167" t="str">
        <x:f>IF(AND(AQ$6&lt;=$H69,AQ$6+6&gt;=$G69),1,"")</x:f>
      </x:c>
      <x:c r="AR69" s="167" t="str">
        <x:f>IF(AND(AR$6&lt;=$H69,AR$6+6&gt;=$G69),1,"")</x:f>
      </x:c>
      <x:c r="AS69" s="167" t="str">
        <x:f>IF(AND(AS$6&lt;=$H69,AS$6+6&gt;=$G69),1,"")</x:f>
      </x:c>
      <x:c r="AT69" s="167" t="str">
        <x:f>IF(AND(AT$6&lt;=$H69,AT$6+6&gt;=$G69),1,"")</x:f>
      </x:c>
      <x:c r="AU69" s="167" t="str">
        <x:f>IF(AND(AU$6&lt;=$H69,AU$6+6&gt;=$G69),1,"")</x:f>
      </x:c>
      <x:c r="AV69" s="167" t="str">
        <x:f>IF(AND(AV$6&lt;=$H69,AV$6+6&gt;=$G69),1,"")</x:f>
      </x:c>
      <x:c r="AW69" s="167" t="str">
        <x:f>IF(AND(AW$6&lt;=$H69,AW$6+6&gt;=$G69),1,"")</x:f>
      </x:c>
      <x:c r="AX69" s="167" t="str">
        <x:f>IF(AND(AX$6&lt;=$H69,AX$6+6&gt;=$G69),1,"")</x:f>
      </x:c>
      <x:c r="AY69" s="167" t="str">
        <x:f>IF(AND(AY$6&lt;=$H69,AY$6+6&gt;=$G69),1,"")</x:f>
      </x:c>
      <x:c r="AZ69" s="167" t="str">
        <x:f>IF(AND(AZ$6&lt;=$H69,AZ$6+6&gt;=$G69),1,"")</x:f>
      </x:c>
      <x:c r="BA69" s="167" t="str">
        <x:f>IF(AND(BA$6&lt;=$H69,BA$6+6&gt;=$G69),1,"")</x:f>
      </x:c>
      <x:c r="BB69" s="167" t="str">
        <x:f>IF(AND(BB$6&lt;=$H69,BB$6+6&gt;=$G69),1,"")</x:f>
      </x:c>
      <x:c r="BC69" s="167" t="str">
        <x:f>IF(AND(BC$6&lt;=$H69,BC$6+6&gt;=$G69),1,"")</x:f>
      </x:c>
      <x:c r="BD69" s="167" t="str">
        <x:f>IF(AND(BD$6&lt;=$H69,BD$6+6&gt;=$G69),1,"")</x:f>
      </x:c>
      <x:c r="BE69" s="167" t="str">
        <x:f>IF(AND(BE$6&lt;=$H69,BE$6+6&gt;=$G69),1,"")</x:f>
      </x:c>
      <x:c r="BF69" s="167" t="str">
        <x:f>IF(AND(BF$6&lt;=$H69,BF$6+6&gt;=$G69),1,"")</x:f>
      </x:c>
      <x:c r="BG69" s="167" t="str">
        <x:f>IF(AND(BG$6&lt;=$H69,BG$6+6&gt;=$G69),1,"")</x:f>
      </x:c>
      <x:c r="BH69" s="167" t="str">
        <x:f>IF(AND(BH$6&lt;=$H69,BH$6+6&gt;=$G69),1,"")</x:f>
      </x:c>
      <x:c r="BI69" s="167" t="str">
        <x:f>IF(AND(BI$6&lt;=$H69,BI$6+6&gt;=$G69),1,"")</x:f>
      </x:c>
      <x:c r="BJ69" s="167" t="str">
        <x:f>IF(AND(BJ$6&lt;=$H69,BJ$6+6&gt;=$G69),1,"")</x:f>
      </x:c>
      <x:c r="BK69" s="167" t="str">
        <x:f>IF(AND(BK$6&lt;=$H69,BK$6+6&gt;=$G69),1,"")</x:f>
      </x:c>
      <x:c r="BL69" s="167" t="str">
        <x:f>IF(AND(BL$6&lt;=$H69,BL$6+6&gt;=$G69),1,"")</x:f>
      </x:c>
      <x:c r="BM69" s="167" t="str">
        <x:f>IF(AND(BM$6&lt;=$H69,BM$6+6&gt;=$G69),1,"")</x:f>
      </x:c>
      <x:c r="BN69" s="167" t="str">
        <x:f>IF(AND(BN$6&lt;=$H69,BN$6+6&gt;=$G69),1,"")</x:f>
      </x:c>
      <x:c r="BO69" s="168" t="str">
        <x:f>IF(AND(BO$6&lt;=$H69,BO$6+6&gt;=$G69),1,"")</x:f>
      </x:c>
    </x:row>
    <x:row r="70" ht="24" customHeight="1">
      <x:c r="A70" s="68" t="str">
        <x:f>'Task Register'!A68</x:f>
        <x:v>T-410</x:v>
      </x:c>
      <x:c r="B70" s="68" t="str">
        <x:f>'Task Register'!B68</x:f>
        <x:v>M4</x:v>
      </x:c>
      <x:c r="C70" s="68" t="str">
        <x:f>'Task Register'!C68</x:f>
        <x:v>Validation/Simulation</x:v>
      </x:c>
      <x:c r="D70" s="68" t="str">
        <x:f>'Task Register'!D68</x:f>
        <x:v>Capture native/MuJoCo parity artifacts</x:v>
      </x:c>
      <x:c r="E70" s="68" t="str">
        <x:f>'Task Register'!E68</x:f>
        <x:v>T-309, T-404, T-405, T-408</x:v>
      </x:c>
      <x:c r="F70" s="68" t="str">
        <x:f>'Task Register'!F68</x:f>
        <x:v>Blocked</x:v>
      </x:c>
      <x:c r="G70" s="94" t="n">
        <x:f>'Task Register'!I68</x:f>
        <x:v>46307</x:v>
      </x:c>
      <x:c r="H70" s="94" t="n">
        <x:f>'Task Register'!J68</x:f>
        <x:v>46308</x:v>
      </x:c>
      <x:c r="I70" s="166" t="str">
        <x:f>IF(AND(I$6&lt;=$H70,I$6+6&gt;=$G70),1,"")</x:f>
      </x:c>
      <x:c r="J70" s="167" t="str">
        <x:f>IF(AND(J$6&lt;=$H70,J$6+6&gt;=$G70),1,"")</x:f>
      </x:c>
      <x:c r="K70" s="167" t="str">
        <x:f>IF(AND(K$6&lt;=$H70,K$6+6&gt;=$G70),1,"")</x:f>
      </x:c>
      <x:c r="L70" s="167" t="str">
        <x:f>IF(AND(L$6&lt;=$H70,L$6+6&gt;=$G70),1,"")</x:f>
      </x:c>
      <x:c r="M70" s="167" t="str">
        <x:f>IF(AND(M$6&lt;=$H70,M$6+6&gt;=$G70),1,"")</x:f>
      </x:c>
      <x:c r="N70" s="167" t="str">
        <x:f>IF(AND(N$6&lt;=$H70,N$6+6&gt;=$G70),1,"")</x:f>
      </x:c>
      <x:c r="O70" s="167" t="str">
        <x:f>IF(AND(O$6&lt;=$H70,O$6+6&gt;=$G70),1,"")</x:f>
      </x:c>
      <x:c r="P70" s="167" t="str">
        <x:f>IF(AND(P$6&lt;=$H70,P$6+6&gt;=$G70),1,"")</x:f>
      </x:c>
      <x:c r="Q70" s="167" t="str">
        <x:f>IF(AND(Q$6&lt;=$H70,Q$6+6&gt;=$G70),1,"")</x:f>
      </x:c>
      <x:c r="R70" s="167" t="str">
        <x:f>IF(AND(R$6&lt;=$H70,R$6+6&gt;=$G70),1,"")</x:f>
      </x:c>
      <x:c r="S70" s="167" t="n">
        <x:f>IF(AND(S$6&lt;=$H70,S$6+6&gt;=$G70),1,"")</x:f>
        <x:v>1</x:v>
      </x:c>
      <x:c r="T70" s="167" t="str">
        <x:f>IF(AND(T$6&lt;=$H70,T$6+6&gt;=$G70),1,"")</x:f>
      </x:c>
      <x:c r="U70" s="167" t="str">
        <x:f>IF(AND(U$6&lt;=$H70,U$6+6&gt;=$G70),1,"")</x:f>
      </x:c>
      <x:c r="V70" s="167" t="str">
        <x:f>IF(AND(V$6&lt;=$H70,V$6+6&gt;=$G70),1,"")</x:f>
      </x:c>
      <x:c r="W70" s="167" t="str">
        <x:f>IF(AND(W$6&lt;=$H70,W$6+6&gt;=$G70),1,"")</x:f>
      </x:c>
      <x:c r="X70" s="167" t="str">
        <x:f>IF(AND(X$6&lt;=$H70,X$6+6&gt;=$G70),1,"")</x:f>
      </x:c>
      <x:c r="Y70" s="167" t="str">
        <x:f>IF(AND(Y$6&lt;=$H70,Y$6+6&gt;=$G70),1,"")</x:f>
      </x:c>
      <x:c r="Z70" s="167" t="str">
        <x:f>IF(AND(Z$6&lt;=$H70,Z$6+6&gt;=$G70),1,"")</x:f>
      </x:c>
      <x:c r="AA70" s="167" t="str">
        <x:f>IF(AND(AA$6&lt;=$H70,AA$6+6&gt;=$G70),1,"")</x:f>
      </x:c>
      <x:c r="AB70" s="167" t="str">
        <x:f>IF(AND(AB$6&lt;=$H70,AB$6+6&gt;=$G70),1,"")</x:f>
      </x:c>
      <x:c r="AC70" s="167" t="str">
        <x:f>IF(AND(AC$6&lt;=$H70,AC$6+6&gt;=$G70),1,"")</x:f>
      </x:c>
      <x:c r="AD70" s="167" t="str">
        <x:f>IF(AND(AD$6&lt;=$H70,AD$6+6&gt;=$G70),1,"")</x:f>
      </x:c>
      <x:c r="AE70" s="167" t="str">
        <x:f>IF(AND(AE$6&lt;=$H70,AE$6+6&gt;=$G70),1,"")</x:f>
      </x:c>
      <x:c r="AF70" s="167" t="str">
        <x:f>IF(AND(AF$6&lt;=$H70,AF$6+6&gt;=$G70),1,"")</x:f>
      </x:c>
      <x:c r="AG70" s="167" t="str">
        <x:f>IF(AND(AG$6&lt;=$H70,AG$6+6&gt;=$G70),1,"")</x:f>
      </x:c>
      <x:c r="AH70" s="167" t="str">
        <x:f>IF(AND(AH$6&lt;=$H70,AH$6+6&gt;=$G70),1,"")</x:f>
      </x:c>
      <x:c r="AI70" s="167" t="str">
        <x:f>IF(AND(AI$6&lt;=$H70,AI$6+6&gt;=$G70),1,"")</x:f>
      </x:c>
      <x:c r="AJ70" s="167" t="str">
        <x:f>IF(AND(AJ$6&lt;=$H70,AJ$6+6&gt;=$G70),1,"")</x:f>
      </x:c>
      <x:c r="AK70" s="167" t="str">
        <x:f>IF(AND(AK$6&lt;=$H70,AK$6+6&gt;=$G70),1,"")</x:f>
      </x:c>
      <x:c r="AL70" s="167" t="str">
        <x:f>IF(AND(AL$6&lt;=$H70,AL$6+6&gt;=$G70),1,"")</x:f>
      </x:c>
      <x:c r="AM70" s="167" t="str">
        <x:f>IF(AND(AM$6&lt;=$H70,AM$6+6&gt;=$G70),1,"")</x:f>
      </x:c>
      <x:c r="AN70" s="167" t="str">
        <x:f>IF(AND(AN$6&lt;=$H70,AN$6+6&gt;=$G70),1,"")</x:f>
      </x:c>
      <x:c r="AO70" s="167" t="str">
        <x:f>IF(AND(AO$6&lt;=$H70,AO$6+6&gt;=$G70),1,"")</x:f>
      </x:c>
      <x:c r="AP70" s="167" t="str">
        <x:f>IF(AND(AP$6&lt;=$H70,AP$6+6&gt;=$G70),1,"")</x:f>
      </x:c>
      <x:c r="AQ70" s="167" t="str">
        <x:f>IF(AND(AQ$6&lt;=$H70,AQ$6+6&gt;=$G70),1,"")</x:f>
      </x:c>
      <x:c r="AR70" s="167" t="str">
        <x:f>IF(AND(AR$6&lt;=$H70,AR$6+6&gt;=$G70),1,"")</x:f>
      </x:c>
      <x:c r="AS70" s="167" t="str">
        <x:f>IF(AND(AS$6&lt;=$H70,AS$6+6&gt;=$G70),1,"")</x:f>
      </x:c>
      <x:c r="AT70" s="167" t="str">
        <x:f>IF(AND(AT$6&lt;=$H70,AT$6+6&gt;=$G70),1,"")</x:f>
      </x:c>
      <x:c r="AU70" s="167" t="str">
        <x:f>IF(AND(AU$6&lt;=$H70,AU$6+6&gt;=$G70),1,"")</x:f>
      </x:c>
      <x:c r="AV70" s="167" t="str">
        <x:f>IF(AND(AV$6&lt;=$H70,AV$6+6&gt;=$G70),1,"")</x:f>
      </x:c>
      <x:c r="AW70" s="167" t="str">
        <x:f>IF(AND(AW$6&lt;=$H70,AW$6+6&gt;=$G70),1,"")</x:f>
      </x:c>
      <x:c r="AX70" s="167" t="str">
        <x:f>IF(AND(AX$6&lt;=$H70,AX$6+6&gt;=$G70),1,"")</x:f>
      </x:c>
      <x:c r="AY70" s="167" t="str">
        <x:f>IF(AND(AY$6&lt;=$H70,AY$6+6&gt;=$G70),1,"")</x:f>
      </x:c>
      <x:c r="AZ70" s="167" t="str">
        <x:f>IF(AND(AZ$6&lt;=$H70,AZ$6+6&gt;=$G70),1,"")</x:f>
      </x:c>
      <x:c r="BA70" s="167" t="str">
        <x:f>IF(AND(BA$6&lt;=$H70,BA$6+6&gt;=$G70),1,"")</x:f>
      </x:c>
      <x:c r="BB70" s="167" t="str">
        <x:f>IF(AND(BB$6&lt;=$H70,BB$6+6&gt;=$G70),1,"")</x:f>
      </x:c>
      <x:c r="BC70" s="167" t="str">
        <x:f>IF(AND(BC$6&lt;=$H70,BC$6+6&gt;=$G70),1,"")</x:f>
      </x:c>
      <x:c r="BD70" s="167" t="str">
        <x:f>IF(AND(BD$6&lt;=$H70,BD$6+6&gt;=$G70),1,"")</x:f>
      </x:c>
      <x:c r="BE70" s="167" t="str">
        <x:f>IF(AND(BE$6&lt;=$H70,BE$6+6&gt;=$G70),1,"")</x:f>
      </x:c>
      <x:c r="BF70" s="167" t="str">
        <x:f>IF(AND(BF$6&lt;=$H70,BF$6+6&gt;=$G70),1,"")</x:f>
      </x:c>
      <x:c r="BG70" s="167" t="str">
        <x:f>IF(AND(BG$6&lt;=$H70,BG$6+6&gt;=$G70),1,"")</x:f>
      </x:c>
      <x:c r="BH70" s="167" t="str">
        <x:f>IF(AND(BH$6&lt;=$H70,BH$6+6&gt;=$G70),1,"")</x:f>
      </x:c>
      <x:c r="BI70" s="167" t="str">
        <x:f>IF(AND(BI$6&lt;=$H70,BI$6+6&gt;=$G70),1,"")</x:f>
      </x:c>
      <x:c r="BJ70" s="167" t="str">
        <x:f>IF(AND(BJ$6&lt;=$H70,BJ$6+6&gt;=$G70),1,"")</x:f>
      </x:c>
      <x:c r="BK70" s="167" t="str">
        <x:f>IF(AND(BK$6&lt;=$H70,BK$6+6&gt;=$G70),1,"")</x:f>
      </x:c>
      <x:c r="BL70" s="167" t="str">
        <x:f>IF(AND(BL$6&lt;=$H70,BL$6+6&gt;=$G70),1,"")</x:f>
      </x:c>
      <x:c r="BM70" s="167" t="str">
        <x:f>IF(AND(BM$6&lt;=$H70,BM$6+6&gt;=$G70),1,"")</x:f>
      </x:c>
      <x:c r="BN70" s="167" t="str">
        <x:f>IF(AND(BN$6&lt;=$H70,BN$6+6&gt;=$G70),1,"")</x:f>
      </x:c>
      <x:c r="BO70" s="168" t="str">
        <x:f>IF(AND(BO$6&lt;=$H70,BO$6+6&gt;=$G70),1,"")</x:f>
      </x:c>
    </x:row>
    <x:row r="71" ht="24" customHeight="1">
      <x:c r="A71" s="68" t="str">
        <x:f>'Task Register'!A69</x:f>
        <x:v>T-412</x:v>
      </x:c>
      <x:c r="B71" s="68" t="str">
        <x:f>'Task Register'!B69</x:f>
        <x:v>M4</x:v>
      </x:c>
      <x:c r="C71" s="68" t="str">
        <x:f>'Task Register'!C69</x:f>
        <x:v>Validation</x:v>
      </x:c>
      <x:c r="D71" s="68" t="str">
        <x:f>'Task Register'!D69</x:f>
        <x:v>M4 observatory gate</x:v>
      </x:c>
      <x:c r="E71" s="68" t="str">
        <x:f>'Task Register'!E69</x:f>
        <x:v>T-409, T-410, T-411</x:v>
      </x:c>
      <x:c r="F71" s="68" t="str">
        <x:f>'Task Register'!F69</x:f>
        <x:v>Blocked</x:v>
      </x:c>
      <x:c r="G71" s="94" t="n">
        <x:f>'Task Register'!I69</x:f>
        <x:v>46309</x:v>
      </x:c>
      <x:c r="H71" s="94" t="n">
        <x:f>'Task Register'!J69</x:f>
        <x:v>46309</x:v>
      </x:c>
      <x:c r="I71" s="166" t="str">
        <x:f>IF(AND(I$6&lt;=$H71,I$6+6&gt;=$G71),1,"")</x:f>
      </x:c>
      <x:c r="J71" s="167" t="str">
        <x:f>IF(AND(J$6&lt;=$H71,J$6+6&gt;=$G71),1,"")</x:f>
      </x:c>
      <x:c r="K71" s="167" t="str">
        <x:f>IF(AND(K$6&lt;=$H71,K$6+6&gt;=$G71),1,"")</x:f>
      </x:c>
      <x:c r="L71" s="167" t="str">
        <x:f>IF(AND(L$6&lt;=$H71,L$6+6&gt;=$G71),1,"")</x:f>
      </x:c>
      <x:c r="M71" s="167" t="str">
        <x:f>IF(AND(M$6&lt;=$H71,M$6+6&gt;=$G71),1,"")</x:f>
      </x:c>
      <x:c r="N71" s="167" t="str">
        <x:f>IF(AND(N$6&lt;=$H71,N$6+6&gt;=$G71),1,"")</x:f>
      </x:c>
      <x:c r="O71" s="167" t="str">
        <x:f>IF(AND(O$6&lt;=$H71,O$6+6&gt;=$G71),1,"")</x:f>
      </x:c>
      <x:c r="P71" s="167" t="str">
        <x:f>IF(AND(P$6&lt;=$H71,P$6+6&gt;=$G71),1,"")</x:f>
      </x:c>
      <x:c r="Q71" s="167" t="str">
        <x:f>IF(AND(Q$6&lt;=$H71,Q$6+6&gt;=$G71),1,"")</x:f>
      </x:c>
      <x:c r="R71" s="167" t="str">
        <x:f>IF(AND(R$6&lt;=$H71,R$6+6&gt;=$G71),1,"")</x:f>
      </x:c>
      <x:c r="S71" s="167" t="n">
        <x:f>IF(AND(S$6&lt;=$H71,S$6+6&gt;=$G71),1,"")</x:f>
        <x:v>1</x:v>
      </x:c>
      <x:c r="T71" s="167" t="str">
        <x:f>IF(AND(T$6&lt;=$H71,T$6+6&gt;=$G71),1,"")</x:f>
      </x:c>
      <x:c r="U71" s="167" t="str">
        <x:f>IF(AND(U$6&lt;=$H71,U$6+6&gt;=$G71),1,"")</x:f>
      </x:c>
      <x:c r="V71" s="167" t="str">
        <x:f>IF(AND(V$6&lt;=$H71,V$6+6&gt;=$G71),1,"")</x:f>
      </x:c>
      <x:c r="W71" s="167" t="str">
        <x:f>IF(AND(W$6&lt;=$H71,W$6+6&gt;=$G71),1,"")</x:f>
      </x:c>
      <x:c r="X71" s="167" t="str">
        <x:f>IF(AND(X$6&lt;=$H71,X$6+6&gt;=$G71),1,"")</x:f>
      </x:c>
      <x:c r="Y71" s="167" t="str">
        <x:f>IF(AND(Y$6&lt;=$H71,Y$6+6&gt;=$G71),1,"")</x:f>
      </x:c>
      <x:c r="Z71" s="167" t="str">
        <x:f>IF(AND(Z$6&lt;=$H71,Z$6+6&gt;=$G71),1,"")</x:f>
      </x:c>
      <x:c r="AA71" s="167" t="str">
        <x:f>IF(AND(AA$6&lt;=$H71,AA$6+6&gt;=$G71),1,"")</x:f>
      </x:c>
      <x:c r="AB71" s="167" t="str">
        <x:f>IF(AND(AB$6&lt;=$H71,AB$6+6&gt;=$G71),1,"")</x:f>
      </x:c>
      <x:c r="AC71" s="167" t="str">
        <x:f>IF(AND(AC$6&lt;=$H71,AC$6+6&gt;=$G71),1,"")</x:f>
      </x:c>
      <x:c r="AD71" s="167" t="str">
        <x:f>IF(AND(AD$6&lt;=$H71,AD$6+6&gt;=$G71),1,"")</x:f>
      </x:c>
      <x:c r="AE71" s="167" t="str">
        <x:f>IF(AND(AE$6&lt;=$H71,AE$6+6&gt;=$G71),1,"")</x:f>
      </x:c>
      <x:c r="AF71" s="167" t="str">
        <x:f>IF(AND(AF$6&lt;=$H71,AF$6+6&gt;=$G71),1,"")</x:f>
      </x:c>
      <x:c r="AG71" s="167" t="str">
        <x:f>IF(AND(AG$6&lt;=$H71,AG$6+6&gt;=$G71),1,"")</x:f>
      </x:c>
      <x:c r="AH71" s="167" t="str">
        <x:f>IF(AND(AH$6&lt;=$H71,AH$6+6&gt;=$G71),1,"")</x:f>
      </x:c>
      <x:c r="AI71" s="167" t="str">
        <x:f>IF(AND(AI$6&lt;=$H71,AI$6+6&gt;=$G71),1,"")</x:f>
      </x:c>
      <x:c r="AJ71" s="167" t="str">
        <x:f>IF(AND(AJ$6&lt;=$H71,AJ$6+6&gt;=$G71),1,"")</x:f>
      </x:c>
      <x:c r="AK71" s="167" t="str">
        <x:f>IF(AND(AK$6&lt;=$H71,AK$6+6&gt;=$G71),1,"")</x:f>
      </x:c>
      <x:c r="AL71" s="167" t="str">
        <x:f>IF(AND(AL$6&lt;=$H71,AL$6+6&gt;=$G71),1,"")</x:f>
      </x:c>
      <x:c r="AM71" s="167" t="str">
        <x:f>IF(AND(AM$6&lt;=$H71,AM$6+6&gt;=$G71),1,"")</x:f>
      </x:c>
      <x:c r="AN71" s="167" t="str">
        <x:f>IF(AND(AN$6&lt;=$H71,AN$6+6&gt;=$G71),1,"")</x:f>
      </x:c>
      <x:c r="AO71" s="167" t="str">
        <x:f>IF(AND(AO$6&lt;=$H71,AO$6+6&gt;=$G71),1,"")</x:f>
      </x:c>
      <x:c r="AP71" s="167" t="str">
        <x:f>IF(AND(AP$6&lt;=$H71,AP$6+6&gt;=$G71),1,"")</x:f>
      </x:c>
      <x:c r="AQ71" s="167" t="str">
        <x:f>IF(AND(AQ$6&lt;=$H71,AQ$6+6&gt;=$G71),1,"")</x:f>
      </x:c>
      <x:c r="AR71" s="167" t="str">
        <x:f>IF(AND(AR$6&lt;=$H71,AR$6+6&gt;=$G71),1,"")</x:f>
      </x:c>
      <x:c r="AS71" s="167" t="str">
        <x:f>IF(AND(AS$6&lt;=$H71,AS$6+6&gt;=$G71),1,"")</x:f>
      </x:c>
      <x:c r="AT71" s="167" t="str">
        <x:f>IF(AND(AT$6&lt;=$H71,AT$6+6&gt;=$G71),1,"")</x:f>
      </x:c>
      <x:c r="AU71" s="167" t="str">
        <x:f>IF(AND(AU$6&lt;=$H71,AU$6+6&gt;=$G71),1,"")</x:f>
      </x:c>
      <x:c r="AV71" s="167" t="str">
        <x:f>IF(AND(AV$6&lt;=$H71,AV$6+6&gt;=$G71),1,"")</x:f>
      </x:c>
      <x:c r="AW71" s="167" t="str">
        <x:f>IF(AND(AW$6&lt;=$H71,AW$6+6&gt;=$G71),1,"")</x:f>
      </x:c>
      <x:c r="AX71" s="167" t="str">
        <x:f>IF(AND(AX$6&lt;=$H71,AX$6+6&gt;=$G71),1,"")</x:f>
      </x:c>
      <x:c r="AY71" s="167" t="str">
        <x:f>IF(AND(AY$6&lt;=$H71,AY$6+6&gt;=$G71),1,"")</x:f>
      </x:c>
      <x:c r="AZ71" s="167" t="str">
        <x:f>IF(AND(AZ$6&lt;=$H71,AZ$6+6&gt;=$G71),1,"")</x:f>
      </x:c>
      <x:c r="BA71" s="167" t="str">
        <x:f>IF(AND(BA$6&lt;=$H71,BA$6+6&gt;=$G71),1,"")</x:f>
      </x:c>
      <x:c r="BB71" s="167" t="str">
        <x:f>IF(AND(BB$6&lt;=$H71,BB$6+6&gt;=$G71),1,"")</x:f>
      </x:c>
      <x:c r="BC71" s="167" t="str">
        <x:f>IF(AND(BC$6&lt;=$H71,BC$6+6&gt;=$G71),1,"")</x:f>
      </x:c>
      <x:c r="BD71" s="167" t="str">
        <x:f>IF(AND(BD$6&lt;=$H71,BD$6+6&gt;=$G71),1,"")</x:f>
      </x:c>
      <x:c r="BE71" s="167" t="str">
        <x:f>IF(AND(BE$6&lt;=$H71,BE$6+6&gt;=$G71),1,"")</x:f>
      </x:c>
      <x:c r="BF71" s="167" t="str">
        <x:f>IF(AND(BF$6&lt;=$H71,BF$6+6&gt;=$G71),1,"")</x:f>
      </x:c>
      <x:c r="BG71" s="167" t="str">
        <x:f>IF(AND(BG$6&lt;=$H71,BG$6+6&gt;=$G71),1,"")</x:f>
      </x:c>
      <x:c r="BH71" s="167" t="str">
        <x:f>IF(AND(BH$6&lt;=$H71,BH$6+6&gt;=$G71),1,"")</x:f>
      </x:c>
      <x:c r="BI71" s="167" t="str">
        <x:f>IF(AND(BI$6&lt;=$H71,BI$6+6&gt;=$G71),1,"")</x:f>
      </x:c>
      <x:c r="BJ71" s="167" t="str">
        <x:f>IF(AND(BJ$6&lt;=$H71,BJ$6+6&gt;=$G71),1,"")</x:f>
      </x:c>
      <x:c r="BK71" s="167" t="str">
        <x:f>IF(AND(BK$6&lt;=$H71,BK$6+6&gt;=$G71),1,"")</x:f>
      </x:c>
      <x:c r="BL71" s="167" t="str">
        <x:f>IF(AND(BL$6&lt;=$H71,BL$6+6&gt;=$G71),1,"")</x:f>
      </x:c>
      <x:c r="BM71" s="167" t="str">
        <x:f>IF(AND(BM$6&lt;=$H71,BM$6+6&gt;=$G71),1,"")</x:f>
      </x:c>
      <x:c r="BN71" s="167" t="str">
        <x:f>IF(AND(BN$6&lt;=$H71,BN$6+6&gt;=$G71),1,"")</x:f>
      </x:c>
      <x:c r="BO71" s="168" t="str">
        <x:f>IF(AND(BO$6&lt;=$H71,BO$6+6&gt;=$G71),1,"")</x:f>
      </x:c>
    </x:row>
    <x:row r="72" ht="24" customHeight="1">
      <x:c r="A72" s="68" t="str">
        <x:f>'Task Register'!A70</x:f>
        <x:v>T-501</x:v>
      </x:c>
      <x:c r="B72" s="68" t="str">
        <x:f>'Task Register'!B70</x:f>
        <x:v>M5</x:v>
      </x:c>
      <x:c r="C72" s="68" t="str">
        <x:f>'Task Register'!C70</x:f>
        <x:v>Geometry/Architecture</x:v>
      </x:c>
      <x:c r="D72" s="68" t="str">
        <x:f>'Task Register'!D70</x:f>
        <x:v>Define RobotGeometrySpec</x:v>
      </x:c>
      <x:c r="E72" s="68" t="str">
        <x:f>'Task Register'!E70</x:f>
        <x:v>T-101, T-103</x:v>
      </x:c>
      <x:c r="F72" s="68" t="str">
        <x:f>'Task Register'!F70</x:f>
        <x:v>Active</x:v>
      </x:c>
      <x:c r="G72" s="94" t="n">
        <x:f>'Task Register'!I70</x:f>
        <x:v>46279</x:v>
      </x:c>
      <x:c r="H72" s="94" t="n">
        <x:f>'Task Register'!J70</x:f>
        <x:v>46280</x:v>
      </x:c>
      <x:c r="I72" s="166" t="str">
        <x:f>IF(AND(I$6&lt;=$H72,I$6+6&gt;=$G72),1,"")</x:f>
      </x:c>
      <x:c r="J72" s="167" t="str">
        <x:f>IF(AND(J$6&lt;=$H72,J$6+6&gt;=$G72),1,"")</x:f>
      </x:c>
      <x:c r="K72" s="167" t="str">
        <x:f>IF(AND(K$6&lt;=$H72,K$6+6&gt;=$G72),1,"")</x:f>
      </x:c>
      <x:c r="L72" s="167" t="str">
        <x:f>IF(AND(L$6&lt;=$H72,L$6+6&gt;=$G72),1,"")</x:f>
      </x:c>
      <x:c r="M72" s="167" t="str">
        <x:f>IF(AND(M$6&lt;=$H72,M$6+6&gt;=$G72),1,"")</x:f>
      </x:c>
      <x:c r="N72" s="167" t="str">
        <x:f>IF(AND(N$6&lt;=$H72,N$6+6&gt;=$G72),1,"")</x:f>
      </x:c>
      <x:c r="O72" s="167" t="n">
        <x:f>IF(AND(O$6&lt;=$H72,O$6+6&gt;=$G72),1,"")</x:f>
        <x:v>1</x:v>
      </x:c>
      <x:c r="P72" s="167" t="str">
        <x:f>IF(AND(P$6&lt;=$H72,P$6+6&gt;=$G72),1,"")</x:f>
      </x:c>
      <x:c r="Q72" s="167" t="str">
        <x:f>IF(AND(Q$6&lt;=$H72,Q$6+6&gt;=$G72),1,"")</x:f>
      </x:c>
      <x:c r="R72" s="167" t="str">
        <x:f>IF(AND(R$6&lt;=$H72,R$6+6&gt;=$G72),1,"")</x:f>
      </x:c>
      <x:c r="S72" s="167" t="str">
        <x:f>IF(AND(S$6&lt;=$H72,S$6+6&gt;=$G72),1,"")</x:f>
      </x:c>
      <x:c r="T72" s="167" t="str">
        <x:f>IF(AND(T$6&lt;=$H72,T$6+6&gt;=$G72),1,"")</x:f>
      </x:c>
      <x:c r="U72" s="167" t="str">
        <x:f>IF(AND(U$6&lt;=$H72,U$6+6&gt;=$G72),1,"")</x:f>
      </x:c>
      <x:c r="V72" s="167" t="str">
        <x:f>IF(AND(V$6&lt;=$H72,V$6+6&gt;=$G72),1,"")</x:f>
      </x:c>
      <x:c r="W72" s="167" t="str">
        <x:f>IF(AND(W$6&lt;=$H72,W$6+6&gt;=$G72),1,"")</x:f>
      </x:c>
      <x:c r="X72" s="167" t="str">
        <x:f>IF(AND(X$6&lt;=$H72,X$6+6&gt;=$G72),1,"")</x:f>
      </x:c>
      <x:c r="Y72" s="167" t="str">
        <x:f>IF(AND(Y$6&lt;=$H72,Y$6+6&gt;=$G72),1,"")</x:f>
      </x:c>
      <x:c r="Z72" s="167" t="str">
        <x:f>IF(AND(Z$6&lt;=$H72,Z$6+6&gt;=$G72),1,"")</x:f>
      </x:c>
      <x:c r="AA72" s="167" t="str">
        <x:f>IF(AND(AA$6&lt;=$H72,AA$6+6&gt;=$G72),1,"")</x:f>
      </x:c>
      <x:c r="AB72" s="167" t="str">
        <x:f>IF(AND(AB$6&lt;=$H72,AB$6+6&gt;=$G72),1,"")</x:f>
      </x:c>
      <x:c r="AC72" s="167" t="str">
        <x:f>IF(AND(AC$6&lt;=$H72,AC$6+6&gt;=$G72),1,"")</x:f>
      </x:c>
      <x:c r="AD72" s="167" t="str">
        <x:f>IF(AND(AD$6&lt;=$H72,AD$6+6&gt;=$G72),1,"")</x:f>
      </x:c>
      <x:c r="AE72" s="167" t="str">
        <x:f>IF(AND(AE$6&lt;=$H72,AE$6+6&gt;=$G72),1,"")</x:f>
      </x:c>
      <x:c r="AF72" s="167" t="str">
        <x:f>IF(AND(AF$6&lt;=$H72,AF$6+6&gt;=$G72),1,"")</x:f>
      </x:c>
      <x:c r="AG72" s="167" t="str">
        <x:f>IF(AND(AG$6&lt;=$H72,AG$6+6&gt;=$G72),1,"")</x:f>
      </x:c>
      <x:c r="AH72" s="167" t="str">
        <x:f>IF(AND(AH$6&lt;=$H72,AH$6+6&gt;=$G72),1,"")</x:f>
      </x:c>
      <x:c r="AI72" s="167" t="str">
        <x:f>IF(AND(AI$6&lt;=$H72,AI$6+6&gt;=$G72),1,"")</x:f>
      </x:c>
      <x:c r="AJ72" s="167" t="str">
        <x:f>IF(AND(AJ$6&lt;=$H72,AJ$6+6&gt;=$G72),1,"")</x:f>
      </x:c>
      <x:c r="AK72" s="167" t="str">
        <x:f>IF(AND(AK$6&lt;=$H72,AK$6+6&gt;=$G72),1,"")</x:f>
      </x:c>
      <x:c r="AL72" s="167" t="str">
        <x:f>IF(AND(AL$6&lt;=$H72,AL$6+6&gt;=$G72),1,"")</x:f>
      </x:c>
      <x:c r="AM72" s="167" t="str">
        <x:f>IF(AND(AM$6&lt;=$H72,AM$6+6&gt;=$G72),1,"")</x:f>
      </x:c>
      <x:c r="AN72" s="167" t="str">
        <x:f>IF(AND(AN$6&lt;=$H72,AN$6+6&gt;=$G72),1,"")</x:f>
      </x:c>
      <x:c r="AO72" s="167" t="str">
        <x:f>IF(AND(AO$6&lt;=$H72,AO$6+6&gt;=$G72),1,"")</x:f>
      </x:c>
      <x:c r="AP72" s="167" t="str">
        <x:f>IF(AND(AP$6&lt;=$H72,AP$6+6&gt;=$G72),1,"")</x:f>
      </x:c>
      <x:c r="AQ72" s="167" t="str">
        <x:f>IF(AND(AQ$6&lt;=$H72,AQ$6+6&gt;=$G72),1,"")</x:f>
      </x:c>
      <x:c r="AR72" s="167" t="str">
        <x:f>IF(AND(AR$6&lt;=$H72,AR$6+6&gt;=$G72),1,"")</x:f>
      </x:c>
      <x:c r="AS72" s="167" t="str">
        <x:f>IF(AND(AS$6&lt;=$H72,AS$6+6&gt;=$G72),1,"")</x:f>
      </x:c>
      <x:c r="AT72" s="167" t="str">
        <x:f>IF(AND(AT$6&lt;=$H72,AT$6+6&gt;=$G72),1,"")</x:f>
      </x:c>
      <x:c r="AU72" s="167" t="str">
        <x:f>IF(AND(AU$6&lt;=$H72,AU$6+6&gt;=$G72),1,"")</x:f>
      </x:c>
      <x:c r="AV72" s="167" t="str">
        <x:f>IF(AND(AV$6&lt;=$H72,AV$6+6&gt;=$G72),1,"")</x:f>
      </x:c>
      <x:c r="AW72" s="167" t="str">
        <x:f>IF(AND(AW$6&lt;=$H72,AW$6+6&gt;=$G72),1,"")</x:f>
      </x:c>
      <x:c r="AX72" s="167" t="str">
        <x:f>IF(AND(AX$6&lt;=$H72,AX$6+6&gt;=$G72),1,"")</x:f>
      </x:c>
      <x:c r="AY72" s="167" t="str">
        <x:f>IF(AND(AY$6&lt;=$H72,AY$6+6&gt;=$G72),1,"")</x:f>
      </x:c>
      <x:c r="AZ72" s="167" t="str">
        <x:f>IF(AND(AZ$6&lt;=$H72,AZ$6+6&gt;=$G72),1,"")</x:f>
      </x:c>
      <x:c r="BA72" s="167" t="str">
        <x:f>IF(AND(BA$6&lt;=$H72,BA$6+6&gt;=$G72),1,"")</x:f>
      </x:c>
      <x:c r="BB72" s="167" t="str">
        <x:f>IF(AND(BB$6&lt;=$H72,BB$6+6&gt;=$G72),1,"")</x:f>
      </x:c>
      <x:c r="BC72" s="167" t="str">
        <x:f>IF(AND(BC$6&lt;=$H72,BC$6+6&gt;=$G72),1,"")</x:f>
      </x:c>
      <x:c r="BD72" s="167" t="str">
        <x:f>IF(AND(BD$6&lt;=$H72,BD$6+6&gt;=$G72),1,"")</x:f>
      </x:c>
      <x:c r="BE72" s="167" t="str">
        <x:f>IF(AND(BE$6&lt;=$H72,BE$6+6&gt;=$G72),1,"")</x:f>
      </x:c>
      <x:c r="BF72" s="167" t="str">
        <x:f>IF(AND(BF$6&lt;=$H72,BF$6+6&gt;=$G72),1,"")</x:f>
      </x:c>
      <x:c r="BG72" s="167" t="str">
        <x:f>IF(AND(BG$6&lt;=$H72,BG$6+6&gt;=$G72),1,"")</x:f>
      </x:c>
      <x:c r="BH72" s="167" t="str">
        <x:f>IF(AND(BH$6&lt;=$H72,BH$6+6&gt;=$G72),1,"")</x:f>
      </x:c>
      <x:c r="BI72" s="167" t="str">
        <x:f>IF(AND(BI$6&lt;=$H72,BI$6+6&gt;=$G72),1,"")</x:f>
      </x:c>
      <x:c r="BJ72" s="167" t="str">
        <x:f>IF(AND(BJ$6&lt;=$H72,BJ$6+6&gt;=$G72),1,"")</x:f>
      </x:c>
      <x:c r="BK72" s="167" t="str">
        <x:f>IF(AND(BK$6&lt;=$H72,BK$6+6&gt;=$G72),1,"")</x:f>
      </x:c>
      <x:c r="BL72" s="167" t="str">
        <x:f>IF(AND(BL$6&lt;=$H72,BL$6+6&gt;=$G72),1,"")</x:f>
      </x:c>
      <x:c r="BM72" s="167" t="str">
        <x:f>IF(AND(BM$6&lt;=$H72,BM$6+6&gt;=$G72),1,"")</x:f>
      </x:c>
      <x:c r="BN72" s="167" t="str">
        <x:f>IF(AND(BN$6&lt;=$H72,BN$6+6&gt;=$G72),1,"")</x:f>
      </x:c>
      <x:c r="BO72" s="168" t="str">
        <x:f>IF(AND(BO$6&lt;=$H72,BO$6+6&gt;=$G72),1,"")</x:f>
      </x:c>
    </x:row>
    <x:row r="73" ht="24" customHeight="1">
      <x:c r="A73" s="68" t="str">
        <x:f>'Task Register'!A71</x:f>
        <x:v>T-502</x:v>
      </x:c>
      <x:c r="B73" s="68" t="str">
        <x:f>'Task Register'!B71</x:f>
        <x:v>M5</x:v>
      </x:c>
      <x:c r="C73" s="68" t="str">
        <x:f>'Task Register'!C71</x:f>
        <x:v>Geometry</x:v>
      </x:c>
      <x:c r="D73" s="68" t="str">
        <x:f>'Task Register'!D71</x:f>
        <x:v>Define the frame graph and naming convention</x:v>
      </x:c>
      <x:c r="E73" s="68" t="str">
        <x:f>'Task Register'!E71</x:f>
        <x:v>T-501</x:v>
      </x:c>
      <x:c r="F73" s="68" t="str">
        <x:f>'Task Register'!F71</x:f>
        <x:v>Blocked</x:v>
      </x:c>
      <x:c r="G73" s="94" t="n">
        <x:f>'Task Register'!I71</x:f>
        <x:v>46281</x:v>
      </x:c>
      <x:c r="H73" s="94" t="n">
        <x:f>'Task Register'!J71</x:f>
        <x:v>46281</x:v>
      </x:c>
      <x:c r="I73" s="166" t="str">
        <x:f>IF(AND(I$6&lt;=$H73,I$6+6&gt;=$G73),1,"")</x:f>
      </x:c>
      <x:c r="J73" s="167" t="str">
        <x:f>IF(AND(J$6&lt;=$H73,J$6+6&gt;=$G73),1,"")</x:f>
      </x:c>
      <x:c r="K73" s="167" t="str">
        <x:f>IF(AND(K$6&lt;=$H73,K$6+6&gt;=$G73),1,"")</x:f>
      </x:c>
      <x:c r="L73" s="167" t="str">
        <x:f>IF(AND(L$6&lt;=$H73,L$6+6&gt;=$G73),1,"")</x:f>
      </x:c>
      <x:c r="M73" s="167" t="str">
        <x:f>IF(AND(M$6&lt;=$H73,M$6+6&gt;=$G73),1,"")</x:f>
      </x:c>
      <x:c r="N73" s="167" t="str">
        <x:f>IF(AND(N$6&lt;=$H73,N$6+6&gt;=$G73),1,"")</x:f>
      </x:c>
      <x:c r="O73" s="167" t="n">
        <x:f>IF(AND(O$6&lt;=$H73,O$6+6&gt;=$G73),1,"")</x:f>
        <x:v>1</x:v>
      </x:c>
      <x:c r="P73" s="167" t="str">
        <x:f>IF(AND(P$6&lt;=$H73,P$6+6&gt;=$G73),1,"")</x:f>
      </x:c>
      <x:c r="Q73" s="167" t="str">
        <x:f>IF(AND(Q$6&lt;=$H73,Q$6+6&gt;=$G73),1,"")</x:f>
      </x:c>
      <x:c r="R73" s="167" t="str">
        <x:f>IF(AND(R$6&lt;=$H73,R$6+6&gt;=$G73),1,"")</x:f>
      </x:c>
      <x:c r="S73" s="167" t="str">
        <x:f>IF(AND(S$6&lt;=$H73,S$6+6&gt;=$G73),1,"")</x:f>
      </x:c>
      <x:c r="T73" s="167" t="str">
        <x:f>IF(AND(T$6&lt;=$H73,T$6+6&gt;=$G73),1,"")</x:f>
      </x:c>
      <x:c r="U73" s="167" t="str">
        <x:f>IF(AND(U$6&lt;=$H73,U$6+6&gt;=$G73),1,"")</x:f>
      </x:c>
      <x:c r="V73" s="167" t="str">
        <x:f>IF(AND(V$6&lt;=$H73,V$6+6&gt;=$G73),1,"")</x:f>
      </x:c>
      <x:c r="W73" s="167" t="str">
        <x:f>IF(AND(W$6&lt;=$H73,W$6+6&gt;=$G73),1,"")</x:f>
      </x:c>
      <x:c r="X73" s="167" t="str">
        <x:f>IF(AND(X$6&lt;=$H73,X$6+6&gt;=$G73),1,"")</x:f>
      </x:c>
      <x:c r="Y73" s="167" t="str">
        <x:f>IF(AND(Y$6&lt;=$H73,Y$6+6&gt;=$G73),1,"")</x:f>
      </x:c>
      <x:c r="Z73" s="167" t="str">
        <x:f>IF(AND(Z$6&lt;=$H73,Z$6+6&gt;=$G73),1,"")</x:f>
      </x:c>
      <x:c r="AA73" s="167" t="str">
        <x:f>IF(AND(AA$6&lt;=$H73,AA$6+6&gt;=$G73),1,"")</x:f>
      </x:c>
      <x:c r="AB73" s="167" t="str">
        <x:f>IF(AND(AB$6&lt;=$H73,AB$6+6&gt;=$G73),1,"")</x:f>
      </x:c>
      <x:c r="AC73" s="167" t="str">
        <x:f>IF(AND(AC$6&lt;=$H73,AC$6+6&gt;=$G73),1,"")</x:f>
      </x:c>
      <x:c r="AD73" s="167" t="str">
        <x:f>IF(AND(AD$6&lt;=$H73,AD$6+6&gt;=$G73),1,"")</x:f>
      </x:c>
      <x:c r="AE73" s="167" t="str">
        <x:f>IF(AND(AE$6&lt;=$H73,AE$6+6&gt;=$G73),1,"")</x:f>
      </x:c>
      <x:c r="AF73" s="167" t="str">
        <x:f>IF(AND(AF$6&lt;=$H73,AF$6+6&gt;=$G73),1,"")</x:f>
      </x:c>
      <x:c r="AG73" s="167" t="str">
        <x:f>IF(AND(AG$6&lt;=$H73,AG$6+6&gt;=$G73),1,"")</x:f>
      </x:c>
      <x:c r="AH73" s="167" t="str">
        <x:f>IF(AND(AH$6&lt;=$H73,AH$6+6&gt;=$G73),1,"")</x:f>
      </x:c>
      <x:c r="AI73" s="167" t="str">
        <x:f>IF(AND(AI$6&lt;=$H73,AI$6+6&gt;=$G73),1,"")</x:f>
      </x:c>
      <x:c r="AJ73" s="167" t="str">
        <x:f>IF(AND(AJ$6&lt;=$H73,AJ$6+6&gt;=$G73),1,"")</x:f>
      </x:c>
      <x:c r="AK73" s="167" t="str">
        <x:f>IF(AND(AK$6&lt;=$H73,AK$6+6&gt;=$G73),1,"")</x:f>
      </x:c>
      <x:c r="AL73" s="167" t="str">
        <x:f>IF(AND(AL$6&lt;=$H73,AL$6+6&gt;=$G73),1,"")</x:f>
      </x:c>
      <x:c r="AM73" s="167" t="str">
        <x:f>IF(AND(AM$6&lt;=$H73,AM$6+6&gt;=$G73),1,"")</x:f>
      </x:c>
      <x:c r="AN73" s="167" t="str">
        <x:f>IF(AND(AN$6&lt;=$H73,AN$6+6&gt;=$G73),1,"")</x:f>
      </x:c>
      <x:c r="AO73" s="167" t="str">
        <x:f>IF(AND(AO$6&lt;=$H73,AO$6+6&gt;=$G73),1,"")</x:f>
      </x:c>
      <x:c r="AP73" s="167" t="str">
        <x:f>IF(AND(AP$6&lt;=$H73,AP$6+6&gt;=$G73),1,"")</x:f>
      </x:c>
      <x:c r="AQ73" s="167" t="str">
        <x:f>IF(AND(AQ$6&lt;=$H73,AQ$6+6&gt;=$G73),1,"")</x:f>
      </x:c>
      <x:c r="AR73" s="167" t="str">
        <x:f>IF(AND(AR$6&lt;=$H73,AR$6+6&gt;=$G73),1,"")</x:f>
      </x:c>
      <x:c r="AS73" s="167" t="str">
        <x:f>IF(AND(AS$6&lt;=$H73,AS$6+6&gt;=$G73),1,"")</x:f>
      </x:c>
      <x:c r="AT73" s="167" t="str">
        <x:f>IF(AND(AT$6&lt;=$H73,AT$6+6&gt;=$G73),1,"")</x:f>
      </x:c>
      <x:c r="AU73" s="167" t="str">
        <x:f>IF(AND(AU$6&lt;=$H73,AU$6+6&gt;=$G73),1,"")</x:f>
      </x:c>
      <x:c r="AV73" s="167" t="str">
        <x:f>IF(AND(AV$6&lt;=$H73,AV$6+6&gt;=$G73),1,"")</x:f>
      </x:c>
      <x:c r="AW73" s="167" t="str">
        <x:f>IF(AND(AW$6&lt;=$H73,AW$6+6&gt;=$G73),1,"")</x:f>
      </x:c>
      <x:c r="AX73" s="167" t="str">
        <x:f>IF(AND(AX$6&lt;=$H73,AX$6+6&gt;=$G73),1,"")</x:f>
      </x:c>
      <x:c r="AY73" s="167" t="str">
        <x:f>IF(AND(AY$6&lt;=$H73,AY$6+6&gt;=$G73),1,"")</x:f>
      </x:c>
      <x:c r="AZ73" s="167" t="str">
        <x:f>IF(AND(AZ$6&lt;=$H73,AZ$6+6&gt;=$G73),1,"")</x:f>
      </x:c>
      <x:c r="BA73" s="167" t="str">
        <x:f>IF(AND(BA$6&lt;=$H73,BA$6+6&gt;=$G73),1,"")</x:f>
      </x:c>
      <x:c r="BB73" s="167" t="str">
        <x:f>IF(AND(BB$6&lt;=$H73,BB$6+6&gt;=$G73),1,"")</x:f>
      </x:c>
      <x:c r="BC73" s="167" t="str">
        <x:f>IF(AND(BC$6&lt;=$H73,BC$6+6&gt;=$G73),1,"")</x:f>
      </x:c>
      <x:c r="BD73" s="167" t="str">
        <x:f>IF(AND(BD$6&lt;=$H73,BD$6+6&gt;=$G73),1,"")</x:f>
      </x:c>
      <x:c r="BE73" s="167" t="str">
        <x:f>IF(AND(BE$6&lt;=$H73,BE$6+6&gt;=$G73),1,"")</x:f>
      </x:c>
      <x:c r="BF73" s="167" t="str">
        <x:f>IF(AND(BF$6&lt;=$H73,BF$6+6&gt;=$G73),1,"")</x:f>
      </x:c>
      <x:c r="BG73" s="167" t="str">
        <x:f>IF(AND(BG$6&lt;=$H73,BG$6+6&gt;=$G73),1,"")</x:f>
      </x:c>
      <x:c r="BH73" s="167" t="str">
        <x:f>IF(AND(BH$6&lt;=$H73,BH$6+6&gt;=$G73),1,"")</x:f>
      </x:c>
      <x:c r="BI73" s="167" t="str">
        <x:f>IF(AND(BI$6&lt;=$H73,BI$6+6&gt;=$G73),1,"")</x:f>
      </x:c>
      <x:c r="BJ73" s="167" t="str">
        <x:f>IF(AND(BJ$6&lt;=$H73,BJ$6+6&gt;=$G73),1,"")</x:f>
      </x:c>
      <x:c r="BK73" s="167" t="str">
        <x:f>IF(AND(BK$6&lt;=$H73,BK$6+6&gt;=$G73),1,"")</x:f>
      </x:c>
      <x:c r="BL73" s="167" t="str">
        <x:f>IF(AND(BL$6&lt;=$H73,BL$6+6&gt;=$G73),1,"")</x:f>
      </x:c>
      <x:c r="BM73" s="167" t="str">
        <x:f>IF(AND(BM$6&lt;=$H73,BM$6+6&gt;=$G73),1,"")</x:f>
      </x:c>
      <x:c r="BN73" s="167" t="str">
        <x:f>IF(AND(BN$6&lt;=$H73,BN$6+6&gt;=$G73),1,"")</x:f>
      </x:c>
      <x:c r="BO73" s="168" t="str">
        <x:f>IF(AND(BO$6&lt;=$H73,BO$6+6&gt;=$G73),1,"")</x:f>
      </x:c>
    </x:row>
    <x:row r="74" ht="24" customHeight="1">
      <x:c r="A74" s="68" t="str">
        <x:f>'Task Register'!A72</x:f>
        <x:v>T-503</x:v>
      </x:c>
      <x:c r="B74" s="68" t="str">
        <x:f>'Task Register'!B72</x:f>
        <x:v>M5</x:v>
      </x:c>
      <x:c r="C74" s="68" t="str">
        <x:f>'Task Register'!C72</x:f>
        <x:v>Actuation/Control Interface</x:v>
      </x:c>
      <x:c r="D74" s="68" t="str">
        <x:f>'Task Register'!D72</x:f>
        <x:v>Define actuator, transmission, and sensor specifications</x:v>
      </x:c>
      <x:c r="E74" s="68" t="str">
        <x:f>'Task Register'!E72</x:f>
        <x:v>T-103, T-501</x:v>
      </x:c>
      <x:c r="F74" s="68" t="str">
        <x:f>'Task Register'!F72</x:f>
        <x:v>Blocked</x:v>
      </x:c>
      <x:c r="G74" s="94" t="n">
        <x:f>'Task Register'!I72</x:f>
        <x:v>46282</x:v>
      </x:c>
      <x:c r="H74" s="94" t="n">
        <x:f>'Task Register'!J72</x:f>
        <x:v>46283</x:v>
      </x:c>
      <x:c r="I74" s="166" t="str">
        <x:f>IF(AND(I$6&lt;=$H74,I$6+6&gt;=$G74),1,"")</x:f>
      </x:c>
      <x:c r="J74" s="167" t="str">
        <x:f>IF(AND(J$6&lt;=$H74,J$6+6&gt;=$G74),1,"")</x:f>
      </x:c>
      <x:c r="K74" s="167" t="str">
        <x:f>IF(AND(K$6&lt;=$H74,K$6+6&gt;=$G74),1,"")</x:f>
      </x:c>
      <x:c r="L74" s="167" t="str">
        <x:f>IF(AND(L$6&lt;=$H74,L$6+6&gt;=$G74),1,"")</x:f>
      </x:c>
      <x:c r="M74" s="167" t="str">
        <x:f>IF(AND(M$6&lt;=$H74,M$6+6&gt;=$G74),1,"")</x:f>
      </x:c>
      <x:c r="N74" s="167" t="str">
        <x:f>IF(AND(N$6&lt;=$H74,N$6+6&gt;=$G74),1,"")</x:f>
      </x:c>
      <x:c r="O74" s="167" t="n">
        <x:f>IF(AND(O$6&lt;=$H74,O$6+6&gt;=$G74),1,"")</x:f>
        <x:v>1</x:v>
      </x:c>
      <x:c r="P74" s="167" t="str">
        <x:f>IF(AND(P$6&lt;=$H74,P$6+6&gt;=$G74),1,"")</x:f>
      </x:c>
      <x:c r="Q74" s="167" t="str">
        <x:f>IF(AND(Q$6&lt;=$H74,Q$6+6&gt;=$G74),1,"")</x:f>
      </x:c>
      <x:c r="R74" s="167" t="str">
        <x:f>IF(AND(R$6&lt;=$H74,R$6+6&gt;=$G74),1,"")</x:f>
      </x:c>
      <x:c r="S74" s="167" t="str">
        <x:f>IF(AND(S$6&lt;=$H74,S$6+6&gt;=$G74),1,"")</x:f>
      </x:c>
      <x:c r="T74" s="167" t="str">
        <x:f>IF(AND(T$6&lt;=$H74,T$6+6&gt;=$G74),1,"")</x:f>
      </x:c>
      <x:c r="U74" s="167" t="str">
        <x:f>IF(AND(U$6&lt;=$H74,U$6+6&gt;=$G74),1,"")</x:f>
      </x:c>
      <x:c r="V74" s="167" t="str">
        <x:f>IF(AND(V$6&lt;=$H74,V$6+6&gt;=$G74),1,"")</x:f>
      </x:c>
      <x:c r="W74" s="167" t="str">
        <x:f>IF(AND(W$6&lt;=$H74,W$6+6&gt;=$G74),1,"")</x:f>
      </x:c>
      <x:c r="X74" s="167" t="str">
        <x:f>IF(AND(X$6&lt;=$H74,X$6+6&gt;=$G74),1,"")</x:f>
      </x:c>
      <x:c r="Y74" s="167" t="str">
        <x:f>IF(AND(Y$6&lt;=$H74,Y$6+6&gt;=$G74),1,"")</x:f>
      </x:c>
      <x:c r="Z74" s="167" t="str">
        <x:f>IF(AND(Z$6&lt;=$H74,Z$6+6&gt;=$G74),1,"")</x:f>
      </x:c>
      <x:c r="AA74" s="167" t="str">
        <x:f>IF(AND(AA$6&lt;=$H74,AA$6+6&gt;=$G74),1,"")</x:f>
      </x:c>
      <x:c r="AB74" s="167" t="str">
        <x:f>IF(AND(AB$6&lt;=$H74,AB$6+6&gt;=$G74),1,"")</x:f>
      </x:c>
      <x:c r="AC74" s="167" t="str">
        <x:f>IF(AND(AC$6&lt;=$H74,AC$6+6&gt;=$G74),1,"")</x:f>
      </x:c>
      <x:c r="AD74" s="167" t="str">
        <x:f>IF(AND(AD$6&lt;=$H74,AD$6+6&gt;=$G74),1,"")</x:f>
      </x:c>
      <x:c r="AE74" s="167" t="str">
        <x:f>IF(AND(AE$6&lt;=$H74,AE$6+6&gt;=$G74),1,"")</x:f>
      </x:c>
      <x:c r="AF74" s="167" t="str">
        <x:f>IF(AND(AF$6&lt;=$H74,AF$6+6&gt;=$G74),1,"")</x:f>
      </x:c>
      <x:c r="AG74" s="167" t="str">
        <x:f>IF(AND(AG$6&lt;=$H74,AG$6+6&gt;=$G74),1,"")</x:f>
      </x:c>
      <x:c r="AH74" s="167" t="str">
        <x:f>IF(AND(AH$6&lt;=$H74,AH$6+6&gt;=$G74),1,"")</x:f>
      </x:c>
      <x:c r="AI74" s="167" t="str">
        <x:f>IF(AND(AI$6&lt;=$H74,AI$6+6&gt;=$G74),1,"")</x:f>
      </x:c>
      <x:c r="AJ74" s="167" t="str">
        <x:f>IF(AND(AJ$6&lt;=$H74,AJ$6+6&gt;=$G74),1,"")</x:f>
      </x:c>
      <x:c r="AK74" s="167" t="str">
        <x:f>IF(AND(AK$6&lt;=$H74,AK$6+6&gt;=$G74),1,"")</x:f>
      </x:c>
      <x:c r="AL74" s="167" t="str">
        <x:f>IF(AND(AL$6&lt;=$H74,AL$6+6&gt;=$G74),1,"")</x:f>
      </x:c>
      <x:c r="AM74" s="167" t="str">
        <x:f>IF(AND(AM$6&lt;=$H74,AM$6+6&gt;=$G74),1,"")</x:f>
      </x:c>
      <x:c r="AN74" s="167" t="str">
        <x:f>IF(AND(AN$6&lt;=$H74,AN$6+6&gt;=$G74),1,"")</x:f>
      </x:c>
      <x:c r="AO74" s="167" t="str">
        <x:f>IF(AND(AO$6&lt;=$H74,AO$6+6&gt;=$G74),1,"")</x:f>
      </x:c>
      <x:c r="AP74" s="167" t="str">
        <x:f>IF(AND(AP$6&lt;=$H74,AP$6+6&gt;=$G74),1,"")</x:f>
      </x:c>
      <x:c r="AQ74" s="167" t="str">
        <x:f>IF(AND(AQ$6&lt;=$H74,AQ$6+6&gt;=$G74),1,"")</x:f>
      </x:c>
      <x:c r="AR74" s="167" t="str">
        <x:f>IF(AND(AR$6&lt;=$H74,AR$6+6&gt;=$G74),1,"")</x:f>
      </x:c>
      <x:c r="AS74" s="167" t="str">
        <x:f>IF(AND(AS$6&lt;=$H74,AS$6+6&gt;=$G74),1,"")</x:f>
      </x:c>
      <x:c r="AT74" s="167" t="str">
        <x:f>IF(AND(AT$6&lt;=$H74,AT$6+6&gt;=$G74),1,"")</x:f>
      </x:c>
      <x:c r="AU74" s="167" t="str">
        <x:f>IF(AND(AU$6&lt;=$H74,AU$6+6&gt;=$G74),1,"")</x:f>
      </x:c>
      <x:c r="AV74" s="167" t="str">
        <x:f>IF(AND(AV$6&lt;=$H74,AV$6+6&gt;=$G74),1,"")</x:f>
      </x:c>
      <x:c r="AW74" s="167" t="str">
        <x:f>IF(AND(AW$6&lt;=$H74,AW$6+6&gt;=$G74),1,"")</x:f>
      </x:c>
      <x:c r="AX74" s="167" t="str">
        <x:f>IF(AND(AX$6&lt;=$H74,AX$6+6&gt;=$G74),1,"")</x:f>
      </x:c>
      <x:c r="AY74" s="167" t="str">
        <x:f>IF(AND(AY$6&lt;=$H74,AY$6+6&gt;=$G74),1,"")</x:f>
      </x:c>
      <x:c r="AZ74" s="167" t="str">
        <x:f>IF(AND(AZ$6&lt;=$H74,AZ$6+6&gt;=$G74),1,"")</x:f>
      </x:c>
      <x:c r="BA74" s="167" t="str">
        <x:f>IF(AND(BA$6&lt;=$H74,BA$6+6&gt;=$G74),1,"")</x:f>
      </x:c>
      <x:c r="BB74" s="167" t="str">
        <x:f>IF(AND(BB$6&lt;=$H74,BB$6+6&gt;=$G74),1,"")</x:f>
      </x:c>
      <x:c r="BC74" s="167" t="str">
        <x:f>IF(AND(BC$6&lt;=$H74,BC$6+6&gt;=$G74),1,"")</x:f>
      </x:c>
      <x:c r="BD74" s="167" t="str">
        <x:f>IF(AND(BD$6&lt;=$H74,BD$6+6&gt;=$G74),1,"")</x:f>
      </x:c>
      <x:c r="BE74" s="167" t="str">
        <x:f>IF(AND(BE$6&lt;=$H74,BE$6+6&gt;=$G74),1,"")</x:f>
      </x:c>
      <x:c r="BF74" s="167" t="str">
        <x:f>IF(AND(BF$6&lt;=$H74,BF$6+6&gt;=$G74),1,"")</x:f>
      </x:c>
      <x:c r="BG74" s="167" t="str">
        <x:f>IF(AND(BG$6&lt;=$H74,BG$6+6&gt;=$G74),1,"")</x:f>
      </x:c>
      <x:c r="BH74" s="167" t="str">
        <x:f>IF(AND(BH$6&lt;=$H74,BH$6+6&gt;=$G74),1,"")</x:f>
      </x:c>
      <x:c r="BI74" s="167" t="str">
        <x:f>IF(AND(BI$6&lt;=$H74,BI$6+6&gt;=$G74),1,"")</x:f>
      </x:c>
      <x:c r="BJ74" s="167" t="str">
        <x:f>IF(AND(BJ$6&lt;=$H74,BJ$6+6&gt;=$G74),1,"")</x:f>
      </x:c>
      <x:c r="BK74" s="167" t="str">
        <x:f>IF(AND(BK$6&lt;=$H74,BK$6+6&gt;=$G74),1,"")</x:f>
      </x:c>
      <x:c r="BL74" s="167" t="str">
        <x:f>IF(AND(BL$6&lt;=$H74,BL$6+6&gt;=$G74),1,"")</x:f>
      </x:c>
      <x:c r="BM74" s="167" t="str">
        <x:f>IF(AND(BM$6&lt;=$H74,BM$6+6&gt;=$G74),1,"")</x:f>
      </x:c>
      <x:c r="BN74" s="167" t="str">
        <x:f>IF(AND(BN$6&lt;=$H74,BN$6+6&gt;=$G74),1,"")</x:f>
      </x:c>
      <x:c r="BO74" s="168" t="str">
        <x:f>IF(AND(BO$6&lt;=$H74,BO$6+6&gt;=$G74),1,"")</x:f>
      </x:c>
    </x:row>
    <x:row r="75" ht="24" customHeight="1">
      <x:c r="A75" s="68" t="str">
        <x:f>'Task Register'!A73</x:f>
        <x:v>T-504</x:v>
      </x:c>
      <x:c r="B75" s="68" t="str">
        <x:f>'Task Register'!B73</x:f>
        <x:v>M5</x:v>
      </x:c>
      <x:c r="C75" s="68" t="str">
        <x:f>'Task Register'!C73</x:f>
        <x:v>Calibration/Research Ops</x:v>
      </x:c>
      <x:c r="D75" s="68" t="str">
        <x:f>'Task Register'!D73</x:f>
        <x:v>Add parameter provenance and uncertainty</x:v>
      </x:c>
      <x:c r="E75" s="68" t="str">
        <x:f>'Task Register'!E73</x:f>
        <x:v>T-501, T-502, T-503</x:v>
      </x:c>
      <x:c r="F75" s="68" t="str">
        <x:f>'Task Register'!F73</x:f>
        <x:v>Blocked</x:v>
      </x:c>
      <x:c r="G75" s="94" t="n">
        <x:f>'Task Register'!I73</x:f>
        <x:v>46286</x:v>
      </x:c>
      <x:c r="H75" s="94" t="n">
        <x:f>'Task Register'!J73</x:f>
        <x:v>46286</x:v>
      </x:c>
      <x:c r="I75" s="166" t="str">
        <x:f>IF(AND(I$6&lt;=$H75,I$6+6&gt;=$G75),1,"")</x:f>
      </x:c>
      <x:c r="J75" s="167" t="str">
        <x:f>IF(AND(J$6&lt;=$H75,J$6+6&gt;=$G75),1,"")</x:f>
      </x:c>
      <x:c r="K75" s="167" t="str">
        <x:f>IF(AND(K$6&lt;=$H75,K$6+6&gt;=$G75),1,"")</x:f>
      </x:c>
      <x:c r="L75" s="167" t="str">
        <x:f>IF(AND(L$6&lt;=$H75,L$6+6&gt;=$G75),1,"")</x:f>
      </x:c>
      <x:c r="M75" s="167" t="str">
        <x:f>IF(AND(M$6&lt;=$H75,M$6+6&gt;=$G75),1,"")</x:f>
      </x:c>
      <x:c r="N75" s="167" t="str">
        <x:f>IF(AND(N$6&lt;=$H75,N$6+6&gt;=$G75),1,"")</x:f>
      </x:c>
      <x:c r="O75" s="167" t="str">
        <x:f>IF(AND(O$6&lt;=$H75,O$6+6&gt;=$G75),1,"")</x:f>
      </x:c>
      <x:c r="P75" s="167" t="n">
        <x:f>IF(AND(P$6&lt;=$H75,P$6+6&gt;=$G75),1,"")</x:f>
        <x:v>1</x:v>
      </x:c>
      <x:c r="Q75" s="167" t="str">
        <x:f>IF(AND(Q$6&lt;=$H75,Q$6+6&gt;=$G75),1,"")</x:f>
      </x:c>
      <x:c r="R75" s="167" t="str">
        <x:f>IF(AND(R$6&lt;=$H75,R$6+6&gt;=$G75),1,"")</x:f>
      </x:c>
      <x:c r="S75" s="167" t="str">
        <x:f>IF(AND(S$6&lt;=$H75,S$6+6&gt;=$G75),1,"")</x:f>
      </x:c>
      <x:c r="T75" s="167" t="str">
        <x:f>IF(AND(T$6&lt;=$H75,T$6+6&gt;=$G75),1,"")</x:f>
      </x:c>
      <x:c r="U75" s="167" t="str">
        <x:f>IF(AND(U$6&lt;=$H75,U$6+6&gt;=$G75),1,"")</x:f>
      </x:c>
      <x:c r="V75" s="167" t="str">
        <x:f>IF(AND(V$6&lt;=$H75,V$6+6&gt;=$G75),1,"")</x:f>
      </x:c>
      <x:c r="W75" s="167" t="str">
        <x:f>IF(AND(W$6&lt;=$H75,W$6+6&gt;=$G75),1,"")</x:f>
      </x:c>
      <x:c r="X75" s="167" t="str">
        <x:f>IF(AND(X$6&lt;=$H75,X$6+6&gt;=$G75),1,"")</x:f>
      </x:c>
      <x:c r="Y75" s="167" t="str">
        <x:f>IF(AND(Y$6&lt;=$H75,Y$6+6&gt;=$G75),1,"")</x:f>
      </x:c>
      <x:c r="Z75" s="167" t="str">
        <x:f>IF(AND(Z$6&lt;=$H75,Z$6+6&gt;=$G75),1,"")</x:f>
      </x:c>
      <x:c r="AA75" s="167" t="str">
        <x:f>IF(AND(AA$6&lt;=$H75,AA$6+6&gt;=$G75),1,"")</x:f>
      </x:c>
      <x:c r="AB75" s="167" t="str">
        <x:f>IF(AND(AB$6&lt;=$H75,AB$6+6&gt;=$G75),1,"")</x:f>
      </x:c>
      <x:c r="AC75" s="167" t="str">
        <x:f>IF(AND(AC$6&lt;=$H75,AC$6+6&gt;=$G75),1,"")</x:f>
      </x:c>
      <x:c r="AD75" s="167" t="str">
        <x:f>IF(AND(AD$6&lt;=$H75,AD$6+6&gt;=$G75),1,"")</x:f>
      </x:c>
      <x:c r="AE75" s="167" t="str">
        <x:f>IF(AND(AE$6&lt;=$H75,AE$6+6&gt;=$G75),1,"")</x:f>
      </x:c>
      <x:c r="AF75" s="167" t="str">
        <x:f>IF(AND(AF$6&lt;=$H75,AF$6+6&gt;=$G75),1,"")</x:f>
      </x:c>
      <x:c r="AG75" s="167" t="str">
        <x:f>IF(AND(AG$6&lt;=$H75,AG$6+6&gt;=$G75),1,"")</x:f>
      </x:c>
      <x:c r="AH75" s="167" t="str">
        <x:f>IF(AND(AH$6&lt;=$H75,AH$6+6&gt;=$G75),1,"")</x:f>
      </x:c>
      <x:c r="AI75" s="167" t="str">
        <x:f>IF(AND(AI$6&lt;=$H75,AI$6+6&gt;=$G75),1,"")</x:f>
      </x:c>
      <x:c r="AJ75" s="167" t="str">
        <x:f>IF(AND(AJ$6&lt;=$H75,AJ$6+6&gt;=$G75),1,"")</x:f>
      </x:c>
      <x:c r="AK75" s="167" t="str">
        <x:f>IF(AND(AK$6&lt;=$H75,AK$6+6&gt;=$G75),1,"")</x:f>
      </x:c>
      <x:c r="AL75" s="167" t="str">
        <x:f>IF(AND(AL$6&lt;=$H75,AL$6+6&gt;=$G75),1,"")</x:f>
      </x:c>
      <x:c r="AM75" s="167" t="str">
        <x:f>IF(AND(AM$6&lt;=$H75,AM$6+6&gt;=$G75),1,"")</x:f>
      </x:c>
      <x:c r="AN75" s="167" t="str">
        <x:f>IF(AND(AN$6&lt;=$H75,AN$6+6&gt;=$G75),1,"")</x:f>
      </x:c>
      <x:c r="AO75" s="167" t="str">
        <x:f>IF(AND(AO$6&lt;=$H75,AO$6+6&gt;=$G75),1,"")</x:f>
      </x:c>
      <x:c r="AP75" s="167" t="str">
        <x:f>IF(AND(AP$6&lt;=$H75,AP$6+6&gt;=$G75),1,"")</x:f>
      </x:c>
      <x:c r="AQ75" s="167" t="str">
        <x:f>IF(AND(AQ$6&lt;=$H75,AQ$6+6&gt;=$G75),1,"")</x:f>
      </x:c>
      <x:c r="AR75" s="167" t="str">
        <x:f>IF(AND(AR$6&lt;=$H75,AR$6+6&gt;=$G75),1,"")</x:f>
      </x:c>
      <x:c r="AS75" s="167" t="str">
        <x:f>IF(AND(AS$6&lt;=$H75,AS$6+6&gt;=$G75),1,"")</x:f>
      </x:c>
      <x:c r="AT75" s="167" t="str">
        <x:f>IF(AND(AT$6&lt;=$H75,AT$6+6&gt;=$G75),1,"")</x:f>
      </x:c>
      <x:c r="AU75" s="167" t="str">
        <x:f>IF(AND(AU$6&lt;=$H75,AU$6+6&gt;=$G75),1,"")</x:f>
      </x:c>
      <x:c r="AV75" s="167" t="str">
        <x:f>IF(AND(AV$6&lt;=$H75,AV$6+6&gt;=$G75),1,"")</x:f>
      </x:c>
      <x:c r="AW75" s="167" t="str">
        <x:f>IF(AND(AW$6&lt;=$H75,AW$6+6&gt;=$G75),1,"")</x:f>
      </x:c>
      <x:c r="AX75" s="167" t="str">
        <x:f>IF(AND(AX$6&lt;=$H75,AX$6+6&gt;=$G75),1,"")</x:f>
      </x:c>
      <x:c r="AY75" s="167" t="str">
        <x:f>IF(AND(AY$6&lt;=$H75,AY$6+6&gt;=$G75),1,"")</x:f>
      </x:c>
      <x:c r="AZ75" s="167" t="str">
        <x:f>IF(AND(AZ$6&lt;=$H75,AZ$6+6&gt;=$G75),1,"")</x:f>
      </x:c>
      <x:c r="BA75" s="167" t="str">
        <x:f>IF(AND(BA$6&lt;=$H75,BA$6+6&gt;=$G75),1,"")</x:f>
      </x:c>
      <x:c r="BB75" s="167" t="str">
        <x:f>IF(AND(BB$6&lt;=$H75,BB$6+6&gt;=$G75),1,"")</x:f>
      </x:c>
      <x:c r="BC75" s="167" t="str">
        <x:f>IF(AND(BC$6&lt;=$H75,BC$6+6&gt;=$G75),1,"")</x:f>
      </x:c>
      <x:c r="BD75" s="167" t="str">
        <x:f>IF(AND(BD$6&lt;=$H75,BD$6+6&gt;=$G75),1,"")</x:f>
      </x:c>
      <x:c r="BE75" s="167" t="str">
        <x:f>IF(AND(BE$6&lt;=$H75,BE$6+6&gt;=$G75),1,"")</x:f>
      </x:c>
      <x:c r="BF75" s="167" t="str">
        <x:f>IF(AND(BF$6&lt;=$H75,BF$6+6&gt;=$G75),1,"")</x:f>
      </x:c>
      <x:c r="BG75" s="167" t="str">
        <x:f>IF(AND(BG$6&lt;=$H75,BG$6+6&gt;=$G75),1,"")</x:f>
      </x:c>
      <x:c r="BH75" s="167" t="str">
        <x:f>IF(AND(BH$6&lt;=$H75,BH$6+6&gt;=$G75),1,"")</x:f>
      </x:c>
      <x:c r="BI75" s="167" t="str">
        <x:f>IF(AND(BI$6&lt;=$H75,BI$6+6&gt;=$G75),1,"")</x:f>
      </x:c>
      <x:c r="BJ75" s="167" t="str">
        <x:f>IF(AND(BJ$6&lt;=$H75,BJ$6+6&gt;=$G75),1,"")</x:f>
      </x:c>
      <x:c r="BK75" s="167" t="str">
        <x:f>IF(AND(BK$6&lt;=$H75,BK$6+6&gt;=$G75),1,"")</x:f>
      </x:c>
      <x:c r="BL75" s="167" t="str">
        <x:f>IF(AND(BL$6&lt;=$H75,BL$6+6&gt;=$G75),1,"")</x:f>
      </x:c>
      <x:c r="BM75" s="167" t="str">
        <x:f>IF(AND(BM$6&lt;=$H75,BM$6+6&gt;=$G75),1,"")</x:f>
      </x:c>
      <x:c r="BN75" s="167" t="str">
        <x:f>IF(AND(BN$6&lt;=$H75,BN$6+6&gt;=$G75),1,"")</x:f>
      </x:c>
      <x:c r="BO75" s="168" t="str">
        <x:f>IF(AND(BO$6&lt;=$H75,BO$6+6&gt;=$G75),1,"")</x:f>
      </x:c>
    </x:row>
    <x:row r="76" ht="24" customHeight="1">
      <x:c r="A76" s="68" t="str">
        <x:f>'Task Register'!A74</x:f>
        <x:v>T-505</x:v>
      </x:c>
      <x:c r="B76" s="68" t="str">
        <x:f>'Task Register'!B74</x:f>
        <x:v>M5</x:v>
      </x:c>
      <x:c r="C76" s="68" t="str">
        <x:f>'Task Register'!C74</x:f>
        <x:v>Requirements/Mechanical</x:v>
      </x:c>
      <x:c r="D76" s="68" t="str">
        <x:f>'Task Register'!D74</x:f>
        <x:v>Define the preliminary design and operating envelope</x:v>
      </x:c>
      <x:c r="E76" s="68" t="str">
        <x:f>'Task Register'!E74</x:f>
        <x:v>T-501, T-503</x:v>
      </x:c>
      <x:c r="F76" s="68" t="str">
        <x:f>'Task Register'!F74</x:f>
        <x:v>Blocked</x:v>
      </x:c>
      <x:c r="G76" s="94" t="n">
        <x:f>'Task Register'!I74</x:f>
        <x:v>46287</x:v>
      </x:c>
      <x:c r="H76" s="94" t="n">
        <x:f>'Task Register'!J74</x:f>
        <x:v>46288</x:v>
      </x:c>
      <x:c r="I76" s="166" t="str">
        <x:f>IF(AND(I$6&lt;=$H76,I$6+6&gt;=$G76),1,"")</x:f>
      </x:c>
      <x:c r="J76" s="167" t="str">
        <x:f>IF(AND(J$6&lt;=$H76,J$6+6&gt;=$G76),1,"")</x:f>
      </x:c>
      <x:c r="K76" s="167" t="str">
        <x:f>IF(AND(K$6&lt;=$H76,K$6+6&gt;=$G76),1,"")</x:f>
      </x:c>
      <x:c r="L76" s="167" t="str">
        <x:f>IF(AND(L$6&lt;=$H76,L$6+6&gt;=$G76),1,"")</x:f>
      </x:c>
      <x:c r="M76" s="167" t="str">
        <x:f>IF(AND(M$6&lt;=$H76,M$6+6&gt;=$G76),1,"")</x:f>
      </x:c>
      <x:c r="N76" s="167" t="str">
        <x:f>IF(AND(N$6&lt;=$H76,N$6+6&gt;=$G76),1,"")</x:f>
      </x:c>
      <x:c r="O76" s="167" t="str">
        <x:f>IF(AND(O$6&lt;=$H76,O$6+6&gt;=$G76),1,"")</x:f>
      </x:c>
      <x:c r="P76" s="167" t="n">
        <x:f>IF(AND(P$6&lt;=$H76,P$6+6&gt;=$G76),1,"")</x:f>
        <x:v>1</x:v>
      </x:c>
      <x:c r="Q76" s="167" t="str">
        <x:f>IF(AND(Q$6&lt;=$H76,Q$6+6&gt;=$G76),1,"")</x:f>
      </x:c>
      <x:c r="R76" s="167" t="str">
        <x:f>IF(AND(R$6&lt;=$H76,R$6+6&gt;=$G76),1,"")</x:f>
      </x:c>
      <x:c r="S76" s="167" t="str">
        <x:f>IF(AND(S$6&lt;=$H76,S$6+6&gt;=$G76),1,"")</x:f>
      </x:c>
      <x:c r="T76" s="167" t="str">
        <x:f>IF(AND(T$6&lt;=$H76,T$6+6&gt;=$G76),1,"")</x:f>
      </x:c>
      <x:c r="U76" s="167" t="str">
        <x:f>IF(AND(U$6&lt;=$H76,U$6+6&gt;=$G76),1,"")</x:f>
      </x:c>
      <x:c r="V76" s="167" t="str">
        <x:f>IF(AND(V$6&lt;=$H76,V$6+6&gt;=$G76),1,"")</x:f>
      </x:c>
      <x:c r="W76" s="167" t="str">
        <x:f>IF(AND(W$6&lt;=$H76,W$6+6&gt;=$G76),1,"")</x:f>
      </x:c>
      <x:c r="X76" s="167" t="str">
        <x:f>IF(AND(X$6&lt;=$H76,X$6+6&gt;=$G76),1,"")</x:f>
      </x:c>
      <x:c r="Y76" s="167" t="str">
        <x:f>IF(AND(Y$6&lt;=$H76,Y$6+6&gt;=$G76),1,"")</x:f>
      </x:c>
      <x:c r="Z76" s="167" t="str">
        <x:f>IF(AND(Z$6&lt;=$H76,Z$6+6&gt;=$G76),1,"")</x:f>
      </x:c>
      <x:c r="AA76" s="167" t="str">
        <x:f>IF(AND(AA$6&lt;=$H76,AA$6+6&gt;=$G76),1,"")</x:f>
      </x:c>
      <x:c r="AB76" s="167" t="str">
        <x:f>IF(AND(AB$6&lt;=$H76,AB$6+6&gt;=$G76),1,"")</x:f>
      </x:c>
      <x:c r="AC76" s="167" t="str">
        <x:f>IF(AND(AC$6&lt;=$H76,AC$6+6&gt;=$G76),1,"")</x:f>
      </x:c>
      <x:c r="AD76" s="167" t="str">
        <x:f>IF(AND(AD$6&lt;=$H76,AD$6+6&gt;=$G76),1,"")</x:f>
      </x:c>
      <x:c r="AE76" s="167" t="str">
        <x:f>IF(AND(AE$6&lt;=$H76,AE$6+6&gt;=$G76),1,"")</x:f>
      </x:c>
      <x:c r="AF76" s="167" t="str">
        <x:f>IF(AND(AF$6&lt;=$H76,AF$6+6&gt;=$G76),1,"")</x:f>
      </x:c>
      <x:c r="AG76" s="167" t="str">
        <x:f>IF(AND(AG$6&lt;=$H76,AG$6+6&gt;=$G76),1,"")</x:f>
      </x:c>
      <x:c r="AH76" s="167" t="str">
        <x:f>IF(AND(AH$6&lt;=$H76,AH$6+6&gt;=$G76),1,"")</x:f>
      </x:c>
      <x:c r="AI76" s="167" t="str">
        <x:f>IF(AND(AI$6&lt;=$H76,AI$6+6&gt;=$G76),1,"")</x:f>
      </x:c>
      <x:c r="AJ76" s="167" t="str">
        <x:f>IF(AND(AJ$6&lt;=$H76,AJ$6+6&gt;=$G76),1,"")</x:f>
      </x:c>
      <x:c r="AK76" s="167" t="str">
        <x:f>IF(AND(AK$6&lt;=$H76,AK$6+6&gt;=$G76),1,"")</x:f>
      </x:c>
      <x:c r="AL76" s="167" t="str">
        <x:f>IF(AND(AL$6&lt;=$H76,AL$6+6&gt;=$G76),1,"")</x:f>
      </x:c>
      <x:c r="AM76" s="167" t="str">
        <x:f>IF(AND(AM$6&lt;=$H76,AM$6+6&gt;=$G76),1,"")</x:f>
      </x:c>
      <x:c r="AN76" s="167" t="str">
        <x:f>IF(AND(AN$6&lt;=$H76,AN$6+6&gt;=$G76),1,"")</x:f>
      </x:c>
      <x:c r="AO76" s="167" t="str">
        <x:f>IF(AND(AO$6&lt;=$H76,AO$6+6&gt;=$G76),1,"")</x:f>
      </x:c>
      <x:c r="AP76" s="167" t="str">
        <x:f>IF(AND(AP$6&lt;=$H76,AP$6+6&gt;=$G76),1,"")</x:f>
      </x:c>
      <x:c r="AQ76" s="167" t="str">
        <x:f>IF(AND(AQ$6&lt;=$H76,AQ$6+6&gt;=$G76),1,"")</x:f>
      </x:c>
      <x:c r="AR76" s="167" t="str">
        <x:f>IF(AND(AR$6&lt;=$H76,AR$6+6&gt;=$G76),1,"")</x:f>
      </x:c>
      <x:c r="AS76" s="167" t="str">
        <x:f>IF(AND(AS$6&lt;=$H76,AS$6+6&gt;=$G76),1,"")</x:f>
      </x:c>
      <x:c r="AT76" s="167" t="str">
        <x:f>IF(AND(AT$6&lt;=$H76,AT$6+6&gt;=$G76),1,"")</x:f>
      </x:c>
      <x:c r="AU76" s="167" t="str">
        <x:f>IF(AND(AU$6&lt;=$H76,AU$6+6&gt;=$G76),1,"")</x:f>
      </x:c>
      <x:c r="AV76" s="167" t="str">
        <x:f>IF(AND(AV$6&lt;=$H76,AV$6+6&gt;=$G76),1,"")</x:f>
      </x:c>
      <x:c r="AW76" s="167" t="str">
        <x:f>IF(AND(AW$6&lt;=$H76,AW$6+6&gt;=$G76),1,"")</x:f>
      </x:c>
      <x:c r="AX76" s="167" t="str">
        <x:f>IF(AND(AX$6&lt;=$H76,AX$6+6&gt;=$G76),1,"")</x:f>
      </x:c>
      <x:c r="AY76" s="167" t="str">
        <x:f>IF(AND(AY$6&lt;=$H76,AY$6+6&gt;=$G76),1,"")</x:f>
      </x:c>
      <x:c r="AZ76" s="167" t="str">
        <x:f>IF(AND(AZ$6&lt;=$H76,AZ$6+6&gt;=$G76),1,"")</x:f>
      </x:c>
      <x:c r="BA76" s="167" t="str">
        <x:f>IF(AND(BA$6&lt;=$H76,BA$6+6&gt;=$G76),1,"")</x:f>
      </x:c>
      <x:c r="BB76" s="167" t="str">
        <x:f>IF(AND(BB$6&lt;=$H76,BB$6+6&gt;=$G76),1,"")</x:f>
      </x:c>
      <x:c r="BC76" s="167" t="str">
        <x:f>IF(AND(BC$6&lt;=$H76,BC$6+6&gt;=$G76),1,"")</x:f>
      </x:c>
      <x:c r="BD76" s="167" t="str">
        <x:f>IF(AND(BD$6&lt;=$H76,BD$6+6&gt;=$G76),1,"")</x:f>
      </x:c>
      <x:c r="BE76" s="167" t="str">
        <x:f>IF(AND(BE$6&lt;=$H76,BE$6+6&gt;=$G76),1,"")</x:f>
      </x:c>
      <x:c r="BF76" s="167" t="str">
        <x:f>IF(AND(BF$6&lt;=$H76,BF$6+6&gt;=$G76),1,"")</x:f>
      </x:c>
      <x:c r="BG76" s="167" t="str">
        <x:f>IF(AND(BG$6&lt;=$H76,BG$6+6&gt;=$G76),1,"")</x:f>
      </x:c>
      <x:c r="BH76" s="167" t="str">
        <x:f>IF(AND(BH$6&lt;=$H76,BH$6+6&gt;=$G76),1,"")</x:f>
      </x:c>
      <x:c r="BI76" s="167" t="str">
        <x:f>IF(AND(BI$6&lt;=$H76,BI$6+6&gt;=$G76),1,"")</x:f>
      </x:c>
      <x:c r="BJ76" s="167" t="str">
        <x:f>IF(AND(BJ$6&lt;=$H76,BJ$6+6&gt;=$G76),1,"")</x:f>
      </x:c>
      <x:c r="BK76" s="167" t="str">
        <x:f>IF(AND(BK$6&lt;=$H76,BK$6+6&gt;=$G76),1,"")</x:f>
      </x:c>
      <x:c r="BL76" s="167" t="str">
        <x:f>IF(AND(BL$6&lt;=$H76,BL$6+6&gt;=$G76),1,"")</x:f>
      </x:c>
      <x:c r="BM76" s="167" t="str">
        <x:f>IF(AND(BM$6&lt;=$H76,BM$6+6&gt;=$G76),1,"")</x:f>
      </x:c>
      <x:c r="BN76" s="167" t="str">
        <x:f>IF(AND(BN$6&lt;=$H76,BN$6+6&gt;=$G76),1,"")</x:f>
      </x:c>
      <x:c r="BO76" s="168" t="str">
        <x:f>IF(AND(BO$6&lt;=$H76,BO$6+6&gt;=$G76),1,"")</x:f>
      </x:c>
    </x:row>
    <x:row r="77" ht="24" customHeight="1">
      <x:c r="A77" s="68" t="str">
        <x:f>'Task Register'!A75</x:f>
        <x:v>T-506</x:v>
      </x:c>
      <x:c r="B77" s="68" t="str">
        <x:f>'Task Register'!B75</x:f>
        <x:v>M5</x:v>
      </x:c>
      <x:c r="C77" s="68" t="str">
        <x:f>'Task Register'!C75</x:f>
        <x:v>Kinematics/Mechanical</x:v>
      </x:c>
      <x:c r="D77" s="68" t="str">
        <x:f>'Task Register'!D75</x:f>
        <x:v>Run workspace, singularity, and collision studies</x:v>
      </x:c>
      <x:c r="E77" s="68" t="str">
        <x:f>'Task Register'!E75</x:f>
        <x:v>T-502, T-505</x:v>
      </x:c>
      <x:c r="F77" s="68" t="str">
        <x:f>'Task Register'!F75</x:f>
        <x:v>Blocked</x:v>
      </x:c>
      <x:c r="G77" s="94" t="n">
        <x:f>'Task Register'!I75</x:f>
        <x:v>46289</x:v>
      </x:c>
      <x:c r="H77" s="94" t="n">
        <x:f>'Task Register'!J75</x:f>
        <x:v>46290</x:v>
      </x:c>
      <x:c r="I77" s="166" t="str">
        <x:f>IF(AND(I$6&lt;=$H77,I$6+6&gt;=$G77),1,"")</x:f>
      </x:c>
      <x:c r="J77" s="167" t="str">
        <x:f>IF(AND(J$6&lt;=$H77,J$6+6&gt;=$G77),1,"")</x:f>
      </x:c>
      <x:c r="K77" s="167" t="str">
        <x:f>IF(AND(K$6&lt;=$H77,K$6+6&gt;=$G77),1,"")</x:f>
      </x:c>
      <x:c r="L77" s="167" t="str">
        <x:f>IF(AND(L$6&lt;=$H77,L$6+6&gt;=$G77),1,"")</x:f>
      </x:c>
      <x:c r="M77" s="167" t="str">
        <x:f>IF(AND(M$6&lt;=$H77,M$6+6&gt;=$G77),1,"")</x:f>
      </x:c>
      <x:c r="N77" s="167" t="str">
        <x:f>IF(AND(N$6&lt;=$H77,N$6+6&gt;=$G77),1,"")</x:f>
      </x:c>
      <x:c r="O77" s="167" t="str">
        <x:f>IF(AND(O$6&lt;=$H77,O$6+6&gt;=$G77),1,"")</x:f>
      </x:c>
      <x:c r="P77" s="167" t="n">
        <x:f>IF(AND(P$6&lt;=$H77,P$6+6&gt;=$G77),1,"")</x:f>
        <x:v>1</x:v>
      </x:c>
      <x:c r="Q77" s="167" t="str">
        <x:f>IF(AND(Q$6&lt;=$H77,Q$6+6&gt;=$G77),1,"")</x:f>
      </x:c>
      <x:c r="R77" s="167" t="str">
        <x:f>IF(AND(R$6&lt;=$H77,R$6+6&gt;=$G77),1,"")</x:f>
      </x:c>
      <x:c r="S77" s="167" t="str">
        <x:f>IF(AND(S$6&lt;=$H77,S$6+6&gt;=$G77),1,"")</x:f>
      </x:c>
      <x:c r="T77" s="167" t="str">
        <x:f>IF(AND(T$6&lt;=$H77,T$6+6&gt;=$G77),1,"")</x:f>
      </x:c>
      <x:c r="U77" s="167" t="str">
        <x:f>IF(AND(U$6&lt;=$H77,U$6+6&gt;=$G77),1,"")</x:f>
      </x:c>
      <x:c r="V77" s="167" t="str">
        <x:f>IF(AND(V$6&lt;=$H77,V$6+6&gt;=$G77),1,"")</x:f>
      </x:c>
      <x:c r="W77" s="167" t="str">
        <x:f>IF(AND(W$6&lt;=$H77,W$6+6&gt;=$G77),1,"")</x:f>
      </x:c>
      <x:c r="X77" s="167" t="str">
        <x:f>IF(AND(X$6&lt;=$H77,X$6+6&gt;=$G77),1,"")</x:f>
      </x:c>
      <x:c r="Y77" s="167" t="str">
        <x:f>IF(AND(Y$6&lt;=$H77,Y$6+6&gt;=$G77),1,"")</x:f>
      </x:c>
      <x:c r="Z77" s="167" t="str">
        <x:f>IF(AND(Z$6&lt;=$H77,Z$6+6&gt;=$G77),1,"")</x:f>
      </x:c>
      <x:c r="AA77" s="167" t="str">
        <x:f>IF(AND(AA$6&lt;=$H77,AA$6+6&gt;=$G77),1,"")</x:f>
      </x:c>
      <x:c r="AB77" s="167" t="str">
        <x:f>IF(AND(AB$6&lt;=$H77,AB$6+6&gt;=$G77),1,"")</x:f>
      </x:c>
      <x:c r="AC77" s="167" t="str">
        <x:f>IF(AND(AC$6&lt;=$H77,AC$6+6&gt;=$G77),1,"")</x:f>
      </x:c>
      <x:c r="AD77" s="167" t="str">
        <x:f>IF(AND(AD$6&lt;=$H77,AD$6+6&gt;=$G77),1,"")</x:f>
      </x:c>
      <x:c r="AE77" s="167" t="str">
        <x:f>IF(AND(AE$6&lt;=$H77,AE$6+6&gt;=$G77),1,"")</x:f>
      </x:c>
      <x:c r="AF77" s="167" t="str">
        <x:f>IF(AND(AF$6&lt;=$H77,AF$6+6&gt;=$G77),1,"")</x:f>
      </x:c>
      <x:c r="AG77" s="167" t="str">
        <x:f>IF(AND(AG$6&lt;=$H77,AG$6+6&gt;=$G77),1,"")</x:f>
      </x:c>
      <x:c r="AH77" s="167" t="str">
        <x:f>IF(AND(AH$6&lt;=$H77,AH$6+6&gt;=$G77),1,"")</x:f>
      </x:c>
      <x:c r="AI77" s="167" t="str">
        <x:f>IF(AND(AI$6&lt;=$H77,AI$6+6&gt;=$G77),1,"")</x:f>
      </x:c>
      <x:c r="AJ77" s="167" t="str">
        <x:f>IF(AND(AJ$6&lt;=$H77,AJ$6+6&gt;=$G77),1,"")</x:f>
      </x:c>
      <x:c r="AK77" s="167" t="str">
        <x:f>IF(AND(AK$6&lt;=$H77,AK$6+6&gt;=$G77),1,"")</x:f>
      </x:c>
      <x:c r="AL77" s="167" t="str">
        <x:f>IF(AND(AL$6&lt;=$H77,AL$6+6&gt;=$G77),1,"")</x:f>
      </x:c>
      <x:c r="AM77" s="167" t="str">
        <x:f>IF(AND(AM$6&lt;=$H77,AM$6+6&gt;=$G77),1,"")</x:f>
      </x:c>
      <x:c r="AN77" s="167" t="str">
        <x:f>IF(AND(AN$6&lt;=$H77,AN$6+6&gt;=$G77),1,"")</x:f>
      </x:c>
      <x:c r="AO77" s="167" t="str">
        <x:f>IF(AND(AO$6&lt;=$H77,AO$6+6&gt;=$G77),1,"")</x:f>
      </x:c>
      <x:c r="AP77" s="167" t="str">
        <x:f>IF(AND(AP$6&lt;=$H77,AP$6+6&gt;=$G77),1,"")</x:f>
      </x:c>
      <x:c r="AQ77" s="167" t="str">
        <x:f>IF(AND(AQ$6&lt;=$H77,AQ$6+6&gt;=$G77),1,"")</x:f>
      </x:c>
      <x:c r="AR77" s="167" t="str">
        <x:f>IF(AND(AR$6&lt;=$H77,AR$6+6&gt;=$G77),1,"")</x:f>
      </x:c>
      <x:c r="AS77" s="167" t="str">
        <x:f>IF(AND(AS$6&lt;=$H77,AS$6+6&gt;=$G77),1,"")</x:f>
      </x:c>
      <x:c r="AT77" s="167" t="str">
        <x:f>IF(AND(AT$6&lt;=$H77,AT$6+6&gt;=$G77),1,"")</x:f>
      </x:c>
      <x:c r="AU77" s="167" t="str">
        <x:f>IF(AND(AU$6&lt;=$H77,AU$6+6&gt;=$G77),1,"")</x:f>
      </x:c>
      <x:c r="AV77" s="167" t="str">
        <x:f>IF(AND(AV$6&lt;=$H77,AV$6+6&gt;=$G77),1,"")</x:f>
      </x:c>
      <x:c r="AW77" s="167" t="str">
        <x:f>IF(AND(AW$6&lt;=$H77,AW$6+6&gt;=$G77),1,"")</x:f>
      </x:c>
      <x:c r="AX77" s="167" t="str">
        <x:f>IF(AND(AX$6&lt;=$H77,AX$6+6&gt;=$G77),1,"")</x:f>
      </x:c>
      <x:c r="AY77" s="167" t="str">
        <x:f>IF(AND(AY$6&lt;=$H77,AY$6+6&gt;=$G77),1,"")</x:f>
      </x:c>
      <x:c r="AZ77" s="167" t="str">
        <x:f>IF(AND(AZ$6&lt;=$H77,AZ$6+6&gt;=$G77),1,"")</x:f>
      </x:c>
      <x:c r="BA77" s="167" t="str">
        <x:f>IF(AND(BA$6&lt;=$H77,BA$6+6&gt;=$G77),1,"")</x:f>
      </x:c>
      <x:c r="BB77" s="167" t="str">
        <x:f>IF(AND(BB$6&lt;=$H77,BB$6+6&gt;=$G77),1,"")</x:f>
      </x:c>
      <x:c r="BC77" s="167" t="str">
        <x:f>IF(AND(BC$6&lt;=$H77,BC$6+6&gt;=$G77),1,"")</x:f>
      </x:c>
      <x:c r="BD77" s="167" t="str">
        <x:f>IF(AND(BD$6&lt;=$H77,BD$6+6&gt;=$G77),1,"")</x:f>
      </x:c>
      <x:c r="BE77" s="167" t="str">
        <x:f>IF(AND(BE$6&lt;=$H77,BE$6+6&gt;=$G77),1,"")</x:f>
      </x:c>
      <x:c r="BF77" s="167" t="str">
        <x:f>IF(AND(BF$6&lt;=$H77,BF$6+6&gt;=$G77),1,"")</x:f>
      </x:c>
      <x:c r="BG77" s="167" t="str">
        <x:f>IF(AND(BG$6&lt;=$H77,BG$6+6&gt;=$G77),1,"")</x:f>
      </x:c>
      <x:c r="BH77" s="167" t="str">
        <x:f>IF(AND(BH$6&lt;=$H77,BH$6+6&gt;=$G77),1,"")</x:f>
      </x:c>
      <x:c r="BI77" s="167" t="str">
        <x:f>IF(AND(BI$6&lt;=$H77,BI$6+6&gt;=$G77),1,"")</x:f>
      </x:c>
      <x:c r="BJ77" s="167" t="str">
        <x:f>IF(AND(BJ$6&lt;=$H77,BJ$6+6&gt;=$G77),1,"")</x:f>
      </x:c>
      <x:c r="BK77" s="167" t="str">
        <x:f>IF(AND(BK$6&lt;=$H77,BK$6+6&gt;=$G77),1,"")</x:f>
      </x:c>
      <x:c r="BL77" s="167" t="str">
        <x:f>IF(AND(BL$6&lt;=$H77,BL$6+6&gt;=$G77),1,"")</x:f>
      </x:c>
      <x:c r="BM77" s="167" t="str">
        <x:f>IF(AND(BM$6&lt;=$H77,BM$6+6&gt;=$G77),1,"")</x:f>
      </x:c>
      <x:c r="BN77" s="167" t="str">
        <x:f>IF(AND(BN$6&lt;=$H77,BN$6+6&gt;=$G77),1,"")</x:f>
      </x:c>
      <x:c r="BO77" s="168" t="str">
        <x:f>IF(AND(BO$6&lt;=$H77,BO$6+6&gt;=$G77),1,"")</x:f>
      </x:c>
    </x:row>
    <x:row r="78" ht="24" customHeight="1">
      <x:c r="A78" s="68" t="str">
        <x:f>'Task Register'!A76</x:f>
        <x:v>T-507</x:v>
      </x:c>
      <x:c r="B78" s="68" t="str">
        <x:f>'Task Register'!B76</x:f>
        <x:v>M5</x:v>
      </x:c>
      <x:c r="C78" s="68" t="str">
        <x:f>'Task Register'!C76</x:f>
        <x:v>Actuation/Mechanical Decision</x:v>
      </x:c>
      <x:c r="D78" s="68" t="str">
        <x:f>'Task Register'!D76</x:f>
        <x:v>Compare direct drive and belt-reduction architectures</x:v>
      </x:c>
      <x:c r="E78" s="68" t="str">
        <x:f>'Task Register'!E76</x:f>
        <x:v>T-503, T-505, T-506</x:v>
      </x:c>
      <x:c r="F78" s="68" t="str">
        <x:f>'Task Register'!F76</x:f>
        <x:v>Blocked</x:v>
      </x:c>
      <x:c r="G78" s="94" t="n">
        <x:f>'Task Register'!I76</x:f>
        <x:v>46293</x:v>
      </x:c>
      <x:c r="H78" s="94" t="n">
        <x:f>'Task Register'!J76</x:f>
        <x:v>46295</x:v>
      </x:c>
      <x:c r="I78" s="166" t="str">
        <x:f>IF(AND(I$6&lt;=$H78,I$6+6&gt;=$G78),1,"")</x:f>
      </x:c>
      <x:c r="J78" s="167" t="str">
        <x:f>IF(AND(J$6&lt;=$H78,J$6+6&gt;=$G78),1,"")</x:f>
      </x:c>
      <x:c r="K78" s="167" t="str">
        <x:f>IF(AND(K$6&lt;=$H78,K$6+6&gt;=$G78),1,"")</x:f>
      </x:c>
      <x:c r="L78" s="167" t="str">
        <x:f>IF(AND(L$6&lt;=$H78,L$6+6&gt;=$G78),1,"")</x:f>
      </x:c>
      <x:c r="M78" s="167" t="str">
        <x:f>IF(AND(M$6&lt;=$H78,M$6+6&gt;=$G78),1,"")</x:f>
      </x:c>
      <x:c r="N78" s="167" t="str">
        <x:f>IF(AND(N$6&lt;=$H78,N$6+6&gt;=$G78),1,"")</x:f>
      </x:c>
      <x:c r="O78" s="167" t="str">
        <x:f>IF(AND(O$6&lt;=$H78,O$6+6&gt;=$G78),1,"")</x:f>
      </x:c>
      <x:c r="P78" s="167" t="str">
        <x:f>IF(AND(P$6&lt;=$H78,P$6+6&gt;=$G78),1,"")</x:f>
      </x:c>
      <x:c r="Q78" s="167" t="n">
        <x:f>IF(AND(Q$6&lt;=$H78,Q$6+6&gt;=$G78),1,"")</x:f>
        <x:v>1</x:v>
      </x:c>
      <x:c r="R78" s="167" t="str">
        <x:f>IF(AND(R$6&lt;=$H78,R$6+6&gt;=$G78),1,"")</x:f>
      </x:c>
      <x:c r="S78" s="167" t="str">
        <x:f>IF(AND(S$6&lt;=$H78,S$6+6&gt;=$G78),1,"")</x:f>
      </x:c>
      <x:c r="T78" s="167" t="str">
        <x:f>IF(AND(T$6&lt;=$H78,T$6+6&gt;=$G78),1,"")</x:f>
      </x:c>
      <x:c r="U78" s="167" t="str">
        <x:f>IF(AND(U$6&lt;=$H78,U$6+6&gt;=$G78),1,"")</x:f>
      </x:c>
      <x:c r="V78" s="167" t="str">
        <x:f>IF(AND(V$6&lt;=$H78,V$6+6&gt;=$G78),1,"")</x:f>
      </x:c>
      <x:c r="W78" s="167" t="str">
        <x:f>IF(AND(W$6&lt;=$H78,W$6+6&gt;=$G78),1,"")</x:f>
      </x:c>
      <x:c r="X78" s="167" t="str">
        <x:f>IF(AND(X$6&lt;=$H78,X$6+6&gt;=$G78),1,"")</x:f>
      </x:c>
      <x:c r="Y78" s="167" t="str">
        <x:f>IF(AND(Y$6&lt;=$H78,Y$6+6&gt;=$G78),1,"")</x:f>
      </x:c>
      <x:c r="Z78" s="167" t="str">
        <x:f>IF(AND(Z$6&lt;=$H78,Z$6+6&gt;=$G78),1,"")</x:f>
      </x:c>
      <x:c r="AA78" s="167" t="str">
        <x:f>IF(AND(AA$6&lt;=$H78,AA$6+6&gt;=$G78),1,"")</x:f>
      </x:c>
      <x:c r="AB78" s="167" t="str">
        <x:f>IF(AND(AB$6&lt;=$H78,AB$6+6&gt;=$G78),1,"")</x:f>
      </x:c>
      <x:c r="AC78" s="167" t="str">
        <x:f>IF(AND(AC$6&lt;=$H78,AC$6+6&gt;=$G78),1,"")</x:f>
      </x:c>
      <x:c r="AD78" s="167" t="str">
        <x:f>IF(AND(AD$6&lt;=$H78,AD$6+6&gt;=$G78),1,"")</x:f>
      </x:c>
      <x:c r="AE78" s="167" t="str">
        <x:f>IF(AND(AE$6&lt;=$H78,AE$6+6&gt;=$G78),1,"")</x:f>
      </x:c>
      <x:c r="AF78" s="167" t="str">
        <x:f>IF(AND(AF$6&lt;=$H78,AF$6+6&gt;=$G78),1,"")</x:f>
      </x:c>
      <x:c r="AG78" s="167" t="str">
        <x:f>IF(AND(AG$6&lt;=$H78,AG$6+6&gt;=$G78),1,"")</x:f>
      </x:c>
      <x:c r="AH78" s="167" t="str">
        <x:f>IF(AND(AH$6&lt;=$H78,AH$6+6&gt;=$G78),1,"")</x:f>
      </x:c>
      <x:c r="AI78" s="167" t="str">
        <x:f>IF(AND(AI$6&lt;=$H78,AI$6+6&gt;=$G78),1,"")</x:f>
      </x:c>
      <x:c r="AJ78" s="167" t="str">
        <x:f>IF(AND(AJ$6&lt;=$H78,AJ$6+6&gt;=$G78),1,"")</x:f>
      </x:c>
      <x:c r="AK78" s="167" t="str">
        <x:f>IF(AND(AK$6&lt;=$H78,AK$6+6&gt;=$G78),1,"")</x:f>
      </x:c>
      <x:c r="AL78" s="167" t="str">
        <x:f>IF(AND(AL$6&lt;=$H78,AL$6+6&gt;=$G78),1,"")</x:f>
      </x:c>
      <x:c r="AM78" s="167" t="str">
        <x:f>IF(AND(AM$6&lt;=$H78,AM$6+6&gt;=$G78),1,"")</x:f>
      </x:c>
      <x:c r="AN78" s="167" t="str">
        <x:f>IF(AND(AN$6&lt;=$H78,AN$6+6&gt;=$G78),1,"")</x:f>
      </x:c>
      <x:c r="AO78" s="167" t="str">
        <x:f>IF(AND(AO$6&lt;=$H78,AO$6+6&gt;=$G78),1,"")</x:f>
      </x:c>
      <x:c r="AP78" s="167" t="str">
        <x:f>IF(AND(AP$6&lt;=$H78,AP$6+6&gt;=$G78),1,"")</x:f>
      </x:c>
      <x:c r="AQ78" s="167" t="str">
        <x:f>IF(AND(AQ$6&lt;=$H78,AQ$6+6&gt;=$G78),1,"")</x:f>
      </x:c>
      <x:c r="AR78" s="167" t="str">
        <x:f>IF(AND(AR$6&lt;=$H78,AR$6+6&gt;=$G78),1,"")</x:f>
      </x:c>
      <x:c r="AS78" s="167" t="str">
        <x:f>IF(AND(AS$6&lt;=$H78,AS$6+6&gt;=$G78),1,"")</x:f>
      </x:c>
      <x:c r="AT78" s="167" t="str">
        <x:f>IF(AND(AT$6&lt;=$H78,AT$6+6&gt;=$G78),1,"")</x:f>
      </x:c>
      <x:c r="AU78" s="167" t="str">
        <x:f>IF(AND(AU$6&lt;=$H78,AU$6+6&gt;=$G78),1,"")</x:f>
      </x:c>
      <x:c r="AV78" s="167" t="str">
        <x:f>IF(AND(AV$6&lt;=$H78,AV$6+6&gt;=$G78),1,"")</x:f>
      </x:c>
      <x:c r="AW78" s="167" t="str">
        <x:f>IF(AND(AW$6&lt;=$H78,AW$6+6&gt;=$G78),1,"")</x:f>
      </x:c>
      <x:c r="AX78" s="167" t="str">
        <x:f>IF(AND(AX$6&lt;=$H78,AX$6+6&gt;=$G78),1,"")</x:f>
      </x:c>
      <x:c r="AY78" s="167" t="str">
        <x:f>IF(AND(AY$6&lt;=$H78,AY$6+6&gt;=$G78),1,"")</x:f>
      </x:c>
      <x:c r="AZ78" s="167" t="str">
        <x:f>IF(AND(AZ$6&lt;=$H78,AZ$6+6&gt;=$G78),1,"")</x:f>
      </x:c>
      <x:c r="BA78" s="167" t="str">
        <x:f>IF(AND(BA$6&lt;=$H78,BA$6+6&gt;=$G78),1,"")</x:f>
      </x:c>
      <x:c r="BB78" s="167" t="str">
        <x:f>IF(AND(BB$6&lt;=$H78,BB$6+6&gt;=$G78),1,"")</x:f>
      </x:c>
      <x:c r="BC78" s="167" t="str">
        <x:f>IF(AND(BC$6&lt;=$H78,BC$6+6&gt;=$G78),1,"")</x:f>
      </x:c>
      <x:c r="BD78" s="167" t="str">
        <x:f>IF(AND(BD$6&lt;=$H78,BD$6+6&gt;=$G78),1,"")</x:f>
      </x:c>
      <x:c r="BE78" s="167" t="str">
        <x:f>IF(AND(BE$6&lt;=$H78,BE$6+6&gt;=$G78),1,"")</x:f>
      </x:c>
      <x:c r="BF78" s="167" t="str">
        <x:f>IF(AND(BF$6&lt;=$H78,BF$6+6&gt;=$G78),1,"")</x:f>
      </x:c>
      <x:c r="BG78" s="167" t="str">
        <x:f>IF(AND(BG$6&lt;=$H78,BG$6+6&gt;=$G78),1,"")</x:f>
      </x:c>
      <x:c r="BH78" s="167" t="str">
        <x:f>IF(AND(BH$6&lt;=$H78,BH$6+6&gt;=$G78),1,"")</x:f>
      </x:c>
      <x:c r="BI78" s="167" t="str">
        <x:f>IF(AND(BI$6&lt;=$H78,BI$6+6&gt;=$G78),1,"")</x:f>
      </x:c>
      <x:c r="BJ78" s="167" t="str">
        <x:f>IF(AND(BJ$6&lt;=$H78,BJ$6+6&gt;=$G78),1,"")</x:f>
      </x:c>
      <x:c r="BK78" s="167" t="str">
        <x:f>IF(AND(BK$6&lt;=$H78,BK$6+6&gt;=$G78),1,"")</x:f>
      </x:c>
      <x:c r="BL78" s="167" t="str">
        <x:f>IF(AND(BL$6&lt;=$H78,BL$6+6&gt;=$G78),1,"")</x:f>
      </x:c>
      <x:c r="BM78" s="167" t="str">
        <x:f>IF(AND(BM$6&lt;=$H78,BM$6+6&gt;=$G78),1,"")</x:f>
      </x:c>
      <x:c r="BN78" s="167" t="str">
        <x:f>IF(AND(BN$6&lt;=$H78,BN$6+6&gt;=$G78),1,"")</x:f>
      </x:c>
      <x:c r="BO78" s="168" t="str">
        <x:f>IF(AND(BO$6&lt;=$H78,BO$6+6&gt;=$G78),1,"")</x:f>
      </x:c>
    </x:row>
    <x:row r="79" ht="24" customHeight="1">
      <x:c r="A79" s="68" t="str">
        <x:f>'Task Register'!A77</x:f>
        <x:v>T-508</x:v>
      </x:c>
      <x:c r="B79" s="68" t="str">
        <x:f>'Task Register'!B77</x:f>
        <x:v>M5</x:v>
      </x:c>
      <x:c r="C79" s="68" t="str">
        <x:f>'Task Register'!C77</x:f>
        <x:v>Dynamics/Mechanical</x:v>
      </x:c>
      <x:c r="D79" s="68" t="str">
        <x:f>'Task Register'!D77</x:f>
        <x:v>Build mass, inertia, torque, stiffness, and thermal budgets</x:v>
      </x:c>
      <x:c r="E79" s="68" t="str">
        <x:f>'Task Register'!E77</x:f>
        <x:v>T-503, T-505, T-507</x:v>
      </x:c>
      <x:c r="F79" s="68" t="str">
        <x:f>'Task Register'!F77</x:f>
        <x:v>Blocked</x:v>
      </x:c>
      <x:c r="G79" s="94" t="n">
        <x:f>'Task Register'!I77</x:f>
        <x:v>46296</x:v>
      </x:c>
      <x:c r="H79" s="94" t="n">
        <x:f>'Task Register'!J77</x:f>
        <x:v>46300</x:v>
      </x:c>
      <x:c r="I79" s="166" t="str">
        <x:f>IF(AND(I$6&lt;=$H79,I$6+6&gt;=$G79),1,"")</x:f>
      </x:c>
      <x:c r="J79" s="167" t="str">
        <x:f>IF(AND(J$6&lt;=$H79,J$6+6&gt;=$G79),1,"")</x:f>
      </x:c>
      <x:c r="K79" s="167" t="str">
        <x:f>IF(AND(K$6&lt;=$H79,K$6+6&gt;=$G79),1,"")</x:f>
      </x:c>
      <x:c r="L79" s="167" t="str">
        <x:f>IF(AND(L$6&lt;=$H79,L$6+6&gt;=$G79),1,"")</x:f>
      </x:c>
      <x:c r="M79" s="167" t="str">
        <x:f>IF(AND(M$6&lt;=$H79,M$6+6&gt;=$G79),1,"")</x:f>
      </x:c>
      <x:c r="N79" s="167" t="str">
        <x:f>IF(AND(N$6&lt;=$H79,N$6+6&gt;=$G79),1,"")</x:f>
      </x:c>
      <x:c r="O79" s="167" t="str">
        <x:f>IF(AND(O$6&lt;=$H79,O$6+6&gt;=$G79),1,"")</x:f>
      </x:c>
      <x:c r="P79" s="167" t="str">
        <x:f>IF(AND(P$6&lt;=$H79,P$6+6&gt;=$G79),1,"")</x:f>
      </x:c>
      <x:c r="Q79" s="167" t="n">
        <x:f>IF(AND(Q$6&lt;=$H79,Q$6+6&gt;=$G79),1,"")</x:f>
        <x:v>1</x:v>
      </x:c>
      <x:c r="R79" s="167" t="n">
        <x:f>IF(AND(R$6&lt;=$H79,R$6+6&gt;=$G79),1,"")</x:f>
        <x:v>1</x:v>
      </x:c>
      <x:c r="S79" s="167" t="str">
        <x:f>IF(AND(S$6&lt;=$H79,S$6+6&gt;=$G79),1,"")</x:f>
      </x:c>
      <x:c r="T79" s="167" t="str">
        <x:f>IF(AND(T$6&lt;=$H79,T$6+6&gt;=$G79),1,"")</x:f>
      </x:c>
      <x:c r="U79" s="167" t="str">
        <x:f>IF(AND(U$6&lt;=$H79,U$6+6&gt;=$G79),1,"")</x:f>
      </x:c>
      <x:c r="V79" s="167" t="str">
        <x:f>IF(AND(V$6&lt;=$H79,V$6+6&gt;=$G79),1,"")</x:f>
      </x:c>
      <x:c r="W79" s="167" t="str">
        <x:f>IF(AND(W$6&lt;=$H79,W$6+6&gt;=$G79),1,"")</x:f>
      </x:c>
      <x:c r="X79" s="167" t="str">
        <x:f>IF(AND(X$6&lt;=$H79,X$6+6&gt;=$G79),1,"")</x:f>
      </x:c>
      <x:c r="Y79" s="167" t="str">
        <x:f>IF(AND(Y$6&lt;=$H79,Y$6+6&gt;=$G79),1,"")</x:f>
      </x:c>
      <x:c r="Z79" s="167" t="str">
        <x:f>IF(AND(Z$6&lt;=$H79,Z$6+6&gt;=$G79),1,"")</x:f>
      </x:c>
      <x:c r="AA79" s="167" t="str">
        <x:f>IF(AND(AA$6&lt;=$H79,AA$6+6&gt;=$G79),1,"")</x:f>
      </x:c>
      <x:c r="AB79" s="167" t="str">
        <x:f>IF(AND(AB$6&lt;=$H79,AB$6+6&gt;=$G79),1,"")</x:f>
      </x:c>
      <x:c r="AC79" s="167" t="str">
        <x:f>IF(AND(AC$6&lt;=$H79,AC$6+6&gt;=$G79),1,"")</x:f>
      </x:c>
      <x:c r="AD79" s="167" t="str">
        <x:f>IF(AND(AD$6&lt;=$H79,AD$6+6&gt;=$G79),1,"")</x:f>
      </x:c>
      <x:c r="AE79" s="167" t="str">
        <x:f>IF(AND(AE$6&lt;=$H79,AE$6+6&gt;=$G79),1,"")</x:f>
      </x:c>
      <x:c r="AF79" s="167" t="str">
        <x:f>IF(AND(AF$6&lt;=$H79,AF$6+6&gt;=$G79),1,"")</x:f>
      </x:c>
      <x:c r="AG79" s="167" t="str">
        <x:f>IF(AND(AG$6&lt;=$H79,AG$6+6&gt;=$G79),1,"")</x:f>
      </x:c>
      <x:c r="AH79" s="167" t="str">
        <x:f>IF(AND(AH$6&lt;=$H79,AH$6+6&gt;=$G79),1,"")</x:f>
      </x:c>
      <x:c r="AI79" s="167" t="str">
        <x:f>IF(AND(AI$6&lt;=$H79,AI$6+6&gt;=$G79),1,"")</x:f>
      </x:c>
      <x:c r="AJ79" s="167" t="str">
        <x:f>IF(AND(AJ$6&lt;=$H79,AJ$6+6&gt;=$G79),1,"")</x:f>
      </x:c>
      <x:c r="AK79" s="167" t="str">
        <x:f>IF(AND(AK$6&lt;=$H79,AK$6+6&gt;=$G79),1,"")</x:f>
      </x:c>
      <x:c r="AL79" s="167" t="str">
        <x:f>IF(AND(AL$6&lt;=$H79,AL$6+6&gt;=$G79),1,"")</x:f>
      </x:c>
      <x:c r="AM79" s="167" t="str">
        <x:f>IF(AND(AM$6&lt;=$H79,AM$6+6&gt;=$G79),1,"")</x:f>
      </x:c>
      <x:c r="AN79" s="167" t="str">
        <x:f>IF(AND(AN$6&lt;=$H79,AN$6+6&gt;=$G79),1,"")</x:f>
      </x:c>
      <x:c r="AO79" s="167" t="str">
        <x:f>IF(AND(AO$6&lt;=$H79,AO$6+6&gt;=$G79),1,"")</x:f>
      </x:c>
      <x:c r="AP79" s="167" t="str">
        <x:f>IF(AND(AP$6&lt;=$H79,AP$6+6&gt;=$G79),1,"")</x:f>
      </x:c>
      <x:c r="AQ79" s="167" t="str">
        <x:f>IF(AND(AQ$6&lt;=$H79,AQ$6+6&gt;=$G79),1,"")</x:f>
      </x:c>
      <x:c r="AR79" s="167" t="str">
        <x:f>IF(AND(AR$6&lt;=$H79,AR$6+6&gt;=$G79),1,"")</x:f>
      </x:c>
      <x:c r="AS79" s="167" t="str">
        <x:f>IF(AND(AS$6&lt;=$H79,AS$6+6&gt;=$G79),1,"")</x:f>
      </x:c>
      <x:c r="AT79" s="167" t="str">
        <x:f>IF(AND(AT$6&lt;=$H79,AT$6+6&gt;=$G79),1,"")</x:f>
      </x:c>
      <x:c r="AU79" s="167" t="str">
        <x:f>IF(AND(AU$6&lt;=$H79,AU$6+6&gt;=$G79),1,"")</x:f>
      </x:c>
      <x:c r="AV79" s="167" t="str">
        <x:f>IF(AND(AV$6&lt;=$H79,AV$6+6&gt;=$G79),1,"")</x:f>
      </x:c>
      <x:c r="AW79" s="167" t="str">
        <x:f>IF(AND(AW$6&lt;=$H79,AW$6+6&gt;=$G79),1,"")</x:f>
      </x:c>
      <x:c r="AX79" s="167" t="str">
        <x:f>IF(AND(AX$6&lt;=$H79,AX$6+6&gt;=$G79),1,"")</x:f>
      </x:c>
      <x:c r="AY79" s="167" t="str">
        <x:f>IF(AND(AY$6&lt;=$H79,AY$6+6&gt;=$G79),1,"")</x:f>
      </x:c>
      <x:c r="AZ79" s="167" t="str">
        <x:f>IF(AND(AZ$6&lt;=$H79,AZ$6+6&gt;=$G79),1,"")</x:f>
      </x:c>
      <x:c r="BA79" s="167" t="str">
        <x:f>IF(AND(BA$6&lt;=$H79,BA$6+6&gt;=$G79),1,"")</x:f>
      </x:c>
      <x:c r="BB79" s="167" t="str">
        <x:f>IF(AND(BB$6&lt;=$H79,BB$6+6&gt;=$G79),1,"")</x:f>
      </x:c>
      <x:c r="BC79" s="167" t="str">
        <x:f>IF(AND(BC$6&lt;=$H79,BC$6+6&gt;=$G79),1,"")</x:f>
      </x:c>
      <x:c r="BD79" s="167" t="str">
        <x:f>IF(AND(BD$6&lt;=$H79,BD$6+6&gt;=$G79),1,"")</x:f>
      </x:c>
      <x:c r="BE79" s="167" t="str">
        <x:f>IF(AND(BE$6&lt;=$H79,BE$6+6&gt;=$G79),1,"")</x:f>
      </x:c>
      <x:c r="BF79" s="167" t="str">
        <x:f>IF(AND(BF$6&lt;=$H79,BF$6+6&gt;=$G79),1,"")</x:f>
      </x:c>
      <x:c r="BG79" s="167" t="str">
        <x:f>IF(AND(BG$6&lt;=$H79,BG$6+6&gt;=$G79),1,"")</x:f>
      </x:c>
      <x:c r="BH79" s="167" t="str">
        <x:f>IF(AND(BH$6&lt;=$H79,BH$6+6&gt;=$G79),1,"")</x:f>
      </x:c>
      <x:c r="BI79" s="167" t="str">
        <x:f>IF(AND(BI$6&lt;=$H79,BI$6+6&gt;=$G79),1,"")</x:f>
      </x:c>
      <x:c r="BJ79" s="167" t="str">
        <x:f>IF(AND(BJ$6&lt;=$H79,BJ$6+6&gt;=$G79),1,"")</x:f>
      </x:c>
      <x:c r="BK79" s="167" t="str">
        <x:f>IF(AND(BK$6&lt;=$H79,BK$6+6&gt;=$G79),1,"")</x:f>
      </x:c>
      <x:c r="BL79" s="167" t="str">
        <x:f>IF(AND(BL$6&lt;=$H79,BL$6+6&gt;=$G79),1,"")</x:f>
      </x:c>
      <x:c r="BM79" s="167" t="str">
        <x:f>IF(AND(BM$6&lt;=$H79,BM$6+6&gt;=$G79),1,"")</x:f>
      </x:c>
      <x:c r="BN79" s="167" t="str">
        <x:f>IF(AND(BN$6&lt;=$H79,BN$6+6&gt;=$G79),1,"")</x:f>
      </x:c>
      <x:c r="BO79" s="168" t="str">
        <x:f>IF(AND(BO$6&lt;=$H79,BO$6+6&gt;=$G79),1,"")</x:f>
      </x:c>
    </x:row>
    <x:row r="80" ht="24" customHeight="1">
      <x:c r="A80" s="68" t="str">
        <x:f>'Task Register'!A78</x:f>
        <x:v>T-509</x:v>
      </x:c>
      <x:c r="B80" s="68" t="str">
        <x:f>'Task Register'!B78</x:f>
        <x:v>M5</x:v>
      </x:c>
      <x:c r="C80" s="68" t="str">
        <x:f>'Task Register'!C78</x:f>
        <x:v>End Effector/Workcell</x:v>
      </x:c>
      <x:c r="D80" s="68" t="str">
        <x:f>'Task Register'!D78</x:f>
        <x:v>Define brush, canvas, camera, paint, and cleaning interfaces</x:v>
      </x:c>
      <x:c r="E80" s="68" t="str">
        <x:f>'Task Register'!E78</x:f>
        <x:v>T-502, T-505</x:v>
      </x:c>
      <x:c r="F80" s="68" t="str">
        <x:f>'Task Register'!F78</x:f>
        <x:v>Blocked</x:v>
      </x:c>
      <x:c r="G80" s="94" t="n">
        <x:f>'Task Register'!I78</x:f>
        <x:v>46301</x:v>
      </x:c>
      <x:c r="H80" s="94" t="n">
        <x:f>'Task Register'!J78</x:f>
        <x:v>46302</x:v>
      </x:c>
      <x:c r="I80" s="166" t="str">
        <x:f>IF(AND(I$6&lt;=$H80,I$6+6&gt;=$G80),1,"")</x:f>
      </x:c>
      <x:c r="J80" s="167" t="str">
        <x:f>IF(AND(J$6&lt;=$H80,J$6+6&gt;=$G80),1,"")</x:f>
      </x:c>
      <x:c r="K80" s="167" t="str">
        <x:f>IF(AND(K$6&lt;=$H80,K$6+6&gt;=$G80),1,"")</x:f>
      </x:c>
      <x:c r="L80" s="167" t="str">
        <x:f>IF(AND(L$6&lt;=$H80,L$6+6&gt;=$G80),1,"")</x:f>
      </x:c>
      <x:c r="M80" s="167" t="str">
        <x:f>IF(AND(M$6&lt;=$H80,M$6+6&gt;=$G80),1,"")</x:f>
      </x:c>
      <x:c r="N80" s="167" t="str">
        <x:f>IF(AND(N$6&lt;=$H80,N$6+6&gt;=$G80),1,"")</x:f>
      </x:c>
      <x:c r="O80" s="167" t="str">
        <x:f>IF(AND(O$6&lt;=$H80,O$6+6&gt;=$G80),1,"")</x:f>
      </x:c>
      <x:c r="P80" s="167" t="str">
        <x:f>IF(AND(P$6&lt;=$H80,P$6+6&gt;=$G80),1,"")</x:f>
      </x:c>
      <x:c r="Q80" s="167" t="str">
        <x:f>IF(AND(Q$6&lt;=$H80,Q$6+6&gt;=$G80),1,"")</x:f>
      </x:c>
      <x:c r="R80" s="167" t="n">
        <x:f>IF(AND(R$6&lt;=$H80,R$6+6&gt;=$G80),1,"")</x:f>
        <x:v>1</x:v>
      </x:c>
      <x:c r="S80" s="167" t="str">
        <x:f>IF(AND(S$6&lt;=$H80,S$6+6&gt;=$G80),1,"")</x:f>
      </x:c>
      <x:c r="T80" s="167" t="str">
        <x:f>IF(AND(T$6&lt;=$H80,T$6+6&gt;=$G80),1,"")</x:f>
      </x:c>
      <x:c r="U80" s="167" t="str">
        <x:f>IF(AND(U$6&lt;=$H80,U$6+6&gt;=$G80),1,"")</x:f>
      </x:c>
      <x:c r="V80" s="167" t="str">
        <x:f>IF(AND(V$6&lt;=$H80,V$6+6&gt;=$G80),1,"")</x:f>
      </x:c>
      <x:c r="W80" s="167" t="str">
        <x:f>IF(AND(W$6&lt;=$H80,W$6+6&gt;=$G80),1,"")</x:f>
      </x:c>
      <x:c r="X80" s="167" t="str">
        <x:f>IF(AND(X$6&lt;=$H80,X$6+6&gt;=$G80),1,"")</x:f>
      </x:c>
      <x:c r="Y80" s="167" t="str">
        <x:f>IF(AND(Y$6&lt;=$H80,Y$6+6&gt;=$G80),1,"")</x:f>
      </x:c>
      <x:c r="Z80" s="167" t="str">
        <x:f>IF(AND(Z$6&lt;=$H80,Z$6+6&gt;=$G80),1,"")</x:f>
      </x:c>
      <x:c r="AA80" s="167" t="str">
        <x:f>IF(AND(AA$6&lt;=$H80,AA$6+6&gt;=$G80),1,"")</x:f>
      </x:c>
      <x:c r="AB80" s="167" t="str">
        <x:f>IF(AND(AB$6&lt;=$H80,AB$6+6&gt;=$G80),1,"")</x:f>
      </x:c>
      <x:c r="AC80" s="167" t="str">
        <x:f>IF(AND(AC$6&lt;=$H80,AC$6+6&gt;=$G80),1,"")</x:f>
      </x:c>
      <x:c r="AD80" s="167" t="str">
        <x:f>IF(AND(AD$6&lt;=$H80,AD$6+6&gt;=$G80),1,"")</x:f>
      </x:c>
      <x:c r="AE80" s="167" t="str">
        <x:f>IF(AND(AE$6&lt;=$H80,AE$6+6&gt;=$G80),1,"")</x:f>
      </x:c>
      <x:c r="AF80" s="167" t="str">
        <x:f>IF(AND(AF$6&lt;=$H80,AF$6+6&gt;=$G80),1,"")</x:f>
      </x:c>
      <x:c r="AG80" s="167" t="str">
        <x:f>IF(AND(AG$6&lt;=$H80,AG$6+6&gt;=$G80),1,"")</x:f>
      </x:c>
      <x:c r="AH80" s="167" t="str">
        <x:f>IF(AND(AH$6&lt;=$H80,AH$6+6&gt;=$G80),1,"")</x:f>
      </x:c>
      <x:c r="AI80" s="167" t="str">
        <x:f>IF(AND(AI$6&lt;=$H80,AI$6+6&gt;=$G80),1,"")</x:f>
      </x:c>
      <x:c r="AJ80" s="167" t="str">
        <x:f>IF(AND(AJ$6&lt;=$H80,AJ$6+6&gt;=$G80),1,"")</x:f>
      </x:c>
      <x:c r="AK80" s="167" t="str">
        <x:f>IF(AND(AK$6&lt;=$H80,AK$6+6&gt;=$G80),1,"")</x:f>
      </x:c>
      <x:c r="AL80" s="167" t="str">
        <x:f>IF(AND(AL$6&lt;=$H80,AL$6+6&gt;=$G80),1,"")</x:f>
      </x:c>
      <x:c r="AM80" s="167" t="str">
        <x:f>IF(AND(AM$6&lt;=$H80,AM$6+6&gt;=$G80),1,"")</x:f>
      </x:c>
      <x:c r="AN80" s="167" t="str">
        <x:f>IF(AND(AN$6&lt;=$H80,AN$6+6&gt;=$G80),1,"")</x:f>
      </x:c>
      <x:c r="AO80" s="167" t="str">
        <x:f>IF(AND(AO$6&lt;=$H80,AO$6+6&gt;=$G80),1,"")</x:f>
      </x:c>
      <x:c r="AP80" s="167" t="str">
        <x:f>IF(AND(AP$6&lt;=$H80,AP$6+6&gt;=$G80),1,"")</x:f>
      </x:c>
      <x:c r="AQ80" s="167" t="str">
        <x:f>IF(AND(AQ$6&lt;=$H80,AQ$6+6&gt;=$G80),1,"")</x:f>
      </x:c>
      <x:c r="AR80" s="167" t="str">
        <x:f>IF(AND(AR$6&lt;=$H80,AR$6+6&gt;=$G80),1,"")</x:f>
      </x:c>
      <x:c r="AS80" s="167" t="str">
        <x:f>IF(AND(AS$6&lt;=$H80,AS$6+6&gt;=$G80),1,"")</x:f>
      </x:c>
      <x:c r="AT80" s="167" t="str">
        <x:f>IF(AND(AT$6&lt;=$H80,AT$6+6&gt;=$G80),1,"")</x:f>
      </x:c>
      <x:c r="AU80" s="167" t="str">
        <x:f>IF(AND(AU$6&lt;=$H80,AU$6+6&gt;=$G80),1,"")</x:f>
      </x:c>
      <x:c r="AV80" s="167" t="str">
        <x:f>IF(AND(AV$6&lt;=$H80,AV$6+6&gt;=$G80),1,"")</x:f>
      </x:c>
      <x:c r="AW80" s="167" t="str">
        <x:f>IF(AND(AW$6&lt;=$H80,AW$6+6&gt;=$G80),1,"")</x:f>
      </x:c>
      <x:c r="AX80" s="167" t="str">
        <x:f>IF(AND(AX$6&lt;=$H80,AX$6+6&gt;=$G80),1,"")</x:f>
      </x:c>
      <x:c r="AY80" s="167" t="str">
        <x:f>IF(AND(AY$6&lt;=$H80,AY$6+6&gt;=$G80),1,"")</x:f>
      </x:c>
      <x:c r="AZ80" s="167" t="str">
        <x:f>IF(AND(AZ$6&lt;=$H80,AZ$6+6&gt;=$G80),1,"")</x:f>
      </x:c>
      <x:c r="BA80" s="167" t="str">
        <x:f>IF(AND(BA$6&lt;=$H80,BA$6+6&gt;=$G80),1,"")</x:f>
      </x:c>
      <x:c r="BB80" s="167" t="str">
        <x:f>IF(AND(BB$6&lt;=$H80,BB$6+6&gt;=$G80),1,"")</x:f>
      </x:c>
      <x:c r="BC80" s="167" t="str">
        <x:f>IF(AND(BC$6&lt;=$H80,BC$6+6&gt;=$G80),1,"")</x:f>
      </x:c>
      <x:c r="BD80" s="167" t="str">
        <x:f>IF(AND(BD$6&lt;=$H80,BD$6+6&gt;=$G80),1,"")</x:f>
      </x:c>
      <x:c r="BE80" s="167" t="str">
        <x:f>IF(AND(BE$6&lt;=$H80,BE$6+6&gt;=$G80),1,"")</x:f>
      </x:c>
      <x:c r="BF80" s="167" t="str">
        <x:f>IF(AND(BF$6&lt;=$H80,BF$6+6&gt;=$G80),1,"")</x:f>
      </x:c>
      <x:c r="BG80" s="167" t="str">
        <x:f>IF(AND(BG$6&lt;=$H80,BG$6+6&gt;=$G80),1,"")</x:f>
      </x:c>
      <x:c r="BH80" s="167" t="str">
        <x:f>IF(AND(BH$6&lt;=$H80,BH$6+6&gt;=$G80),1,"")</x:f>
      </x:c>
      <x:c r="BI80" s="167" t="str">
        <x:f>IF(AND(BI$6&lt;=$H80,BI$6+6&gt;=$G80),1,"")</x:f>
      </x:c>
      <x:c r="BJ80" s="167" t="str">
        <x:f>IF(AND(BJ$6&lt;=$H80,BJ$6+6&gt;=$G80),1,"")</x:f>
      </x:c>
      <x:c r="BK80" s="167" t="str">
        <x:f>IF(AND(BK$6&lt;=$H80,BK$6+6&gt;=$G80),1,"")</x:f>
      </x:c>
      <x:c r="BL80" s="167" t="str">
        <x:f>IF(AND(BL$6&lt;=$H80,BL$6+6&gt;=$G80),1,"")</x:f>
      </x:c>
      <x:c r="BM80" s="167" t="str">
        <x:f>IF(AND(BM$6&lt;=$H80,BM$6+6&gt;=$G80),1,"")</x:f>
      </x:c>
      <x:c r="BN80" s="167" t="str">
        <x:f>IF(AND(BN$6&lt;=$H80,BN$6+6&gt;=$G80),1,"")</x:f>
      </x:c>
      <x:c r="BO80" s="168" t="str">
        <x:f>IF(AND(BO$6&lt;=$H80,BO$6+6&gt;=$G80),1,"")</x:f>
      </x:c>
    </x:row>
    <x:row r="81" ht="24" customHeight="1">
      <x:c r="A81" s="68" t="str">
        <x:f>'Task Register'!A79</x:f>
        <x:v>T-510</x:v>
      </x:c>
      <x:c r="B81" s="68" t="str">
        <x:f>'Task Register'!B79</x:f>
        <x:v>M5</x:v>
      </x:c>
      <x:c r="C81" s="68" t="str">
        <x:f>'Task Register'!C79</x:f>
        <x:v>Calibration</x:v>
      </x:c>
      <x:c r="D81" s="68" t="str">
        <x:f>'Task Register'!D79</x:f>
        <x:v>Define calibration and system-identification procedures</x:v>
      </x:c>
      <x:c r="E81" s="68" t="str">
        <x:f>'Task Register'!E79</x:f>
        <x:v>T-502, T-504, T-509</x:v>
      </x:c>
      <x:c r="F81" s="68" t="str">
        <x:f>'Task Register'!F79</x:f>
        <x:v>Blocked</x:v>
      </x:c>
      <x:c r="G81" s="94" t="n">
        <x:f>'Task Register'!I79</x:f>
        <x:v>46303</x:v>
      </x:c>
      <x:c r="H81" s="94" t="n">
        <x:f>'Task Register'!J79</x:f>
        <x:v>46307</x:v>
      </x:c>
      <x:c r="I81" s="166" t="str">
        <x:f>IF(AND(I$6&lt;=$H81,I$6+6&gt;=$G81),1,"")</x:f>
      </x:c>
      <x:c r="J81" s="167" t="str">
        <x:f>IF(AND(J$6&lt;=$H81,J$6+6&gt;=$G81),1,"")</x:f>
      </x:c>
      <x:c r="K81" s="167" t="str">
        <x:f>IF(AND(K$6&lt;=$H81,K$6+6&gt;=$G81),1,"")</x:f>
      </x:c>
      <x:c r="L81" s="167" t="str">
        <x:f>IF(AND(L$6&lt;=$H81,L$6+6&gt;=$G81),1,"")</x:f>
      </x:c>
      <x:c r="M81" s="167" t="str">
        <x:f>IF(AND(M$6&lt;=$H81,M$6+6&gt;=$G81),1,"")</x:f>
      </x:c>
      <x:c r="N81" s="167" t="str">
        <x:f>IF(AND(N$6&lt;=$H81,N$6+6&gt;=$G81),1,"")</x:f>
      </x:c>
      <x:c r="O81" s="167" t="str">
        <x:f>IF(AND(O$6&lt;=$H81,O$6+6&gt;=$G81),1,"")</x:f>
      </x:c>
      <x:c r="P81" s="167" t="str">
        <x:f>IF(AND(P$6&lt;=$H81,P$6+6&gt;=$G81),1,"")</x:f>
      </x:c>
      <x:c r="Q81" s="167" t="str">
        <x:f>IF(AND(Q$6&lt;=$H81,Q$6+6&gt;=$G81),1,"")</x:f>
      </x:c>
      <x:c r="R81" s="167" t="n">
        <x:f>IF(AND(R$6&lt;=$H81,R$6+6&gt;=$G81),1,"")</x:f>
        <x:v>1</x:v>
      </x:c>
      <x:c r="S81" s="167" t="n">
        <x:f>IF(AND(S$6&lt;=$H81,S$6+6&gt;=$G81),1,"")</x:f>
        <x:v>1</x:v>
      </x:c>
      <x:c r="T81" s="167" t="str">
        <x:f>IF(AND(T$6&lt;=$H81,T$6+6&gt;=$G81),1,"")</x:f>
      </x:c>
      <x:c r="U81" s="167" t="str">
        <x:f>IF(AND(U$6&lt;=$H81,U$6+6&gt;=$G81),1,"")</x:f>
      </x:c>
      <x:c r="V81" s="167" t="str">
        <x:f>IF(AND(V$6&lt;=$H81,V$6+6&gt;=$G81),1,"")</x:f>
      </x:c>
      <x:c r="W81" s="167" t="str">
        <x:f>IF(AND(W$6&lt;=$H81,W$6+6&gt;=$G81),1,"")</x:f>
      </x:c>
      <x:c r="X81" s="167" t="str">
        <x:f>IF(AND(X$6&lt;=$H81,X$6+6&gt;=$G81),1,"")</x:f>
      </x:c>
      <x:c r="Y81" s="167" t="str">
        <x:f>IF(AND(Y$6&lt;=$H81,Y$6+6&gt;=$G81),1,"")</x:f>
      </x:c>
      <x:c r="Z81" s="167" t="str">
        <x:f>IF(AND(Z$6&lt;=$H81,Z$6+6&gt;=$G81),1,"")</x:f>
      </x:c>
      <x:c r="AA81" s="167" t="str">
        <x:f>IF(AND(AA$6&lt;=$H81,AA$6+6&gt;=$G81),1,"")</x:f>
      </x:c>
      <x:c r="AB81" s="167" t="str">
        <x:f>IF(AND(AB$6&lt;=$H81,AB$6+6&gt;=$G81),1,"")</x:f>
      </x:c>
      <x:c r="AC81" s="167" t="str">
        <x:f>IF(AND(AC$6&lt;=$H81,AC$6+6&gt;=$G81),1,"")</x:f>
      </x:c>
      <x:c r="AD81" s="167" t="str">
        <x:f>IF(AND(AD$6&lt;=$H81,AD$6+6&gt;=$G81),1,"")</x:f>
      </x:c>
      <x:c r="AE81" s="167" t="str">
        <x:f>IF(AND(AE$6&lt;=$H81,AE$6+6&gt;=$G81),1,"")</x:f>
      </x:c>
      <x:c r="AF81" s="167" t="str">
        <x:f>IF(AND(AF$6&lt;=$H81,AF$6+6&gt;=$G81),1,"")</x:f>
      </x:c>
      <x:c r="AG81" s="167" t="str">
        <x:f>IF(AND(AG$6&lt;=$H81,AG$6+6&gt;=$G81),1,"")</x:f>
      </x:c>
      <x:c r="AH81" s="167" t="str">
        <x:f>IF(AND(AH$6&lt;=$H81,AH$6+6&gt;=$G81),1,"")</x:f>
      </x:c>
      <x:c r="AI81" s="167" t="str">
        <x:f>IF(AND(AI$6&lt;=$H81,AI$6+6&gt;=$G81),1,"")</x:f>
      </x:c>
      <x:c r="AJ81" s="167" t="str">
        <x:f>IF(AND(AJ$6&lt;=$H81,AJ$6+6&gt;=$G81),1,"")</x:f>
      </x:c>
      <x:c r="AK81" s="167" t="str">
        <x:f>IF(AND(AK$6&lt;=$H81,AK$6+6&gt;=$G81),1,"")</x:f>
      </x:c>
      <x:c r="AL81" s="167" t="str">
        <x:f>IF(AND(AL$6&lt;=$H81,AL$6+6&gt;=$G81),1,"")</x:f>
      </x:c>
      <x:c r="AM81" s="167" t="str">
        <x:f>IF(AND(AM$6&lt;=$H81,AM$6+6&gt;=$G81),1,"")</x:f>
      </x:c>
      <x:c r="AN81" s="167" t="str">
        <x:f>IF(AND(AN$6&lt;=$H81,AN$6+6&gt;=$G81),1,"")</x:f>
      </x:c>
      <x:c r="AO81" s="167" t="str">
        <x:f>IF(AND(AO$6&lt;=$H81,AO$6+6&gt;=$G81),1,"")</x:f>
      </x:c>
      <x:c r="AP81" s="167" t="str">
        <x:f>IF(AND(AP$6&lt;=$H81,AP$6+6&gt;=$G81),1,"")</x:f>
      </x:c>
      <x:c r="AQ81" s="167" t="str">
        <x:f>IF(AND(AQ$6&lt;=$H81,AQ$6+6&gt;=$G81),1,"")</x:f>
      </x:c>
      <x:c r="AR81" s="167" t="str">
        <x:f>IF(AND(AR$6&lt;=$H81,AR$6+6&gt;=$G81),1,"")</x:f>
      </x:c>
      <x:c r="AS81" s="167" t="str">
        <x:f>IF(AND(AS$6&lt;=$H81,AS$6+6&gt;=$G81),1,"")</x:f>
      </x:c>
      <x:c r="AT81" s="167" t="str">
        <x:f>IF(AND(AT$6&lt;=$H81,AT$6+6&gt;=$G81),1,"")</x:f>
      </x:c>
      <x:c r="AU81" s="167" t="str">
        <x:f>IF(AND(AU$6&lt;=$H81,AU$6+6&gt;=$G81),1,"")</x:f>
      </x:c>
      <x:c r="AV81" s="167" t="str">
        <x:f>IF(AND(AV$6&lt;=$H81,AV$6+6&gt;=$G81),1,"")</x:f>
      </x:c>
      <x:c r="AW81" s="167" t="str">
        <x:f>IF(AND(AW$6&lt;=$H81,AW$6+6&gt;=$G81),1,"")</x:f>
      </x:c>
      <x:c r="AX81" s="167" t="str">
        <x:f>IF(AND(AX$6&lt;=$H81,AX$6+6&gt;=$G81),1,"")</x:f>
      </x:c>
      <x:c r="AY81" s="167" t="str">
        <x:f>IF(AND(AY$6&lt;=$H81,AY$6+6&gt;=$G81),1,"")</x:f>
      </x:c>
      <x:c r="AZ81" s="167" t="str">
        <x:f>IF(AND(AZ$6&lt;=$H81,AZ$6+6&gt;=$G81),1,"")</x:f>
      </x:c>
      <x:c r="BA81" s="167" t="str">
        <x:f>IF(AND(BA$6&lt;=$H81,BA$6+6&gt;=$G81),1,"")</x:f>
      </x:c>
      <x:c r="BB81" s="167" t="str">
        <x:f>IF(AND(BB$6&lt;=$H81,BB$6+6&gt;=$G81),1,"")</x:f>
      </x:c>
      <x:c r="BC81" s="167" t="str">
        <x:f>IF(AND(BC$6&lt;=$H81,BC$6+6&gt;=$G81),1,"")</x:f>
      </x:c>
      <x:c r="BD81" s="167" t="str">
        <x:f>IF(AND(BD$6&lt;=$H81,BD$6+6&gt;=$G81),1,"")</x:f>
      </x:c>
      <x:c r="BE81" s="167" t="str">
        <x:f>IF(AND(BE$6&lt;=$H81,BE$6+6&gt;=$G81),1,"")</x:f>
      </x:c>
      <x:c r="BF81" s="167" t="str">
        <x:f>IF(AND(BF$6&lt;=$H81,BF$6+6&gt;=$G81),1,"")</x:f>
      </x:c>
      <x:c r="BG81" s="167" t="str">
        <x:f>IF(AND(BG$6&lt;=$H81,BG$6+6&gt;=$G81),1,"")</x:f>
      </x:c>
      <x:c r="BH81" s="167" t="str">
        <x:f>IF(AND(BH$6&lt;=$H81,BH$6+6&gt;=$G81),1,"")</x:f>
      </x:c>
      <x:c r="BI81" s="167" t="str">
        <x:f>IF(AND(BI$6&lt;=$H81,BI$6+6&gt;=$G81),1,"")</x:f>
      </x:c>
      <x:c r="BJ81" s="167" t="str">
        <x:f>IF(AND(BJ$6&lt;=$H81,BJ$6+6&gt;=$G81),1,"")</x:f>
      </x:c>
      <x:c r="BK81" s="167" t="str">
        <x:f>IF(AND(BK$6&lt;=$H81,BK$6+6&gt;=$G81),1,"")</x:f>
      </x:c>
      <x:c r="BL81" s="167" t="str">
        <x:f>IF(AND(BL$6&lt;=$H81,BL$6+6&gt;=$G81),1,"")</x:f>
      </x:c>
      <x:c r="BM81" s="167" t="str">
        <x:f>IF(AND(BM$6&lt;=$H81,BM$6+6&gt;=$G81),1,"")</x:f>
      </x:c>
      <x:c r="BN81" s="167" t="str">
        <x:f>IF(AND(BN$6&lt;=$H81,BN$6+6&gt;=$G81),1,"")</x:f>
      </x:c>
      <x:c r="BO81" s="168" t="str">
        <x:f>IF(AND(BO$6&lt;=$H81,BO$6+6&gt;=$G81),1,"")</x:f>
      </x:c>
    </x:row>
    <x:row r="82" ht="24" customHeight="1">
      <x:c r="A82" s="68" t="str">
        <x:f>'Task Register'!A80</x:f>
        <x:v>T-511</x:v>
      </x:c>
      <x:c r="B82" s="68" t="str">
        <x:f>'Task Register'!B80</x:f>
        <x:v>M5</x:v>
      </x:c>
      <x:c r="C82" s="68" t="str">
        <x:f>'Task Register'!C80</x:f>
        <x:v>Tooling/Architecture</x:v>
      </x:c>
      <x:c r="D82" s="68" t="str">
        <x:f>'Task Register'!D80</x:f>
        <x:v>Implement parameter export and validation adapters</x:v>
      </x:c>
      <x:c r="E82" s="68" t="str">
        <x:f>'Task Register'!E80</x:f>
        <x:v>T-501, T-502, T-503, T-504</x:v>
      </x:c>
      <x:c r="F82" s="68" t="str">
        <x:f>'Task Register'!F80</x:f>
        <x:v>Blocked</x:v>
      </x:c>
      <x:c r="G82" s="94" t="n">
        <x:f>'Task Register'!I80</x:f>
        <x:v>46308</x:v>
      </x:c>
      <x:c r="H82" s="94" t="n">
        <x:f>'Task Register'!J80</x:f>
        <x:v>46310</x:v>
      </x:c>
      <x:c r="I82" s="166" t="str">
        <x:f>IF(AND(I$6&lt;=$H82,I$6+6&gt;=$G82),1,"")</x:f>
      </x:c>
      <x:c r="J82" s="167" t="str">
        <x:f>IF(AND(J$6&lt;=$H82,J$6+6&gt;=$G82),1,"")</x:f>
      </x:c>
      <x:c r="K82" s="167" t="str">
        <x:f>IF(AND(K$6&lt;=$H82,K$6+6&gt;=$G82),1,"")</x:f>
      </x:c>
      <x:c r="L82" s="167" t="str">
        <x:f>IF(AND(L$6&lt;=$H82,L$6+6&gt;=$G82),1,"")</x:f>
      </x:c>
      <x:c r="M82" s="167" t="str">
        <x:f>IF(AND(M$6&lt;=$H82,M$6+6&gt;=$G82),1,"")</x:f>
      </x:c>
      <x:c r="N82" s="167" t="str">
        <x:f>IF(AND(N$6&lt;=$H82,N$6+6&gt;=$G82),1,"")</x:f>
      </x:c>
      <x:c r="O82" s="167" t="str">
        <x:f>IF(AND(O$6&lt;=$H82,O$6+6&gt;=$G82),1,"")</x:f>
      </x:c>
      <x:c r="P82" s="167" t="str">
        <x:f>IF(AND(P$6&lt;=$H82,P$6+6&gt;=$G82),1,"")</x:f>
      </x:c>
      <x:c r="Q82" s="167" t="str">
        <x:f>IF(AND(Q$6&lt;=$H82,Q$6+6&gt;=$G82),1,"")</x:f>
      </x:c>
      <x:c r="R82" s="167" t="str">
        <x:f>IF(AND(R$6&lt;=$H82,R$6+6&gt;=$G82),1,"")</x:f>
      </x:c>
      <x:c r="S82" s="167" t="n">
        <x:f>IF(AND(S$6&lt;=$H82,S$6+6&gt;=$G82),1,"")</x:f>
        <x:v>1</x:v>
      </x:c>
      <x:c r="T82" s="167" t="str">
        <x:f>IF(AND(T$6&lt;=$H82,T$6+6&gt;=$G82),1,"")</x:f>
      </x:c>
      <x:c r="U82" s="167" t="str">
        <x:f>IF(AND(U$6&lt;=$H82,U$6+6&gt;=$G82),1,"")</x:f>
      </x:c>
      <x:c r="V82" s="167" t="str">
        <x:f>IF(AND(V$6&lt;=$H82,V$6+6&gt;=$G82),1,"")</x:f>
      </x:c>
      <x:c r="W82" s="167" t="str">
        <x:f>IF(AND(W$6&lt;=$H82,W$6+6&gt;=$G82),1,"")</x:f>
      </x:c>
      <x:c r="X82" s="167" t="str">
        <x:f>IF(AND(X$6&lt;=$H82,X$6+6&gt;=$G82),1,"")</x:f>
      </x:c>
      <x:c r="Y82" s="167" t="str">
        <x:f>IF(AND(Y$6&lt;=$H82,Y$6+6&gt;=$G82),1,"")</x:f>
      </x:c>
      <x:c r="Z82" s="167" t="str">
        <x:f>IF(AND(Z$6&lt;=$H82,Z$6+6&gt;=$G82),1,"")</x:f>
      </x:c>
      <x:c r="AA82" s="167" t="str">
        <x:f>IF(AND(AA$6&lt;=$H82,AA$6+6&gt;=$G82),1,"")</x:f>
      </x:c>
      <x:c r="AB82" s="167" t="str">
        <x:f>IF(AND(AB$6&lt;=$H82,AB$6+6&gt;=$G82),1,"")</x:f>
      </x:c>
      <x:c r="AC82" s="167" t="str">
        <x:f>IF(AND(AC$6&lt;=$H82,AC$6+6&gt;=$G82),1,"")</x:f>
      </x:c>
      <x:c r="AD82" s="167" t="str">
        <x:f>IF(AND(AD$6&lt;=$H82,AD$6+6&gt;=$G82),1,"")</x:f>
      </x:c>
      <x:c r="AE82" s="167" t="str">
        <x:f>IF(AND(AE$6&lt;=$H82,AE$6+6&gt;=$G82),1,"")</x:f>
      </x:c>
      <x:c r="AF82" s="167" t="str">
        <x:f>IF(AND(AF$6&lt;=$H82,AF$6+6&gt;=$G82),1,"")</x:f>
      </x:c>
      <x:c r="AG82" s="167" t="str">
        <x:f>IF(AND(AG$6&lt;=$H82,AG$6+6&gt;=$G82),1,"")</x:f>
      </x:c>
      <x:c r="AH82" s="167" t="str">
        <x:f>IF(AND(AH$6&lt;=$H82,AH$6+6&gt;=$G82),1,"")</x:f>
      </x:c>
      <x:c r="AI82" s="167" t="str">
        <x:f>IF(AND(AI$6&lt;=$H82,AI$6+6&gt;=$G82),1,"")</x:f>
      </x:c>
      <x:c r="AJ82" s="167" t="str">
        <x:f>IF(AND(AJ$6&lt;=$H82,AJ$6+6&gt;=$G82),1,"")</x:f>
      </x:c>
      <x:c r="AK82" s="167" t="str">
        <x:f>IF(AND(AK$6&lt;=$H82,AK$6+6&gt;=$G82),1,"")</x:f>
      </x:c>
      <x:c r="AL82" s="167" t="str">
        <x:f>IF(AND(AL$6&lt;=$H82,AL$6+6&gt;=$G82),1,"")</x:f>
      </x:c>
      <x:c r="AM82" s="167" t="str">
        <x:f>IF(AND(AM$6&lt;=$H82,AM$6+6&gt;=$G82),1,"")</x:f>
      </x:c>
      <x:c r="AN82" s="167" t="str">
        <x:f>IF(AND(AN$6&lt;=$H82,AN$6+6&gt;=$G82),1,"")</x:f>
      </x:c>
      <x:c r="AO82" s="167" t="str">
        <x:f>IF(AND(AO$6&lt;=$H82,AO$6+6&gt;=$G82),1,"")</x:f>
      </x:c>
      <x:c r="AP82" s="167" t="str">
        <x:f>IF(AND(AP$6&lt;=$H82,AP$6+6&gt;=$G82),1,"")</x:f>
      </x:c>
      <x:c r="AQ82" s="167" t="str">
        <x:f>IF(AND(AQ$6&lt;=$H82,AQ$6+6&gt;=$G82),1,"")</x:f>
      </x:c>
      <x:c r="AR82" s="167" t="str">
        <x:f>IF(AND(AR$6&lt;=$H82,AR$6+6&gt;=$G82),1,"")</x:f>
      </x:c>
      <x:c r="AS82" s="167" t="str">
        <x:f>IF(AND(AS$6&lt;=$H82,AS$6+6&gt;=$G82),1,"")</x:f>
      </x:c>
      <x:c r="AT82" s="167" t="str">
        <x:f>IF(AND(AT$6&lt;=$H82,AT$6+6&gt;=$G82),1,"")</x:f>
      </x:c>
      <x:c r="AU82" s="167" t="str">
        <x:f>IF(AND(AU$6&lt;=$H82,AU$6+6&gt;=$G82),1,"")</x:f>
      </x:c>
      <x:c r="AV82" s="167" t="str">
        <x:f>IF(AND(AV$6&lt;=$H82,AV$6+6&gt;=$G82),1,"")</x:f>
      </x:c>
      <x:c r="AW82" s="167" t="str">
        <x:f>IF(AND(AW$6&lt;=$H82,AW$6+6&gt;=$G82),1,"")</x:f>
      </x:c>
      <x:c r="AX82" s="167" t="str">
        <x:f>IF(AND(AX$6&lt;=$H82,AX$6+6&gt;=$G82),1,"")</x:f>
      </x:c>
      <x:c r="AY82" s="167" t="str">
        <x:f>IF(AND(AY$6&lt;=$H82,AY$6+6&gt;=$G82),1,"")</x:f>
      </x:c>
      <x:c r="AZ82" s="167" t="str">
        <x:f>IF(AND(AZ$6&lt;=$H82,AZ$6+6&gt;=$G82),1,"")</x:f>
      </x:c>
      <x:c r="BA82" s="167" t="str">
        <x:f>IF(AND(BA$6&lt;=$H82,BA$6+6&gt;=$G82),1,"")</x:f>
      </x:c>
      <x:c r="BB82" s="167" t="str">
        <x:f>IF(AND(BB$6&lt;=$H82,BB$6+6&gt;=$G82),1,"")</x:f>
      </x:c>
      <x:c r="BC82" s="167" t="str">
        <x:f>IF(AND(BC$6&lt;=$H82,BC$6+6&gt;=$G82),1,"")</x:f>
      </x:c>
      <x:c r="BD82" s="167" t="str">
        <x:f>IF(AND(BD$6&lt;=$H82,BD$6+6&gt;=$G82),1,"")</x:f>
      </x:c>
      <x:c r="BE82" s="167" t="str">
        <x:f>IF(AND(BE$6&lt;=$H82,BE$6+6&gt;=$G82),1,"")</x:f>
      </x:c>
      <x:c r="BF82" s="167" t="str">
        <x:f>IF(AND(BF$6&lt;=$H82,BF$6+6&gt;=$G82),1,"")</x:f>
      </x:c>
      <x:c r="BG82" s="167" t="str">
        <x:f>IF(AND(BG$6&lt;=$H82,BG$6+6&gt;=$G82),1,"")</x:f>
      </x:c>
      <x:c r="BH82" s="167" t="str">
        <x:f>IF(AND(BH$6&lt;=$H82,BH$6+6&gt;=$G82),1,"")</x:f>
      </x:c>
      <x:c r="BI82" s="167" t="str">
        <x:f>IF(AND(BI$6&lt;=$H82,BI$6+6&gt;=$G82),1,"")</x:f>
      </x:c>
      <x:c r="BJ82" s="167" t="str">
        <x:f>IF(AND(BJ$6&lt;=$H82,BJ$6+6&gt;=$G82),1,"")</x:f>
      </x:c>
      <x:c r="BK82" s="167" t="str">
        <x:f>IF(AND(BK$6&lt;=$H82,BK$6+6&gt;=$G82),1,"")</x:f>
      </x:c>
      <x:c r="BL82" s="167" t="str">
        <x:f>IF(AND(BL$6&lt;=$H82,BL$6+6&gt;=$G82),1,"")</x:f>
      </x:c>
      <x:c r="BM82" s="167" t="str">
        <x:f>IF(AND(BM$6&lt;=$H82,BM$6+6&gt;=$G82),1,"")</x:f>
      </x:c>
      <x:c r="BN82" s="167" t="str">
        <x:f>IF(AND(BN$6&lt;=$H82,BN$6+6&gt;=$G82),1,"")</x:f>
      </x:c>
      <x:c r="BO82" s="168" t="str">
        <x:f>IF(AND(BO$6&lt;=$H82,BO$6+6&gt;=$G82),1,"")</x:f>
      </x:c>
    </x:row>
    <x:row r="83" ht="24" customHeight="1">
      <x:c r="A83" s="68" t="str">
        <x:f>'Task Register'!A81</x:f>
        <x:v>T-512</x:v>
      </x:c>
      <x:c r="B83" s="68" t="str">
        <x:f>'Task Register'!B81</x:f>
        <x:v>M5</x:v>
      </x:c>
      <x:c r="C83" s="68" t="str">
        <x:f>'Task Register'!C81</x:f>
        <x:v>Validation/Modeling</x:v>
      </x:c>
      <x:c r="D83" s="68" t="str">
        <x:f>'Task Register'!D81</x:f>
        <x:v>Run sensitivity and identifiability analysis</x:v>
      </x:c>
      <x:c r="E83" s="68" t="str">
        <x:f>'Task Register'!E81</x:f>
        <x:v>T-506, T-508, T-510, T-511</x:v>
      </x:c>
      <x:c r="F83" s="68" t="str">
        <x:f>'Task Register'!F81</x:f>
        <x:v>Blocked</x:v>
      </x:c>
      <x:c r="G83" s="94" t="n">
        <x:f>'Task Register'!I81</x:f>
        <x:v>46311</x:v>
      </x:c>
      <x:c r="H83" s="94" t="n">
        <x:f>'Task Register'!J81</x:f>
        <x:v>46315</x:v>
      </x:c>
      <x:c r="I83" s="166" t="str">
        <x:f>IF(AND(I$6&lt;=$H83,I$6+6&gt;=$G83),1,"")</x:f>
      </x:c>
      <x:c r="J83" s="167" t="str">
        <x:f>IF(AND(J$6&lt;=$H83,J$6+6&gt;=$G83),1,"")</x:f>
      </x:c>
      <x:c r="K83" s="167" t="str">
        <x:f>IF(AND(K$6&lt;=$H83,K$6+6&gt;=$G83),1,"")</x:f>
      </x:c>
      <x:c r="L83" s="167" t="str">
        <x:f>IF(AND(L$6&lt;=$H83,L$6+6&gt;=$G83),1,"")</x:f>
      </x:c>
      <x:c r="M83" s="167" t="str">
        <x:f>IF(AND(M$6&lt;=$H83,M$6+6&gt;=$G83),1,"")</x:f>
      </x:c>
      <x:c r="N83" s="167" t="str">
        <x:f>IF(AND(N$6&lt;=$H83,N$6+6&gt;=$G83),1,"")</x:f>
      </x:c>
      <x:c r="O83" s="167" t="str">
        <x:f>IF(AND(O$6&lt;=$H83,O$6+6&gt;=$G83),1,"")</x:f>
      </x:c>
      <x:c r="P83" s="167" t="str">
        <x:f>IF(AND(P$6&lt;=$H83,P$6+6&gt;=$G83),1,"")</x:f>
      </x:c>
      <x:c r="Q83" s="167" t="str">
        <x:f>IF(AND(Q$6&lt;=$H83,Q$6+6&gt;=$G83),1,"")</x:f>
      </x:c>
      <x:c r="R83" s="167" t="str">
        <x:f>IF(AND(R$6&lt;=$H83,R$6+6&gt;=$G83),1,"")</x:f>
      </x:c>
      <x:c r="S83" s="167" t="n">
        <x:f>IF(AND(S$6&lt;=$H83,S$6+6&gt;=$G83),1,"")</x:f>
        <x:v>1</x:v>
      </x:c>
      <x:c r="T83" s="167" t="n">
        <x:f>IF(AND(T$6&lt;=$H83,T$6+6&gt;=$G83),1,"")</x:f>
        <x:v>1</x:v>
      </x:c>
      <x:c r="U83" s="167" t="str">
        <x:f>IF(AND(U$6&lt;=$H83,U$6+6&gt;=$G83),1,"")</x:f>
      </x:c>
      <x:c r="V83" s="167" t="str">
        <x:f>IF(AND(V$6&lt;=$H83,V$6+6&gt;=$G83),1,"")</x:f>
      </x:c>
      <x:c r="W83" s="167" t="str">
        <x:f>IF(AND(W$6&lt;=$H83,W$6+6&gt;=$G83),1,"")</x:f>
      </x:c>
      <x:c r="X83" s="167" t="str">
        <x:f>IF(AND(X$6&lt;=$H83,X$6+6&gt;=$G83),1,"")</x:f>
      </x:c>
      <x:c r="Y83" s="167" t="str">
        <x:f>IF(AND(Y$6&lt;=$H83,Y$6+6&gt;=$G83),1,"")</x:f>
      </x:c>
      <x:c r="Z83" s="167" t="str">
        <x:f>IF(AND(Z$6&lt;=$H83,Z$6+6&gt;=$G83),1,"")</x:f>
      </x:c>
      <x:c r="AA83" s="167" t="str">
        <x:f>IF(AND(AA$6&lt;=$H83,AA$6+6&gt;=$G83),1,"")</x:f>
      </x:c>
      <x:c r="AB83" s="167" t="str">
        <x:f>IF(AND(AB$6&lt;=$H83,AB$6+6&gt;=$G83),1,"")</x:f>
      </x:c>
      <x:c r="AC83" s="167" t="str">
        <x:f>IF(AND(AC$6&lt;=$H83,AC$6+6&gt;=$G83),1,"")</x:f>
      </x:c>
      <x:c r="AD83" s="167" t="str">
        <x:f>IF(AND(AD$6&lt;=$H83,AD$6+6&gt;=$G83),1,"")</x:f>
      </x:c>
      <x:c r="AE83" s="167" t="str">
        <x:f>IF(AND(AE$6&lt;=$H83,AE$6+6&gt;=$G83),1,"")</x:f>
      </x:c>
      <x:c r="AF83" s="167" t="str">
        <x:f>IF(AND(AF$6&lt;=$H83,AF$6+6&gt;=$G83),1,"")</x:f>
      </x:c>
      <x:c r="AG83" s="167" t="str">
        <x:f>IF(AND(AG$6&lt;=$H83,AG$6+6&gt;=$G83),1,"")</x:f>
      </x:c>
      <x:c r="AH83" s="167" t="str">
        <x:f>IF(AND(AH$6&lt;=$H83,AH$6+6&gt;=$G83),1,"")</x:f>
      </x:c>
      <x:c r="AI83" s="167" t="str">
        <x:f>IF(AND(AI$6&lt;=$H83,AI$6+6&gt;=$G83),1,"")</x:f>
      </x:c>
      <x:c r="AJ83" s="167" t="str">
        <x:f>IF(AND(AJ$6&lt;=$H83,AJ$6+6&gt;=$G83),1,"")</x:f>
      </x:c>
      <x:c r="AK83" s="167" t="str">
        <x:f>IF(AND(AK$6&lt;=$H83,AK$6+6&gt;=$G83),1,"")</x:f>
      </x:c>
      <x:c r="AL83" s="167" t="str">
        <x:f>IF(AND(AL$6&lt;=$H83,AL$6+6&gt;=$G83),1,"")</x:f>
      </x:c>
      <x:c r="AM83" s="167" t="str">
        <x:f>IF(AND(AM$6&lt;=$H83,AM$6+6&gt;=$G83),1,"")</x:f>
      </x:c>
      <x:c r="AN83" s="167" t="str">
        <x:f>IF(AND(AN$6&lt;=$H83,AN$6+6&gt;=$G83),1,"")</x:f>
      </x:c>
      <x:c r="AO83" s="167" t="str">
        <x:f>IF(AND(AO$6&lt;=$H83,AO$6+6&gt;=$G83),1,"")</x:f>
      </x:c>
      <x:c r="AP83" s="167" t="str">
        <x:f>IF(AND(AP$6&lt;=$H83,AP$6+6&gt;=$G83),1,"")</x:f>
      </x:c>
      <x:c r="AQ83" s="167" t="str">
        <x:f>IF(AND(AQ$6&lt;=$H83,AQ$6+6&gt;=$G83),1,"")</x:f>
      </x:c>
      <x:c r="AR83" s="167" t="str">
        <x:f>IF(AND(AR$6&lt;=$H83,AR$6+6&gt;=$G83),1,"")</x:f>
      </x:c>
      <x:c r="AS83" s="167" t="str">
        <x:f>IF(AND(AS$6&lt;=$H83,AS$6+6&gt;=$G83),1,"")</x:f>
      </x:c>
      <x:c r="AT83" s="167" t="str">
        <x:f>IF(AND(AT$6&lt;=$H83,AT$6+6&gt;=$G83),1,"")</x:f>
      </x:c>
      <x:c r="AU83" s="167" t="str">
        <x:f>IF(AND(AU$6&lt;=$H83,AU$6+6&gt;=$G83),1,"")</x:f>
      </x:c>
      <x:c r="AV83" s="167" t="str">
        <x:f>IF(AND(AV$6&lt;=$H83,AV$6+6&gt;=$G83),1,"")</x:f>
      </x:c>
      <x:c r="AW83" s="167" t="str">
        <x:f>IF(AND(AW$6&lt;=$H83,AW$6+6&gt;=$G83),1,"")</x:f>
      </x:c>
      <x:c r="AX83" s="167" t="str">
        <x:f>IF(AND(AX$6&lt;=$H83,AX$6+6&gt;=$G83),1,"")</x:f>
      </x:c>
      <x:c r="AY83" s="167" t="str">
        <x:f>IF(AND(AY$6&lt;=$H83,AY$6+6&gt;=$G83),1,"")</x:f>
      </x:c>
      <x:c r="AZ83" s="167" t="str">
        <x:f>IF(AND(AZ$6&lt;=$H83,AZ$6+6&gt;=$G83),1,"")</x:f>
      </x:c>
      <x:c r="BA83" s="167" t="str">
        <x:f>IF(AND(BA$6&lt;=$H83,BA$6+6&gt;=$G83),1,"")</x:f>
      </x:c>
      <x:c r="BB83" s="167" t="str">
        <x:f>IF(AND(BB$6&lt;=$H83,BB$6+6&gt;=$G83),1,"")</x:f>
      </x:c>
      <x:c r="BC83" s="167" t="str">
        <x:f>IF(AND(BC$6&lt;=$H83,BC$6+6&gt;=$G83),1,"")</x:f>
      </x:c>
      <x:c r="BD83" s="167" t="str">
        <x:f>IF(AND(BD$6&lt;=$H83,BD$6+6&gt;=$G83),1,"")</x:f>
      </x:c>
      <x:c r="BE83" s="167" t="str">
        <x:f>IF(AND(BE$6&lt;=$H83,BE$6+6&gt;=$G83),1,"")</x:f>
      </x:c>
      <x:c r="BF83" s="167" t="str">
        <x:f>IF(AND(BF$6&lt;=$H83,BF$6+6&gt;=$G83),1,"")</x:f>
      </x:c>
      <x:c r="BG83" s="167" t="str">
        <x:f>IF(AND(BG$6&lt;=$H83,BG$6+6&gt;=$G83),1,"")</x:f>
      </x:c>
      <x:c r="BH83" s="167" t="str">
        <x:f>IF(AND(BH$6&lt;=$H83,BH$6+6&gt;=$G83),1,"")</x:f>
      </x:c>
      <x:c r="BI83" s="167" t="str">
        <x:f>IF(AND(BI$6&lt;=$H83,BI$6+6&gt;=$G83),1,"")</x:f>
      </x:c>
      <x:c r="BJ83" s="167" t="str">
        <x:f>IF(AND(BJ$6&lt;=$H83,BJ$6+6&gt;=$G83),1,"")</x:f>
      </x:c>
      <x:c r="BK83" s="167" t="str">
        <x:f>IF(AND(BK$6&lt;=$H83,BK$6+6&gt;=$G83),1,"")</x:f>
      </x:c>
      <x:c r="BL83" s="167" t="str">
        <x:f>IF(AND(BL$6&lt;=$H83,BL$6+6&gt;=$G83),1,"")</x:f>
      </x:c>
      <x:c r="BM83" s="167" t="str">
        <x:f>IF(AND(BM$6&lt;=$H83,BM$6+6&gt;=$G83),1,"")</x:f>
      </x:c>
      <x:c r="BN83" s="167" t="str">
        <x:f>IF(AND(BN$6&lt;=$H83,BN$6+6&gt;=$G83),1,"")</x:f>
      </x:c>
      <x:c r="BO83" s="168" t="str">
        <x:f>IF(AND(BO$6&lt;=$H83,BO$6+6&gt;=$G83),1,"")</x:f>
      </x:c>
    </x:row>
    <x:row r="84" ht="24" customHeight="1">
      <x:c r="A84" s="68" t="str">
        <x:f>'Task Register'!A82</x:f>
        <x:v>T-513</x:v>
      </x:c>
      <x:c r="B84" s="68" t="str">
        <x:f>'Task Register'!B82</x:f>
        <x:v>M5</x:v>
      </x:c>
      <x:c r="C84" s="68" t="str">
        <x:f>'Task Register'!C82</x:f>
        <x:v>Mechanical Decision</x:v>
      </x:c>
      <x:c r="D84" s="68" t="str">
        <x:f>'Task Register'!D82</x:f>
        <x:v>Select a preliminary geometry and actuation baseline</x:v>
      </x:c>
      <x:c r="E84" s="68" t="str">
        <x:f>'Task Register'!E82</x:f>
        <x:v>T-507, T-508, T-509, T-512</x:v>
      </x:c>
      <x:c r="F84" s="68" t="str">
        <x:f>'Task Register'!F82</x:f>
        <x:v>Blocked</x:v>
      </x:c>
      <x:c r="G84" s="94" t="n">
        <x:f>'Task Register'!I82</x:f>
        <x:v>46316</x:v>
      </x:c>
      <x:c r="H84" s="94" t="n">
        <x:f>'Task Register'!J82</x:f>
        <x:v>46316</x:v>
      </x:c>
      <x:c r="I84" s="166" t="str">
        <x:f>IF(AND(I$6&lt;=$H84,I$6+6&gt;=$G84),1,"")</x:f>
      </x:c>
      <x:c r="J84" s="167" t="str">
        <x:f>IF(AND(J$6&lt;=$H84,J$6+6&gt;=$G84),1,"")</x:f>
      </x:c>
      <x:c r="K84" s="167" t="str">
        <x:f>IF(AND(K$6&lt;=$H84,K$6+6&gt;=$G84),1,"")</x:f>
      </x:c>
      <x:c r="L84" s="167" t="str">
        <x:f>IF(AND(L$6&lt;=$H84,L$6+6&gt;=$G84),1,"")</x:f>
      </x:c>
      <x:c r="M84" s="167" t="str">
        <x:f>IF(AND(M$6&lt;=$H84,M$6+6&gt;=$G84),1,"")</x:f>
      </x:c>
      <x:c r="N84" s="167" t="str">
        <x:f>IF(AND(N$6&lt;=$H84,N$6+6&gt;=$G84),1,"")</x:f>
      </x:c>
      <x:c r="O84" s="167" t="str">
        <x:f>IF(AND(O$6&lt;=$H84,O$6+6&gt;=$G84),1,"")</x:f>
      </x:c>
      <x:c r="P84" s="167" t="str">
        <x:f>IF(AND(P$6&lt;=$H84,P$6+6&gt;=$G84),1,"")</x:f>
      </x:c>
      <x:c r="Q84" s="167" t="str">
        <x:f>IF(AND(Q$6&lt;=$H84,Q$6+6&gt;=$G84),1,"")</x:f>
      </x:c>
      <x:c r="R84" s="167" t="str">
        <x:f>IF(AND(R$6&lt;=$H84,R$6+6&gt;=$G84),1,"")</x:f>
      </x:c>
      <x:c r="S84" s="167" t="str">
        <x:f>IF(AND(S$6&lt;=$H84,S$6+6&gt;=$G84),1,"")</x:f>
      </x:c>
      <x:c r="T84" s="167" t="n">
        <x:f>IF(AND(T$6&lt;=$H84,T$6+6&gt;=$G84),1,"")</x:f>
        <x:v>1</x:v>
      </x:c>
      <x:c r="U84" s="167" t="str">
        <x:f>IF(AND(U$6&lt;=$H84,U$6+6&gt;=$G84),1,"")</x:f>
      </x:c>
      <x:c r="V84" s="167" t="str">
        <x:f>IF(AND(V$6&lt;=$H84,V$6+6&gt;=$G84),1,"")</x:f>
      </x:c>
      <x:c r="W84" s="167" t="str">
        <x:f>IF(AND(W$6&lt;=$H84,W$6+6&gt;=$G84),1,"")</x:f>
      </x:c>
      <x:c r="X84" s="167" t="str">
        <x:f>IF(AND(X$6&lt;=$H84,X$6+6&gt;=$G84),1,"")</x:f>
      </x:c>
      <x:c r="Y84" s="167" t="str">
        <x:f>IF(AND(Y$6&lt;=$H84,Y$6+6&gt;=$G84),1,"")</x:f>
      </x:c>
      <x:c r="Z84" s="167" t="str">
        <x:f>IF(AND(Z$6&lt;=$H84,Z$6+6&gt;=$G84),1,"")</x:f>
      </x:c>
      <x:c r="AA84" s="167" t="str">
        <x:f>IF(AND(AA$6&lt;=$H84,AA$6+6&gt;=$G84),1,"")</x:f>
      </x:c>
      <x:c r="AB84" s="167" t="str">
        <x:f>IF(AND(AB$6&lt;=$H84,AB$6+6&gt;=$G84),1,"")</x:f>
      </x:c>
      <x:c r="AC84" s="167" t="str">
        <x:f>IF(AND(AC$6&lt;=$H84,AC$6+6&gt;=$G84),1,"")</x:f>
      </x:c>
      <x:c r="AD84" s="167" t="str">
        <x:f>IF(AND(AD$6&lt;=$H84,AD$6+6&gt;=$G84),1,"")</x:f>
      </x:c>
      <x:c r="AE84" s="167" t="str">
        <x:f>IF(AND(AE$6&lt;=$H84,AE$6+6&gt;=$G84),1,"")</x:f>
      </x:c>
      <x:c r="AF84" s="167" t="str">
        <x:f>IF(AND(AF$6&lt;=$H84,AF$6+6&gt;=$G84),1,"")</x:f>
      </x:c>
      <x:c r="AG84" s="167" t="str">
        <x:f>IF(AND(AG$6&lt;=$H84,AG$6+6&gt;=$G84),1,"")</x:f>
      </x:c>
      <x:c r="AH84" s="167" t="str">
        <x:f>IF(AND(AH$6&lt;=$H84,AH$6+6&gt;=$G84),1,"")</x:f>
      </x:c>
      <x:c r="AI84" s="167" t="str">
        <x:f>IF(AND(AI$6&lt;=$H84,AI$6+6&gt;=$G84),1,"")</x:f>
      </x:c>
      <x:c r="AJ84" s="167" t="str">
        <x:f>IF(AND(AJ$6&lt;=$H84,AJ$6+6&gt;=$G84),1,"")</x:f>
      </x:c>
      <x:c r="AK84" s="167" t="str">
        <x:f>IF(AND(AK$6&lt;=$H84,AK$6+6&gt;=$G84),1,"")</x:f>
      </x:c>
      <x:c r="AL84" s="167" t="str">
        <x:f>IF(AND(AL$6&lt;=$H84,AL$6+6&gt;=$G84),1,"")</x:f>
      </x:c>
      <x:c r="AM84" s="167" t="str">
        <x:f>IF(AND(AM$6&lt;=$H84,AM$6+6&gt;=$G84),1,"")</x:f>
      </x:c>
      <x:c r="AN84" s="167" t="str">
        <x:f>IF(AND(AN$6&lt;=$H84,AN$6+6&gt;=$G84),1,"")</x:f>
      </x:c>
      <x:c r="AO84" s="167" t="str">
        <x:f>IF(AND(AO$6&lt;=$H84,AO$6+6&gt;=$G84),1,"")</x:f>
      </x:c>
      <x:c r="AP84" s="167" t="str">
        <x:f>IF(AND(AP$6&lt;=$H84,AP$6+6&gt;=$G84),1,"")</x:f>
      </x:c>
      <x:c r="AQ84" s="167" t="str">
        <x:f>IF(AND(AQ$6&lt;=$H84,AQ$6+6&gt;=$G84),1,"")</x:f>
      </x:c>
      <x:c r="AR84" s="167" t="str">
        <x:f>IF(AND(AR$6&lt;=$H84,AR$6+6&gt;=$G84),1,"")</x:f>
      </x:c>
      <x:c r="AS84" s="167" t="str">
        <x:f>IF(AND(AS$6&lt;=$H84,AS$6+6&gt;=$G84),1,"")</x:f>
      </x:c>
      <x:c r="AT84" s="167" t="str">
        <x:f>IF(AND(AT$6&lt;=$H84,AT$6+6&gt;=$G84),1,"")</x:f>
      </x:c>
      <x:c r="AU84" s="167" t="str">
        <x:f>IF(AND(AU$6&lt;=$H84,AU$6+6&gt;=$G84),1,"")</x:f>
      </x:c>
      <x:c r="AV84" s="167" t="str">
        <x:f>IF(AND(AV$6&lt;=$H84,AV$6+6&gt;=$G84),1,"")</x:f>
      </x:c>
      <x:c r="AW84" s="167" t="str">
        <x:f>IF(AND(AW$6&lt;=$H84,AW$6+6&gt;=$G84),1,"")</x:f>
      </x:c>
      <x:c r="AX84" s="167" t="str">
        <x:f>IF(AND(AX$6&lt;=$H84,AX$6+6&gt;=$G84),1,"")</x:f>
      </x:c>
      <x:c r="AY84" s="167" t="str">
        <x:f>IF(AND(AY$6&lt;=$H84,AY$6+6&gt;=$G84),1,"")</x:f>
      </x:c>
      <x:c r="AZ84" s="167" t="str">
        <x:f>IF(AND(AZ$6&lt;=$H84,AZ$6+6&gt;=$G84),1,"")</x:f>
      </x:c>
      <x:c r="BA84" s="167" t="str">
        <x:f>IF(AND(BA$6&lt;=$H84,BA$6+6&gt;=$G84),1,"")</x:f>
      </x:c>
      <x:c r="BB84" s="167" t="str">
        <x:f>IF(AND(BB$6&lt;=$H84,BB$6+6&gt;=$G84),1,"")</x:f>
      </x:c>
      <x:c r="BC84" s="167" t="str">
        <x:f>IF(AND(BC$6&lt;=$H84,BC$6+6&gt;=$G84),1,"")</x:f>
      </x:c>
      <x:c r="BD84" s="167" t="str">
        <x:f>IF(AND(BD$6&lt;=$H84,BD$6+6&gt;=$G84),1,"")</x:f>
      </x:c>
      <x:c r="BE84" s="167" t="str">
        <x:f>IF(AND(BE$6&lt;=$H84,BE$6+6&gt;=$G84),1,"")</x:f>
      </x:c>
      <x:c r="BF84" s="167" t="str">
        <x:f>IF(AND(BF$6&lt;=$H84,BF$6+6&gt;=$G84),1,"")</x:f>
      </x:c>
      <x:c r="BG84" s="167" t="str">
        <x:f>IF(AND(BG$6&lt;=$H84,BG$6+6&gt;=$G84),1,"")</x:f>
      </x:c>
      <x:c r="BH84" s="167" t="str">
        <x:f>IF(AND(BH$6&lt;=$H84,BH$6+6&gt;=$G84),1,"")</x:f>
      </x:c>
      <x:c r="BI84" s="167" t="str">
        <x:f>IF(AND(BI$6&lt;=$H84,BI$6+6&gt;=$G84),1,"")</x:f>
      </x:c>
      <x:c r="BJ84" s="167" t="str">
        <x:f>IF(AND(BJ$6&lt;=$H84,BJ$6+6&gt;=$G84),1,"")</x:f>
      </x:c>
      <x:c r="BK84" s="167" t="str">
        <x:f>IF(AND(BK$6&lt;=$H84,BK$6+6&gt;=$G84),1,"")</x:f>
      </x:c>
      <x:c r="BL84" s="167" t="str">
        <x:f>IF(AND(BL$6&lt;=$H84,BL$6+6&gt;=$G84),1,"")</x:f>
      </x:c>
      <x:c r="BM84" s="167" t="str">
        <x:f>IF(AND(BM$6&lt;=$H84,BM$6+6&gt;=$G84),1,"")</x:f>
      </x:c>
      <x:c r="BN84" s="167" t="str">
        <x:f>IF(AND(BN$6&lt;=$H84,BN$6+6&gt;=$G84),1,"")</x:f>
      </x:c>
      <x:c r="BO84" s="168" t="str">
        <x:f>IF(AND(BO$6&lt;=$H84,BO$6+6&gt;=$G84),1,"")</x:f>
      </x:c>
    </x:row>
    <x:row r="85" ht="24" customHeight="1">
      <x:c r="A85" s="68" t="str">
        <x:f>'Task Register'!A83</x:f>
        <x:v>T-514</x:v>
      </x:c>
      <x:c r="B85" s="68" t="str">
        <x:f>'Task Register'!B83</x:f>
        <x:v>M5</x:v>
      </x:c>
      <x:c r="C85" s="68" t="str">
        <x:f>'Task Register'!C83</x:f>
        <x:v>Validation</x:v>
      </x:c>
      <x:c r="D85" s="68" t="str">
        <x:f>'Task Register'!D83</x:f>
        <x:v>M5 calibration-readiness gate</x:v>
      </x:c>
      <x:c r="E85" s="68" t="str">
        <x:f>'Task Register'!E83</x:f>
        <x:v>T-511, T-513</x:v>
      </x:c>
      <x:c r="F85" s="68" t="str">
        <x:f>'Task Register'!F83</x:f>
        <x:v>Blocked</x:v>
      </x:c>
      <x:c r="G85" s="94" t="n">
        <x:f>'Task Register'!I83</x:f>
        <x:v>46317</x:v>
      </x:c>
      <x:c r="H85" s="94" t="n">
        <x:f>'Task Register'!J83</x:f>
        <x:v>46317</x:v>
      </x:c>
      <x:c r="I85" s="166" t="str">
        <x:f>IF(AND(I$6&lt;=$H85,I$6+6&gt;=$G85),1,"")</x:f>
      </x:c>
      <x:c r="J85" s="167" t="str">
        <x:f>IF(AND(J$6&lt;=$H85,J$6+6&gt;=$G85),1,"")</x:f>
      </x:c>
      <x:c r="K85" s="167" t="str">
        <x:f>IF(AND(K$6&lt;=$H85,K$6+6&gt;=$G85),1,"")</x:f>
      </x:c>
      <x:c r="L85" s="167" t="str">
        <x:f>IF(AND(L$6&lt;=$H85,L$6+6&gt;=$G85),1,"")</x:f>
      </x:c>
      <x:c r="M85" s="167" t="str">
        <x:f>IF(AND(M$6&lt;=$H85,M$6+6&gt;=$G85),1,"")</x:f>
      </x:c>
      <x:c r="N85" s="167" t="str">
        <x:f>IF(AND(N$6&lt;=$H85,N$6+6&gt;=$G85),1,"")</x:f>
      </x:c>
      <x:c r="O85" s="167" t="str">
        <x:f>IF(AND(O$6&lt;=$H85,O$6+6&gt;=$G85),1,"")</x:f>
      </x:c>
      <x:c r="P85" s="167" t="str">
        <x:f>IF(AND(P$6&lt;=$H85,P$6+6&gt;=$G85),1,"")</x:f>
      </x:c>
      <x:c r="Q85" s="167" t="str">
        <x:f>IF(AND(Q$6&lt;=$H85,Q$6+6&gt;=$G85),1,"")</x:f>
      </x:c>
      <x:c r="R85" s="167" t="str">
        <x:f>IF(AND(R$6&lt;=$H85,R$6+6&gt;=$G85),1,"")</x:f>
      </x:c>
      <x:c r="S85" s="167" t="str">
        <x:f>IF(AND(S$6&lt;=$H85,S$6+6&gt;=$G85),1,"")</x:f>
      </x:c>
      <x:c r="T85" s="167" t="n">
        <x:f>IF(AND(T$6&lt;=$H85,T$6+6&gt;=$G85),1,"")</x:f>
        <x:v>1</x:v>
      </x:c>
      <x:c r="U85" s="167" t="str">
        <x:f>IF(AND(U$6&lt;=$H85,U$6+6&gt;=$G85),1,"")</x:f>
      </x:c>
      <x:c r="V85" s="167" t="str">
        <x:f>IF(AND(V$6&lt;=$H85,V$6+6&gt;=$G85),1,"")</x:f>
      </x:c>
      <x:c r="W85" s="167" t="str">
        <x:f>IF(AND(W$6&lt;=$H85,W$6+6&gt;=$G85),1,"")</x:f>
      </x:c>
      <x:c r="X85" s="167" t="str">
        <x:f>IF(AND(X$6&lt;=$H85,X$6+6&gt;=$G85),1,"")</x:f>
      </x:c>
      <x:c r="Y85" s="167" t="str">
        <x:f>IF(AND(Y$6&lt;=$H85,Y$6+6&gt;=$G85),1,"")</x:f>
      </x:c>
      <x:c r="Z85" s="167" t="str">
        <x:f>IF(AND(Z$6&lt;=$H85,Z$6+6&gt;=$G85),1,"")</x:f>
      </x:c>
      <x:c r="AA85" s="167" t="str">
        <x:f>IF(AND(AA$6&lt;=$H85,AA$6+6&gt;=$G85),1,"")</x:f>
      </x:c>
      <x:c r="AB85" s="167" t="str">
        <x:f>IF(AND(AB$6&lt;=$H85,AB$6+6&gt;=$G85),1,"")</x:f>
      </x:c>
      <x:c r="AC85" s="167" t="str">
        <x:f>IF(AND(AC$6&lt;=$H85,AC$6+6&gt;=$G85),1,"")</x:f>
      </x:c>
      <x:c r="AD85" s="167" t="str">
        <x:f>IF(AND(AD$6&lt;=$H85,AD$6+6&gt;=$G85),1,"")</x:f>
      </x:c>
      <x:c r="AE85" s="167" t="str">
        <x:f>IF(AND(AE$6&lt;=$H85,AE$6+6&gt;=$G85),1,"")</x:f>
      </x:c>
      <x:c r="AF85" s="167" t="str">
        <x:f>IF(AND(AF$6&lt;=$H85,AF$6+6&gt;=$G85),1,"")</x:f>
      </x:c>
      <x:c r="AG85" s="167" t="str">
        <x:f>IF(AND(AG$6&lt;=$H85,AG$6+6&gt;=$G85),1,"")</x:f>
      </x:c>
      <x:c r="AH85" s="167" t="str">
        <x:f>IF(AND(AH$6&lt;=$H85,AH$6+6&gt;=$G85),1,"")</x:f>
      </x:c>
      <x:c r="AI85" s="167" t="str">
        <x:f>IF(AND(AI$6&lt;=$H85,AI$6+6&gt;=$G85),1,"")</x:f>
      </x:c>
      <x:c r="AJ85" s="167" t="str">
        <x:f>IF(AND(AJ$6&lt;=$H85,AJ$6+6&gt;=$G85),1,"")</x:f>
      </x:c>
      <x:c r="AK85" s="167" t="str">
        <x:f>IF(AND(AK$6&lt;=$H85,AK$6+6&gt;=$G85),1,"")</x:f>
      </x:c>
      <x:c r="AL85" s="167" t="str">
        <x:f>IF(AND(AL$6&lt;=$H85,AL$6+6&gt;=$G85),1,"")</x:f>
      </x:c>
      <x:c r="AM85" s="167" t="str">
        <x:f>IF(AND(AM$6&lt;=$H85,AM$6+6&gt;=$G85),1,"")</x:f>
      </x:c>
      <x:c r="AN85" s="167" t="str">
        <x:f>IF(AND(AN$6&lt;=$H85,AN$6+6&gt;=$G85),1,"")</x:f>
      </x:c>
      <x:c r="AO85" s="167" t="str">
        <x:f>IF(AND(AO$6&lt;=$H85,AO$6+6&gt;=$G85),1,"")</x:f>
      </x:c>
      <x:c r="AP85" s="167" t="str">
        <x:f>IF(AND(AP$6&lt;=$H85,AP$6+6&gt;=$G85),1,"")</x:f>
      </x:c>
      <x:c r="AQ85" s="167" t="str">
        <x:f>IF(AND(AQ$6&lt;=$H85,AQ$6+6&gt;=$G85),1,"")</x:f>
      </x:c>
      <x:c r="AR85" s="167" t="str">
        <x:f>IF(AND(AR$6&lt;=$H85,AR$6+6&gt;=$G85),1,"")</x:f>
      </x:c>
      <x:c r="AS85" s="167" t="str">
        <x:f>IF(AND(AS$6&lt;=$H85,AS$6+6&gt;=$G85),1,"")</x:f>
      </x:c>
      <x:c r="AT85" s="167" t="str">
        <x:f>IF(AND(AT$6&lt;=$H85,AT$6+6&gt;=$G85),1,"")</x:f>
      </x:c>
      <x:c r="AU85" s="167" t="str">
        <x:f>IF(AND(AU$6&lt;=$H85,AU$6+6&gt;=$G85),1,"")</x:f>
      </x:c>
      <x:c r="AV85" s="167" t="str">
        <x:f>IF(AND(AV$6&lt;=$H85,AV$6+6&gt;=$G85),1,"")</x:f>
      </x:c>
      <x:c r="AW85" s="167" t="str">
        <x:f>IF(AND(AW$6&lt;=$H85,AW$6+6&gt;=$G85),1,"")</x:f>
      </x:c>
      <x:c r="AX85" s="167" t="str">
        <x:f>IF(AND(AX$6&lt;=$H85,AX$6+6&gt;=$G85),1,"")</x:f>
      </x:c>
      <x:c r="AY85" s="167" t="str">
        <x:f>IF(AND(AY$6&lt;=$H85,AY$6+6&gt;=$G85),1,"")</x:f>
      </x:c>
      <x:c r="AZ85" s="167" t="str">
        <x:f>IF(AND(AZ$6&lt;=$H85,AZ$6+6&gt;=$G85),1,"")</x:f>
      </x:c>
      <x:c r="BA85" s="167" t="str">
        <x:f>IF(AND(BA$6&lt;=$H85,BA$6+6&gt;=$G85),1,"")</x:f>
      </x:c>
      <x:c r="BB85" s="167" t="str">
        <x:f>IF(AND(BB$6&lt;=$H85,BB$6+6&gt;=$G85),1,"")</x:f>
      </x:c>
      <x:c r="BC85" s="167" t="str">
        <x:f>IF(AND(BC$6&lt;=$H85,BC$6+6&gt;=$G85),1,"")</x:f>
      </x:c>
      <x:c r="BD85" s="167" t="str">
        <x:f>IF(AND(BD$6&lt;=$H85,BD$6+6&gt;=$G85),1,"")</x:f>
      </x:c>
      <x:c r="BE85" s="167" t="str">
        <x:f>IF(AND(BE$6&lt;=$H85,BE$6+6&gt;=$G85),1,"")</x:f>
      </x:c>
      <x:c r="BF85" s="167" t="str">
        <x:f>IF(AND(BF$6&lt;=$H85,BF$6+6&gt;=$G85),1,"")</x:f>
      </x:c>
      <x:c r="BG85" s="167" t="str">
        <x:f>IF(AND(BG$6&lt;=$H85,BG$6+6&gt;=$G85),1,"")</x:f>
      </x:c>
      <x:c r="BH85" s="167" t="str">
        <x:f>IF(AND(BH$6&lt;=$H85,BH$6+6&gt;=$G85),1,"")</x:f>
      </x:c>
      <x:c r="BI85" s="167" t="str">
        <x:f>IF(AND(BI$6&lt;=$H85,BI$6+6&gt;=$G85),1,"")</x:f>
      </x:c>
      <x:c r="BJ85" s="167" t="str">
        <x:f>IF(AND(BJ$6&lt;=$H85,BJ$6+6&gt;=$G85),1,"")</x:f>
      </x:c>
      <x:c r="BK85" s="167" t="str">
        <x:f>IF(AND(BK$6&lt;=$H85,BK$6+6&gt;=$G85),1,"")</x:f>
      </x:c>
      <x:c r="BL85" s="167" t="str">
        <x:f>IF(AND(BL$6&lt;=$H85,BL$6+6&gt;=$G85),1,"")</x:f>
      </x:c>
      <x:c r="BM85" s="167" t="str">
        <x:f>IF(AND(BM$6&lt;=$H85,BM$6+6&gt;=$G85),1,"")</x:f>
      </x:c>
      <x:c r="BN85" s="167" t="str">
        <x:f>IF(AND(BN$6&lt;=$H85,BN$6+6&gt;=$G85),1,"")</x:f>
      </x:c>
      <x:c r="BO85" s="168" t="str">
        <x:f>IF(AND(BO$6&lt;=$H85,BO$6+6&gt;=$G85),1,"")</x:f>
      </x:c>
    </x:row>
    <x:row r="86" ht="24" customHeight="1">
      <x:c r="A86" s="68" t="str">
        <x:f>'Task Register'!A84</x:f>
        <x:v>T-101</x:v>
      </x:c>
      <x:c r="B86" s="68" t="str">
        <x:f>'Task Register'!B84</x:f>
        <x:v>S0</x:v>
      </x:c>
      <x:c r="C86" s="68" t="str">
        <x:f>'Task Register'!C84</x:f>
        <x:v>Simulation</x:v>
      </x:c>
      <x:c r="D86" s="68" t="str">
        <x:f>'Task Register'!D84</x:f>
        <x:v>Confirm Python arm sim as canonical abstract reference</x:v>
      </x:c>
      <x:c r="E86" s="68" t="str">
        <x:f>'Task Register'!E84</x:f>
        <x:v>M0</x:v>
      </x:c>
      <x:c r="F86" s="68" t="str">
        <x:f>'Task Register'!F84</x:f>
        <x:v>Done</x:v>
      </x:c>
      <x:c r="G86" s="94" t="n">
        <x:f>'Task Register'!I84</x:f>
        <x:v>46237</x:v>
      </x:c>
      <x:c r="H86" s="94" t="n">
        <x:f>'Task Register'!J84</x:f>
        <x:v>46237</x:v>
      </x:c>
      <x:c r="I86" s="166" t="n">
        <x:f>IF(AND(I$6&lt;=$H86,I$6+6&gt;=$G86),1,"")</x:f>
        <x:v>1</x:v>
      </x:c>
      <x:c r="J86" s="167" t="str">
        <x:f>IF(AND(J$6&lt;=$H86,J$6+6&gt;=$G86),1,"")</x:f>
      </x:c>
      <x:c r="K86" s="167" t="str">
        <x:f>IF(AND(K$6&lt;=$H86,K$6+6&gt;=$G86),1,"")</x:f>
      </x:c>
      <x:c r="L86" s="167" t="str">
        <x:f>IF(AND(L$6&lt;=$H86,L$6+6&gt;=$G86),1,"")</x:f>
      </x:c>
      <x:c r="M86" s="167" t="str">
        <x:f>IF(AND(M$6&lt;=$H86,M$6+6&gt;=$G86),1,"")</x:f>
      </x:c>
      <x:c r="N86" s="167" t="str">
        <x:f>IF(AND(N$6&lt;=$H86,N$6+6&gt;=$G86),1,"")</x:f>
      </x:c>
      <x:c r="O86" s="167" t="str">
        <x:f>IF(AND(O$6&lt;=$H86,O$6+6&gt;=$G86),1,"")</x:f>
      </x:c>
      <x:c r="P86" s="167" t="str">
        <x:f>IF(AND(P$6&lt;=$H86,P$6+6&gt;=$G86),1,"")</x:f>
      </x:c>
      <x:c r="Q86" s="167" t="str">
        <x:f>IF(AND(Q$6&lt;=$H86,Q$6+6&gt;=$G86),1,"")</x:f>
      </x:c>
      <x:c r="R86" s="167" t="str">
        <x:f>IF(AND(R$6&lt;=$H86,R$6+6&gt;=$G86),1,"")</x:f>
      </x:c>
      <x:c r="S86" s="167" t="str">
        <x:f>IF(AND(S$6&lt;=$H86,S$6+6&gt;=$G86),1,"")</x:f>
      </x:c>
      <x:c r="T86" s="167" t="str">
        <x:f>IF(AND(T$6&lt;=$H86,T$6+6&gt;=$G86),1,"")</x:f>
      </x:c>
      <x:c r="U86" s="167" t="str">
        <x:f>IF(AND(U$6&lt;=$H86,U$6+6&gt;=$G86),1,"")</x:f>
      </x:c>
      <x:c r="V86" s="167" t="str">
        <x:f>IF(AND(V$6&lt;=$H86,V$6+6&gt;=$G86),1,"")</x:f>
      </x:c>
      <x:c r="W86" s="167" t="str">
        <x:f>IF(AND(W$6&lt;=$H86,W$6+6&gt;=$G86),1,"")</x:f>
      </x:c>
      <x:c r="X86" s="167" t="str">
        <x:f>IF(AND(X$6&lt;=$H86,X$6+6&gt;=$G86),1,"")</x:f>
      </x:c>
      <x:c r="Y86" s="167" t="str">
        <x:f>IF(AND(Y$6&lt;=$H86,Y$6+6&gt;=$G86),1,"")</x:f>
      </x:c>
      <x:c r="Z86" s="167" t="str">
        <x:f>IF(AND(Z$6&lt;=$H86,Z$6+6&gt;=$G86),1,"")</x:f>
      </x:c>
      <x:c r="AA86" s="167" t="str">
        <x:f>IF(AND(AA$6&lt;=$H86,AA$6+6&gt;=$G86),1,"")</x:f>
      </x:c>
      <x:c r="AB86" s="167" t="str">
        <x:f>IF(AND(AB$6&lt;=$H86,AB$6+6&gt;=$G86),1,"")</x:f>
      </x:c>
      <x:c r="AC86" s="167" t="str">
        <x:f>IF(AND(AC$6&lt;=$H86,AC$6+6&gt;=$G86),1,"")</x:f>
      </x:c>
      <x:c r="AD86" s="167" t="str">
        <x:f>IF(AND(AD$6&lt;=$H86,AD$6+6&gt;=$G86),1,"")</x:f>
      </x:c>
      <x:c r="AE86" s="167" t="str">
        <x:f>IF(AND(AE$6&lt;=$H86,AE$6+6&gt;=$G86),1,"")</x:f>
      </x:c>
      <x:c r="AF86" s="167" t="str">
        <x:f>IF(AND(AF$6&lt;=$H86,AF$6+6&gt;=$G86),1,"")</x:f>
      </x:c>
      <x:c r="AG86" s="167" t="str">
        <x:f>IF(AND(AG$6&lt;=$H86,AG$6+6&gt;=$G86),1,"")</x:f>
      </x:c>
      <x:c r="AH86" s="167" t="str">
        <x:f>IF(AND(AH$6&lt;=$H86,AH$6+6&gt;=$G86),1,"")</x:f>
      </x:c>
      <x:c r="AI86" s="167" t="str">
        <x:f>IF(AND(AI$6&lt;=$H86,AI$6+6&gt;=$G86),1,"")</x:f>
      </x:c>
      <x:c r="AJ86" s="167" t="str">
        <x:f>IF(AND(AJ$6&lt;=$H86,AJ$6+6&gt;=$G86),1,"")</x:f>
      </x:c>
      <x:c r="AK86" s="167" t="str">
        <x:f>IF(AND(AK$6&lt;=$H86,AK$6+6&gt;=$G86),1,"")</x:f>
      </x:c>
      <x:c r="AL86" s="167" t="str">
        <x:f>IF(AND(AL$6&lt;=$H86,AL$6+6&gt;=$G86),1,"")</x:f>
      </x:c>
      <x:c r="AM86" s="167" t="str">
        <x:f>IF(AND(AM$6&lt;=$H86,AM$6+6&gt;=$G86),1,"")</x:f>
      </x:c>
      <x:c r="AN86" s="167" t="str">
        <x:f>IF(AND(AN$6&lt;=$H86,AN$6+6&gt;=$G86),1,"")</x:f>
      </x:c>
      <x:c r="AO86" s="167" t="str">
        <x:f>IF(AND(AO$6&lt;=$H86,AO$6+6&gt;=$G86),1,"")</x:f>
      </x:c>
      <x:c r="AP86" s="167" t="str">
        <x:f>IF(AND(AP$6&lt;=$H86,AP$6+6&gt;=$G86),1,"")</x:f>
      </x:c>
      <x:c r="AQ86" s="167" t="str">
        <x:f>IF(AND(AQ$6&lt;=$H86,AQ$6+6&gt;=$G86),1,"")</x:f>
      </x:c>
      <x:c r="AR86" s="167" t="str">
        <x:f>IF(AND(AR$6&lt;=$H86,AR$6+6&gt;=$G86),1,"")</x:f>
      </x:c>
      <x:c r="AS86" s="167" t="str">
        <x:f>IF(AND(AS$6&lt;=$H86,AS$6+6&gt;=$G86),1,"")</x:f>
      </x:c>
      <x:c r="AT86" s="167" t="str">
        <x:f>IF(AND(AT$6&lt;=$H86,AT$6+6&gt;=$G86),1,"")</x:f>
      </x:c>
      <x:c r="AU86" s="167" t="str">
        <x:f>IF(AND(AU$6&lt;=$H86,AU$6+6&gt;=$G86),1,"")</x:f>
      </x:c>
      <x:c r="AV86" s="167" t="str">
        <x:f>IF(AND(AV$6&lt;=$H86,AV$6+6&gt;=$G86),1,"")</x:f>
      </x:c>
      <x:c r="AW86" s="167" t="str">
        <x:f>IF(AND(AW$6&lt;=$H86,AW$6+6&gt;=$G86),1,"")</x:f>
      </x:c>
      <x:c r="AX86" s="167" t="str">
        <x:f>IF(AND(AX$6&lt;=$H86,AX$6+6&gt;=$G86),1,"")</x:f>
      </x:c>
      <x:c r="AY86" s="167" t="str">
        <x:f>IF(AND(AY$6&lt;=$H86,AY$6+6&gt;=$G86),1,"")</x:f>
      </x:c>
      <x:c r="AZ86" s="167" t="str">
        <x:f>IF(AND(AZ$6&lt;=$H86,AZ$6+6&gt;=$G86),1,"")</x:f>
      </x:c>
      <x:c r="BA86" s="167" t="str">
        <x:f>IF(AND(BA$6&lt;=$H86,BA$6+6&gt;=$G86),1,"")</x:f>
      </x:c>
      <x:c r="BB86" s="167" t="str">
        <x:f>IF(AND(BB$6&lt;=$H86,BB$6+6&gt;=$G86),1,"")</x:f>
      </x:c>
      <x:c r="BC86" s="167" t="str">
        <x:f>IF(AND(BC$6&lt;=$H86,BC$6+6&gt;=$G86),1,"")</x:f>
      </x:c>
      <x:c r="BD86" s="167" t="str">
        <x:f>IF(AND(BD$6&lt;=$H86,BD$6+6&gt;=$G86),1,"")</x:f>
      </x:c>
      <x:c r="BE86" s="167" t="str">
        <x:f>IF(AND(BE$6&lt;=$H86,BE$6+6&gt;=$G86),1,"")</x:f>
      </x:c>
      <x:c r="BF86" s="167" t="str">
        <x:f>IF(AND(BF$6&lt;=$H86,BF$6+6&gt;=$G86),1,"")</x:f>
      </x:c>
      <x:c r="BG86" s="167" t="str">
        <x:f>IF(AND(BG$6&lt;=$H86,BG$6+6&gt;=$G86),1,"")</x:f>
      </x:c>
      <x:c r="BH86" s="167" t="str">
        <x:f>IF(AND(BH$6&lt;=$H86,BH$6+6&gt;=$G86),1,"")</x:f>
      </x:c>
      <x:c r="BI86" s="167" t="str">
        <x:f>IF(AND(BI$6&lt;=$H86,BI$6+6&gt;=$G86),1,"")</x:f>
      </x:c>
      <x:c r="BJ86" s="167" t="str">
        <x:f>IF(AND(BJ$6&lt;=$H86,BJ$6+6&gt;=$G86),1,"")</x:f>
      </x:c>
      <x:c r="BK86" s="167" t="str">
        <x:f>IF(AND(BK$6&lt;=$H86,BK$6+6&gt;=$G86),1,"")</x:f>
      </x:c>
      <x:c r="BL86" s="167" t="str">
        <x:f>IF(AND(BL$6&lt;=$H86,BL$6+6&gt;=$G86),1,"")</x:f>
      </x:c>
      <x:c r="BM86" s="167" t="str">
        <x:f>IF(AND(BM$6&lt;=$H86,BM$6+6&gt;=$G86),1,"")</x:f>
      </x:c>
      <x:c r="BN86" s="167" t="str">
        <x:f>IF(AND(BN$6&lt;=$H86,BN$6+6&gt;=$G86),1,"")</x:f>
      </x:c>
      <x:c r="BO86" s="168" t="str">
        <x:f>IF(AND(BO$6&lt;=$H86,BO$6+6&gt;=$G86),1,"")</x:f>
      </x:c>
    </x:row>
    <x:row r="87" ht="24" customHeight="1">
      <x:c r="A87" s="68" t="str">
        <x:f>'Task Register'!A85</x:f>
        <x:v>T-102</x:v>
      </x:c>
      <x:c r="B87" s="68" t="str">
        <x:f>'Task Register'!B85</x:f>
        <x:v>S0</x:v>
      </x:c>
      <x:c r="C87" s="68" t="str">
        <x:f>'Task Register'!C85</x:f>
        <x:v>Painting Model</x:v>
      </x:c>
      <x:c r="D87" s="68" t="str">
        <x:f>'Task Register'!D85</x:f>
        <x:v>Version and protect canvas material invariants</x:v>
      </x:c>
      <x:c r="E87" s="68" t="str">
        <x:f>'Task Register'!E85</x:f>
        <x:v>M0</x:v>
      </x:c>
      <x:c r="F87" s="68" t="str">
        <x:f>'Task Register'!F85</x:f>
        <x:v>Done</x:v>
      </x:c>
      <x:c r="G87" s="94" t="n">
        <x:f>'Task Register'!I85</x:f>
        <x:v>46238</x:v>
      </x:c>
      <x:c r="H87" s="94" t="n">
        <x:f>'Task Register'!J85</x:f>
        <x:v>46238</x:v>
      </x:c>
      <x:c r="I87" s="166" t="n">
        <x:f>IF(AND(I$6&lt;=$H87,I$6+6&gt;=$G87),1,"")</x:f>
        <x:v>1</x:v>
      </x:c>
      <x:c r="J87" s="167" t="str">
        <x:f>IF(AND(J$6&lt;=$H87,J$6+6&gt;=$G87),1,"")</x:f>
      </x:c>
      <x:c r="K87" s="167" t="str">
        <x:f>IF(AND(K$6&lt;=$H87,K$6+6&gt;=$G87),1,"")</x:f>
      </x:c>
      <x:c r="L87" s="167" t="str">
        <x:f>IF(AND(L$6&lt;=$H87,L$6+6&gt;=$G87),1,"")</x:f>
      </x:c>
      <x:c r="M87" s="167" t="str">
        <x:f>IF(AND(M$6&lt;=$H87,M$6+6&gt;=$G87),1,"")</x:f>
      </x:c>
      <x:c r="N87" s="167" t="str">
        <x:f>IF(AND(N$6&lt;=$H87,N$6+6&gt;=$G87),1,"")</x:f>
      </x:c>
      <x:c r="O87" s="167" t="str">
        <x:f>IF(AND(O$6&lt;=$H87,O$6+6&gt;=$G87),1,"")</x:f>
      </x:c>
      <x:c r="P87" s="167" t="str">
        <x:f>IF(AND(P$6&lt;=$H87,P$6+6&gt;=$G87),1,"")</x:f>
      </x:c>
      <x:c r="Q87" s="167" t="str">
        <x:f>IF(AND(Q$6&lt;=$H87,Q$6+6&gt;=$G87),1,"")</x:f>
      </x:c>
      <x:c r="R87" s="167" t="str">
        <x:f>IF(AND(R$6&lt;=$H87,R$6+6&gt;=$G87),1,"")</x:f>
      </x:c>
      <x:c r="S87" s="167" t="str">
        <x:f>IF(AND(S$6&lt;=$H87,S$6+6&gt;=$G87),1,"")</x:f>
      </x:c>
      <x:c r="T87" s="167" t="str">
        <x:f>IF(AND(T$6&lt;=$H87,T$6+6&gt;=$G87),1,"")</x:f>
      </x:c>
      <x:c r="U87" s="167" t="str">
        <x:f>IF(AND(U$6&lt;=$H87,U$6+6&gt;=$G87),1,"")</x:f>
      </x:c>
      <x:c r="V87" s="167" t="str">
        <x:f>IF(AND(V$6&lt;=$H87,V$6+6&gt;=$G87),1,"")</x:f>
      </x:c>
      <x:c r="W87" s="167" t="str">
        <x:f>IF(AND(W$6&lt;=$H87,W$6+6&gt;=$G87),1,"")</x:f>
      </x:c>
      <x:c r="X87" s="167" t="str">
        <x:f>IF(AND(X$6&lt;=$H87,X$6+6&gt;=$G87),1,"")</x:f>
      </x:c>
      <x:c r="Y87" s="167" t="str">
        <x:f>IF(AND(Y$6&lt;=$H87,Y$6+6&gt;=$G87),1,"")</x:f>
      </x:c>
      <x:c r="Z87" s="167" t="str">
        <x:f>IF(AND(Z$6&lt;=$H87,Z$6+6&gt;=$G87),1,"")</x:f>
      </x:c>
      <x:c r="AA87" s="167" t="str">
        <x:f>IF(AND(AA$6&lt;=$H87,AA$6+6&gt;=$G87),1,"")</x:f>
      </x:c>
      <x:c r="AB87" s="167" t="str">
        <x:f>IF(AND(AB$6&lt;=$H87,AB$6+6&gt;=$G87),1,"")</x:f>
      </x:c>
      <x:c r="AC87" s="167" t="str">
        <x:f>IF(AND(AC$6&lt;=$H87,AC$6+6&gt;=$G87),1,"")</x:f>
      </x:c>
      <x:c r="AD87" s="167" t="str">
        <x:f>IF(AND(AD$6&lt;=$H87,AD$6+6&gt;=$G87),1,"")</x:f>
      </x:c>
      <x:c r="AE87" s="167" t="str">
        <x:f>IF(AND(AE$6&lt;=$H87,AE$6+6&gt;=$G87),1,"")</x:f>
      </x:c>
      <x:c r="AF87" s="167" t="str">
        <x:f>IF(AND(AF$6&lt;=$H87,AF$6+6&gt;=$G87),1,"")</x:f>
      </x:c>
      <x:c r="AG87" s="167" t="str">
        <x:f>IF(AND(AG$6&lt;=$H87,AG$6+6&gt;=$G87),1,"")</x:f>
      </x:c>
      <x:c r="AH87" s="167" t="str">
        <x:f>IF(AND(AH$6&lt;=$H87,AH$6+6&gt;=$G87),1,"")</x:f>
      </x:c>
      <x:c r="AI87" s="167" t="str">
        <x:f>IF(AND(AI$6&lt;=$H87,AI$6+6&gt;=$G87),1,"")</x:f>
      </x:c>
      <x:c r="AJ87" s="167" t="str">
        <x:f>IF(AND(AJ$6&lt;=$H87,AJ$6+6&gt;=$G87),1,"")</x:f>
      </x:c>
      <x:c r="AK87" s="167" t="str">
        <x:f>IF(AND(AK$6&lt;=$H87,AK$6+6&gt;=$G87),1,"")</x:f>
      </x:c>
      <x:c r="AL87" s="167" t="str">
        <x:f>IF(AND(AL$6&lt;=$H87,AL$6+6&gt;=$G87),1,"")</x:f>
      </x:c>
      <x:c r="AM87" s="167" t="str">
        <x:f>IF(AND(AM$6&lt;=$H87,AM$6+6&gt;=$G87),1,"")</x:f>
      </x:c>
      <x:c r="AN87" s="167" t="str">
        <x:f>IF(AND(AN$6&lt;=$H87,AN$6+6&gt;=$G87),1,"")</x:f>
      </x:c>
      <x:c r="AO87" s="167" t="str">
        <x:f>IF(AND(AO$6&lt;=$H87,AO$6+6&gt;=$G87),1,"")</x:f>
      </x:c>
      <x:c r="AP87" s="167" t="str">
        <x:f>IF(AND(AP$6&lt;=$H87,AP$6+6&gt;=$G87),1,"")</x:f>
      </x:c>
      <x:c r="AQ87" s="167" t="str">
        <x:f>IF(AND(AQ$6&lt;=$H87,AQ$6+6&gt;=$G87),1,"")</x:f>
      </x:c>
      <x:c r="AR87" s="167" t="str">
        <x:f>IF(AND(AR$6&lt;=$H87,AR$6+6&gt;=$G87),1,"")</x:f>
      </x:c>
      <x:c r="AS87" s="167" t="str">
        <x:f>IF(AND(AS$6&lt;=$H87,AS$6+6&gt;=$G87),1,"")</x:f>
      </x:c>
      <x:c r="AT87" s="167" t="str">
        <x:f>IF(AND(AT$6&lt;=$H87,AT$6+6&gt;=$G87),1,"")</x:f>
      </x:c>
      <x:c r="AU87" s="167" t="str">
        <x:f>IF(AND(AU$6&lt;=$H87,AU$6+6&gt;=$G87),1,"")</x:f>
      </x:c>
      <x:c r="AV87" s="167" t="str">
        <x:f>IF(AND(AV$6&lt;=$H87,AV$6+6&gt;=$G87),1,"")</x:f>
      </x:c>
      <x:c r="AW87" s="167" t="str">
        <x:f>IF(AND(AW$6&lt;=$H87,AW$6+6&gt;=$G87),1,"")</x:f>
      </x:c>
      <x:c r="AX87" s="167" t="str">
        <x:f>IF(AND(AX$6&lt;=$H87,AX$6+6&gt;=$G87),1,"")</x:f>
      </x:c>
      <x:c r="AY87" s="167" t="str">
        <x:f>IF(AND(AY$6&lt;=$H87,AY$6+6&gt;=$G87),1,"")</x:f>
      </x:c>
      <x:c r="AZ87" s="167" t="str">
        <x:f>IF(AND(AZ$6&lt;=$H87,AZ$6+6&gt;=$G87),1,"")</x:f>
      </x:c>
      <x:c r="BA87" s="167" t="str">
        <x:f>IF(AND(BA$6&lt;=$H87,BA$6+6&gt;=$G87),1,"")</x:f>
      </x:c>
      <x:c r="BB87" s="167" t="str">
        <x:f>IF(AND(BB$6&lt;=$H87,BB$6+6&gt;=$G87),1,"")</x:f>
      </x:c>
      <x:c r="BC87" s="167" t="str">
        <x:f>IF(AND(BC$6&lt;=$H87,BC$6+6&gt;=$G87),1,"")</x:f>
      </x:c>
      <x:c r="BD87" s="167" t="str">
        <x:f>IF(AND(BD$6&lt;=$H87,BD$6+6&gt;=$G87),1,"")</x:f>
      </x:c>
      <x:c r="BE87" s="167" t="str">
        <x:f>IF(AND(BE$6&lt;=$H87,BE$6+6&gt;=$G87),1,"")</x:f>
      </x:c>
      <x:c r="BF87" s="167" t="str">
        <x:f>IF(AND(BF$6&lt;=$H87,BF$6+6&gt;=$G87),1,"")</x:f>
      </x:c>
      <x:c r="BG87" s="167" t="str">
        <x:f>IF(AND(BG$6&lt;=$H87,BG$6+6&gt;=$G87),1,"")</x:f>
      </x:c>
      <x:c r="BH87" s="167" t="str">
        <x:f>IF(AND(BH$6&lt;=$H87,BH$6+6&gt;=$G87),1,"")</x:f>
      </x:c>
      <x:c r="BI87" s="167" t="str">
        <x:f>IF(AND(BI$6&lt;=$H87,BI$6+6&gt;=$G87),1,"")</x:f>
      </x:c>
      <x:c r="BJ87" s="167" t="str">
        <x:f>IF(AND(BJ$6&lt;=$H87,BJ$6+6&gt;=$G87),1,"")</x:f>
      </x:c>
      <x:c r="BK87" s="167" t="str">
        <x:f>IF(AND(BK$6&lt;=$H87,BK$6+6&gt;=$G87),1,"")</x:f>
      </x:c>
      <x:c r="BL87" s="167" t="str">
        <x:f>IF(AND(BL$6&lt;=$H87,BL$6+6&gt;=$G87),1,"")</x:f>
      </x:c>
      <x:c r="BM87" s="167" t="str">
        <x:f>IF(AND(BM$6&lt;=$H87,BM$6+6&gt;=$G87),1,"")</x:f>
      </x:c>
      <x:c r="BN87" s="167" t="str">
        <x:f>IF(AND(BN$6&lt;=$H87,BN$6+6&gt;=$G87),1,"")</x:f>
      </x:c>
      <x:c r="BO87" s="168" t="str">
        <x:f>IF(AND(BO$6&lt;=$H87,BO$6+6&gt;=$G87),1,"")</x:f>
      </x:c>
    </x:row>
    <x:row r="88" ht="24" customHeight="1">
      <x:c r="A88" s="68" t="str">
        <x:f>'Task Register'!A86</x:f>
        <x:v>T-103</x:v>
      </x:c>
      <x:c r="B88" s="68" t="str">
        <x:f>'Task Register'!B86</x:f>
        <x:v>S0</x:v>
      </x:c>
      <x:c r="C88" s="68" t="str">
        <x:f>'Task Register'!C86</x:f>
        <x:v>Control</x:v>
      </x:c>
      <x:c r="D88" s="68" t="str">
        <x:f>'Task Register'!D86</x:f>
        <x:v>Define controller, plant, and policy interfaces</x:v>
      </x:c>
      <x:c r="E88" s="68" t="str">
        <x:f>'Task Register'!E86</x:f>
        <x:v>T-101</x:v>
      </x:c>
      <x:c r="F88" s="68" t="str">
        <x:f>'Task Register'!F86</x:f>
        <x:v>Done</x:v>
      </x:c>
      <x:c r="G88" s="94" t="n">
        <x:f>'Task Register'!I86</x:f>
        <x:v>46239</x:v>
      </x:c>
      <x:c r="H88" s="94" t="n">
        <x:f>'Task Register'!J86</x:f>
        <x:v>46239</x:v>
      </x:c>
      <x:c r="I88" s="166" t="n">
        <x:f>IF(AND(I$6&lt;=$H88,I$6+6&gt;=$G88),1,"")</x:f>
        <x:v>1</x:v>
      </x:c>
      <x:c r="J88" s="167" t="str">
        <x:f>IF(AND(J$6&lt;=$H88,J$6+6&gt;=$G88),1,"")</x:f>
      </x:c>
      <x:c r="K88" s="167" t="str">
        <x:f>IF(AND(K$6&lt;=$H88,K$6+6&gt;=$G88),1,"")</x:f>
      </x:c>
      <x:c r="L88" s="167" t="str">
        <x:f>IF(AND(L$6&lt;=$H88,L$6+6&gt;=$G88),1,"")</x:f>
      </x:c>
      <x:c r="M88" s="167" t="str">
        <x:f>IF(AND(M$6&lt;=$H88,M$6+6&gt;=$G88),1,"")</x:f>
      </x:c>
      <x:c r="N88" s="167" t="str">
        <x:f>IF(AND(N$6&lt;=$H88,N$6+6&gt;=$G88),1,"")</x:f>
      </x:c>
      <x:c r="O88" s="167" t="str">
        <x:f>IF(AND(O$6&lt;=$H88,O$6+6&gt;=$G88),1,"")</x:f>
      </x:c>
      <x:c r="P88" s="167" t="str">
        <x:f>IF(AND(P$6&lt;=$H88,P$6+6&gt;=$G88),1,"")</x:f>
      </x:c>
      <x:c r="Q88" s="167" t="str">
        <x:f>IF(AND(Q$6&lt;=$H88,Q$6+6&gt;=$G88),1,"")</x:f>
      </x:c>
      <x:c r="R88" s="167" t="str">
        <x:f>IF(AND(R$6&lt;=$H88,R$6+6&gt;=$G88),1,"")</x:f>
      </x:c>
      <x:c r="S88" s="167" t="str">
        <x:f>IF(AND(S$6&lt;=$H88,S$6+6&gt;=$G88),1,"")</x:f>
      </x:c>
      <x:c r="T88" s="167" t="str">
        <x:f>IF(AND(T$6&lt;=$H88,T$6+6&gt;=$G88),1,"")</x:f>
      </x:c>
      <x:c r="U88" s="167" t="str">
        <x:f>IF(AND(U$6&lt;=$H88,U$6+6&gt;=$G88),1,"")</x:f>
      </x:c>
      <x:c r="V88" s="167" t="str">
        <x:f>IF(AND(V$6&lt;=$H88,V$6+6&gt;=$G88),1,"")</x:f>
      </x:c>
      <x:c r="W88" s="167" t="str">
        <x:f>IF(AND(W$6&lt;=$H88,W$6+6&gt;=$G88),1,"")</x:f>
      </x:c>
      <x:c r="X88" s="167" t="str">
        <x:f>IF(AND(X$6&lt;=$H88,X$6+6&gt;=$G88),1,"")</x:f>
      </x:c>
      <x:c r="Y88" s="167" t="str">
        <x:f>IF(AND(Y$6&lt;=$H88,Y$6+6&gt;=$G88),1,"")</x:f>
      </x:c>
      <x:c r="Z88" s="167" t="str">
        <x:f>IF(AND(Z$6&lt;=$H88,Z$6+6&gt;=$G88),1,"")</x:f>
      </x:c>
      <x:c r="AA88" s="167" t="str">
        <x:f>IF(AND(AA$6&lt;=$H88,AA$6+6&gt;=$G88),1,"")</x:f>
      </x:c>
      <x:c r="AB88" s="167" t="str">
        <x:f>IF(AND(AB$6&lt;=$H88,AB$6+6&gt;=$G88),1,"")</x:f>
      </x:c>
      <x:c r="AC88" s="167" t="str">
        <x:f>IF(AND(AC$6&lt;=$H88,AC$6+6&gt;=$G88),1,"")</x:f>
      </x:c>
      <x:c r="AD88" s="167" t="str">
        <x:f>IF(AND(AD$6&lt;=$H88,AD$6+6&gt;=$G88),1,"")</x:f>
      </x:c>
      <x:c r="AE88" s="167" t="str">
        <x:f>IF(AND(AE$6&lt;=$H88,AE$6+6&gt;=$G88),1,"")</x:f>
      </x:c>
      <x:c r="AF88" s="167" t="str">
        <x:f>IF(AND(AF$6&lt;=$H88,AF$6+6&gt;=$G88),1,"")</x:f>
      </x:c>
      <x:c r="AG88" s="167" t="str">
        <x:f>IF(AND(AG$6&lt;=$H88,AG$6+6&gt;=$G88),1,"")</x:f>
      </x:c>
      <x:c r="AH88" s="167" t="str">
        <x:f>IF(AND(AH$6&lt;=$H88,AH$6+6&gt;=$G88),1,"")</x:f>
      </x:c>
      <x:c r="AI88" s="167" t="str">
        <x:f>IF(AND(AI$6&lt;=$H88,AI$6+6&gt;=$G88),1,"")</x:f>
      </x:c>
      <x:c r="AJ88" s="167" t="str">
        <x:f>IF(AND(AJ$6&lt;=$H88,AJ$6+6&gt;=$G88),1,"")</x:f>
      </x:c>
      <x:c r="AK88" s="167" t="str">
        <x:f>IF(AND(AK$6&lt;=$H88,AK$6+6&gt;=$G88),1,"")</x:f>
      </x:c>
      <x:c r="AL88" s="167" t="str">
        <x:f>IF(AND(AL$6&lt;=$H88,AL$6+6&gt;=$G88),1,"")</x:f>
      </x:c>
      <x:c r="AM88" s="167" t="str">
        <x:f>IF(AND(AM$6&lt;=$H88,AM$6+6&gt;=$G88),1,"")</x:f>
      </x:c>
      <x:c r="AN88" s="167" t="str">
        <x:f>IF(AND(AN$6&lt;=$H88,AN$6+6&gt;=$G88),1,"")</x:f>
      </x:c>
      <x:c r="AO88" s="167" t="str">
        <x:f>IF(AND(AO$6&lt;=$H88,AO$6+6&gt;=$G88),1,"")</x:f>
      </x:c>
      <x:c r="AP88" s="167" t="str">
        <x:f>IF(AND(AP$6&lt;=$H88,AP$6+6&gt;=$G88),1,"")</x:f>
      </x:c>
      <x:c r="AQ88" s="167" t="str">
        <x:f>IF(AND(AQ$6&lt;=$H88,AQ$6+6&gt;=$G88),1,"")</x:f>
      </x:c>
      <x:c r="AR88" s="167" t="str">
        <x:f>IF(AND(AR$6&lt;=$H88,AR$6+6&gt;=$G88),1,"")</x:f>
      </x:c>
      <x:c r="AS88" s="167" t="str">
        <x:f>IF(AND(AS$6&lt;=$H88,AS$6+6&gt;=$G88),1,"")</x:f>
      </x:c>
      <x:c r="AT88" s="167" t="str">
        <x:f>IF(AND(AT$6&lt;=$H88,AT$6+6&gt;=$G88),1,"")</x:f>
      </x:c>
      <x:c r="AU88" s="167" t="str">
        <x:f>IF(AND(AU$6&lt;=$H88,AU$6+6&gt;=$G88),1,"")</x:f>
      </x:c>
      <x:c r="AV88" s="167" t="str">
        <x:f>IF(AND(AV$6&lt;=$H88,AV$6+6&gt;=$G88),1,"")</x:f>
      </x:c>
      <x:c r="AW88" s="167" t="str">
        <x:f>IF(AND(AW$6&lt;=$H88,AW$6+6&gt;=$G88),1,"")</x:f>
      </x:c>
      <x:c r="AX88" s="167" t="str">
        <x:f>IF(AND(AX$6&lt;=$H88,AX$6+6&gt;=$G88),1,"")</x:f>
      </x:c>
      <x:c r="AY88" s="167" t="str">
        <x:f>IF(AND(AY$6&lt;=$H88,AY$6+6&gt;=$G88),1,"")</x:f>
      </x:c>
      <x:c r="AZ88" s="167" t="str">
        <x:f>IF(AND(AZ$6&lt;=$H88,AZ$6+6&gt;=$G88),1,"")</x:f>
      </x:c>
      <x:c r="BA88" s="167" t="str">
        <x:f>IF(AND(BA$6&lt;=$H88,BA$6+6&gt;=$G88),1,"")</x:f>
      </x:c>
      <x:c r="BB88" s="167" t="str">
        <x:f>IF(AND(BB$6&lt;=$H88,BB$6+6&gt;=$G88),1,"")</x:f>
      </x:c>
      <x:c r="BC88" s="167" t="str">
        <x:f>IF(AND(BC$6&lt;=$H88,BC$6+6&gt;=$G88),1,"")</x:f>
      </x:c>
      <x:c r="BD88" s="167" t="str">
        <x:f>IF(AND(BD$6&lt;=$H88,BD$6+6&gt;=$G88),1,"")</x:f>
      </x:c>
      <x:c r="BE88" s="167" t="str">
        <x:f>IF(AND(BE$6&lt;=$H88,BE$6+6&gt;=$G88),1,"")</x:f>
      </x:c>
      <x:c r="BF88" s="167" t="str">
        <x:f>IF(AND(BF$6&lt;=$H88,BF$6+6&gt;=$G88),1,"")</x:f>
      </x:c>
      <x:c r="BG88" s="167" t="str">
        <x:f>IF(AND(BG$6&lt;=$H88,BG$6+6&gt;=$G88),1,"")</x:f>
      </x:c>
      <x:c r="BH88" s="167" t="str">
        <x:f>IF(AND(BH$6&lt;=$H88,BH$6+6&gt;=$G88),1,"")</x:f>
      </x:c>
      <x:c r="BI88" s="167" t="str">
        <x:f>IF(AND(BI$6&lt;=$H88,BI$6+6&gt;=$G88),1,"")</x:f>
      </x:c>
      <x:c r="BJ88" s="167" t="str">
        <x:f>IF(AND(BJ$6&lt;=$H88,BJ$6+6&gt;=$G88),1,"")</x:f>
      </x:c>
      <x:c r="BK88" s="167" t="str">
        <x:f>IF(AND(BK$6&lt;=$H88,BK$6+6&gt;=$G88),1,"")</x:f>
      </x:c>
      <x:c r="BL88" s="167" t="str">
        <x:f>IF(AND(BL$6&lt;=$H88,BL$6+6&gt;=$G88),1,"")</x:f>
      </x:c>
      <x:c r="BM88" s="167" t="str">
        <x:f>IF(AND(BM$6&lt;=$H88,BM$6+6&gt;=$G88),1,"")</x:f>
      </x:c>
      <x:c r="BN88" s="167" t="str">
        <x:f>IF(AND(BN$6&lt;=$H88,BN$6+6&gt;=$G88),1,"")</x:f>
      </x:c>
      <x:c r="BO88" s="168" t="str">
        <x:f>IF(AND(BO$6&lt;=$H88,BO$6+6&gt;=$G88),1,"")</x:f>
      </x:c>
    </x:row>
    <x:row r="89" ht="24" customHeight="1">
      <x:c r="A89" s="68" t="str">
        <x:f>'Task Register'!A87</x:f>
        <x:v>T-104</x:v>
      </x:c>
      <x:c r="B89" s="68" t="str">
        <x:f>'Task Register'!B87</x:f>
        <x:v>S0</x:v>
      </x:c>
      <x:c r="C89" s="68" t="str">
        <x:f>'Task Register'!C87</x:f>
        <x:v>Validation</x:v>
      </x:c>
      <x:c r="D89" s="68" t="str">
        <x:f>'Task Register'!D87</x:f>
        <x:v>Record full baseline test result</x:v>
      </x:c>
      <x:c r="E89" s="68" t="str">
        <x:f>'Task Register'!E87</x:f>
        <x:v>T-101, T-102, T-103</x:v>
      </x:c>
      <x:c r="F89" s="68" t="str">
        <x:f>'Task Register'!F87</x:f>
        <x:v>Done</x:v>
      </x:c>
      <x:c r="G89" s="94" t="n">
        <x:f>'Task Register'!I87</x:f>
        <x:v>46240</x:v>
      </x:c>
      <x:c r="H89" s="94" t="n">
        <x:f>'Task Register'!J87</x:f>
        <x:v>46240</x:v>
      </x:c>
      <x:c r="I89" s="166" t="n">
        <x:f>IF(AND(I$6&lt;=$H89,I$6+6&gt;=$G89),1,"")</x:f>
        <x:v>1</x:v>
      </x:c>
      <x:c r="J89" s="167" t="str">
        <x:f>IF(AND(J$6&lt;=$H89,J$6+6&gt;=$G89),1,"")</x:f>
      </x:c>
      <x:c r="K89" s="167" t="str">
        <x:f>IF(AND(K$6&lt;=$H89,K$6+6&gt;=$G89),1,"")</x:f>
      </x:c>
      <x:c r="L89" s="167" t="str">
        <x:f>IF(AND(L$6&lt;=$H89,L$6+6&gt;=$G89),1,"")</x:f>
      </x:c>
      <x:c r="M89" s="167" t="str">
        <x:f>IF(AND(M$6&lt;=$H89,M$6+6&gt;=$G89),1,"")</x:f>
      </x:c>
      <x:c r="N89" s="167" t="str">
        <x:f>IF(AND(N$6&lt;=$H89,N$6+6&gt;=$G89),1,"")</x:f>
      </x:c>
      <x:c r="O89" s="167" t="str">
        <x:f>IF(AND(O$6&lt;=$H89,O$6+6&gt;=$G89),1,"")</x:f>
      </x:c>
      <x:c r="P89" s="167" t="str">
        <x:f>IF(AND(P$6&lt;=$H89,P$6+6&gt;=$G89),1,"")</x:f>
      </x:c>
      <x:c r="Q89" s="167" t="str">
        <x:f>IF(AND(Q$6&lt;=$H89,Q$6+6&gt;=$G89),1,"")</x:f>
      </x:c>
      <x:c r="R89" s="167" t="str">
        <x:f>IF(AND(R$6&lt;=$H89,R$6+6&gt;=$G89),1,"")</x:f>
      </x:c>
      <x:c r="S89" s="167" t="str">
        <x:f>IF(AND(S$6&lt;=$H89,S$6+6&gt;=$G89),1,"")</x:f>
      </x:c>
      <x:c r="T89" s="167" t="str">
        <x:f>IF(AND(T$6&lt;=$H89,T$6+6&gt;=$G89),1,"")</x:f>
      </x:c>
      <x:c r="U89" s="167" t="str">
        <x:f>IF(AND(U$6&lt;=$H89,U$6+6&gt;=$G89),1,"")</x:f>
      </x:c>
      <x:c r="V89" s="167" t="str">
        <x:f>IF(AND(V$6&lt;=$H89,V$6+6&gt;=$G89),1,"")</x:f>
      </x:c>
      <x:c r="W89" s="167" t="str">
        <x:f>IF(AND(W$6&lt;=$H89,W$6+6&gt;=$G89),1,"")</x:f>
      </x:c>
      <x:c r="X89" s="167" t="str">
        <x:f>IF(AND(X$6&lt;=$H89,X$6+6&gt;=$G89),1,"")</x:f>
      </x:c>
      <x:c r="Y89" s="167" t="str">
        <x:f>IF(AND(Y$6&lt;=$H89,Y$6+6&gt;=$G89),1,"")</x:f>
      </x:c>
      <x:c r="Z89" s="167" t="str">
        <x:f>IF(AND(Z$6&lt;=$H89,Z$6+6&gt;=$G89),1,"")</x:f>
      </x:c>
      <x:c r="AA89" s="167" t="str">
        <x:f>IF(AND(AA$6&lt;=$H89,AA$6+6&gt;=$G89),1,"")</x:f>
      </x:c>
      <x:c r="AB89" s="167" t="str">
        <x:f>IF(AND(AB$6&lt;=$H89,AB$6+6&gt;=$G89),1,"")</x:f>
      </x:c>
      <x:c r="AC89" s="167" t="str">
        <x:f>IF(AND(AC$6&lt;=$H89,AC$6+6&gt;=$G89),1,"")</x:f>
      </x:c>
      <x:c r="AD89" s="167" t="str">
        <x:f>IF(AND(AD$6&lt;=$H89,AD$6+6&gt;=$G89),1,"")</x:f>
      </x:c>
      <x:c r="AE89" s="167" t="str">
        <x:f>IF(AND(AE$6&lt;=$H89,AE$6+6&gt;=$G89),1,"")</x:f>
      </x:c>
      <x:c r="AF89" s="167" t="str">
        <x:f>IF(AND(AF$6&lt;=$H89,AF$6+6&gt;=$G89),1,"")</x:f>
      </x:c>
      <x:c r="AG89" s="167" t="str">
        <x:f>IF(AND(AG$6&lt;=$H89,AG$6+6&gt;=$G89),1,"")</x:f>
      </x:c>
      <x:c r="AH89" s="167" t="str">
        <x:f>IF(AND(AH$6&lt;=$H89,AH$6+6&gt;=$G89),1,"")</x:f>
      </x:c>
      <x:c r="AI89" s="167" t="str">
        <x:f>IF(AND(AI$6&lt;=$H89,AI$6+6&gt;=$G89),1,"")</x:f>
      </x:c>
      <x:c r="AJ89" s="167" t="str">
        <x:f>IF(AND(AJ$6&lt;=$H89,AJ$6+6&gt;=$G89),1,"")</x:f>
      </x:c>
      <x:c r="AK89" s="167" t="str">
        <x:f>IF(AND(AK$6&lt;=$H89,AK$6+6&gt;=$G89),1,"")</x:f>
      </x:c>
      <x:c r="AL89" s="167" t="str">
        <x:f>IF(AND(AL$6&lt;=$H89,AL$6+6&gt;=$G89),1,"")</x:f>
      </x:c>
      <x:c r="AM89" s="167" t="str">
        <x:f>IF(AND(AM$6&lt;=$H89,AM$6+6&gt;=$G89),1,"")</x:f>
      </x:c>
      <x:c r="AN89" s="167" t="str">
        <x:f>IF(AND(AN$6&lt;=$H89,AN$6+6&gt;=$G89),1,"")</x:f>
      </x:c>
      <x:c r="AO89" s="167" t="str">
        <x:f>IF(AND(AO$6&lt;=$H89,AO$6+6&gt;=$G89),1,"")</x:f>
      </x:c>
      <x:c r="AP89" s="167" t="str">
        <x:f>IF(AND(AP$6&lt;=$H89,AP$6+6&gt;=$G89),1,"")</x:f>
      </x:c>
      <x:c r="AQ89" s="167" t="str">
        <x:f>IF(AND(AQ$6&lt;=$H89,AQ$6+6&gt;=$G89),1,"")</x:f>
      </x:c>
      <x:c r="AR89" s="167" t="str">
        <x:f>IF(AND(AR$6&lt;=$H89,AR$6+6&gt;=$G89),1,"")</x:f>
      </x:c>
      <x:c r="AS89" s="167" t="str">
        <x:f>IF(AND(AS$6&lt;=$H89,AS$6+6&gt;=$G89),1,"")</x:f>
      </x:c>
      <x:c r="AT89" s="167" t="str">
        <x:f>IF(AND(AT$6&lt;=$H89,AT$6+6&gt;=$G89),1,"")</x:f>
      </x:c>
      <x:c r="AU89" s="167" t="str">
        <x:f>IF(AND(AU$6&lt;=$H89,AU$6+6&gt;=$G89),1,"")</x:f>
      </x:c>
      <x:c r="AV89" s="167" t="str">
        <x:f>IF(AND(AV$6&lt;=$H89,AV$6+6&gt;=$G89),1,"")</x:f>
      </x:c>
      <x:c r="AW89" s="167" t="str">
        <x:f>IF(AND(AW$6&lt;=$H89,AW$6+6&gt;=$G89),1,"")</x:f>
      </x:c>
      <x:c r="AX89" s="167" t="str">
        <x:f>IF(AND(AX$6&lt;=$H89,AX$6+6&gt;=$G89),1,"")</x:f>
      </x:c>
      <x:c r="AY89" s="167" t="str">
        <x:f>IF(AND(AY$6&lt;=$H89,AY$6+6&gt;=$G89),1,"")</x:f>
      </x:c>
      <x:c r="AZ89" s="167" t="str">
        <x:f>IF(AND(AZ$6&lt;=$H89,AZ$6+6&gt;=$G89),1,"")</x:f>
      </x:c>
      <x:c r="BA89" s="167" t="str">
        <x:f>IF(AND(BA$6&lt;=$H89,BA$6+6&gt;=$G89),1,"")</x:f>
      </x:c>
      <x:c r="BB89" s="167" t="str">
        <x:f>IF(AND(BB$6&lt;=$H89,BB$6+6&gt;=$G89),1,"")</x:f>
      </x:c>
      <x:c r="BC89" s="167" t="str">
        <x:f>IF(AND(BC$6&lt;=$H89,BC$6+6&gt;=$G89),1,"")</x:f>
      </x:c>
      <x:c r="BD89" s="167" t="str">
        <x:f>IF(AND(BD$6&lt;=$H89,BD$6+6&gt;=$G89),1,"")</x:f>
      </x:c>
      <x:c r="BE89" s="167" t="str">
        <x:f>IF(AND(BE$6&lt;=$H89,BE$6+6&gt;=$G89),1,"")</x:f>
      </x:c>
      <x:c r="BF89" s="167" t="str">
        <x:f>IF(AND(BF$6&lt;=$H89,BF$6+6&gt;=$G89),1,"")</x:f>
      </x:c>
      <x:c r="BG89" s="167" t="str">
        <x:f>IF(AND(BG$6&lt;=$H89,BG$6+6&gt;=$G89),1,"")</x:f>
      </x:c>
      <x:c r="BH89" s="167" t="str">
        <x:f>IF(AND(BH$6&lt;=$H89,BH$6+6&gt;=$G89),1,"")</x:f>
      </x:c>
      <x:c r="BI89" s="167" t="str">
        <x:f>IF(AND(BI$6&lt;=$H89,BI$6+6&gt;=$G89),1,"")</x:f>
      </x:c>
      <x:c r="BJ89" s="167" t="str">
        <x:f>IF(AND(BJ$6&lt;=$H89,BJ$6+6&gt;=$G89),1,"")</x:f>
      </x:c>
      <x:c r="BK89" s="167" t="str">
        <x:f>IF(AND(BK$6&lt;=$H89,BK$6+6&gt;=$G89),1,"")</x:f>
      </x:c>
      <x:c r="BL89" s="167" t="str">
        <x:f>IF(AND(BL$6&lt;=$H89,BL$6+6&gt;=$G89),1,"")</x:f>
      </x:c>
      <x:c r="BM89" s="167" t="str">
        <x:f>IF(AND(BM$6&lt;=$H89,BM$6+6&gt;=$G89),1,"")</x:f>
      </x:c>
      <x:c r="BN89" s="167" t="str">
        <x:f>IF(AND(BN$6&lt;=$H89,BN$6+6&gt;=$G89),1,"")</x:f>
      </x:c>
      <x:c r="BO89" s="168" t="str">
        <x:f>IF(AND(BO$6&lt;=$H89,BO$6+6&gt;=$G89),1,"")</x:f>
      </x:c>
    </x:row>
    <x:row r="90" ht="24" customHeight="1">
      <x:c r="A90" s="68" t="str">
        <x:f>'Task Register'!A88</x:f>
        <x:v>T-105</x:v>
      </x:c>
      <x:c r="B90" s="68" t="str">
        <x:f>'Task Register'!B88</x:f>
        <x:v>S0</x:v>
      </x:c>
      <x:c r="C90" s="68" t="str">
        <x:f>'Task Register'!C88</x:f>
        <x:v>Web/Telemetry</x:v>
      </x:c>
      <x:c r="D90" s="68" t="str">
        <x:f>'Task Register'!D88</x:f>
        <x:v>Capture baseline telemetry and web-runtime behavior</x:v>
      </x:c>
      <x:c r="E90" s="68" t="str">
        <x:f>'Task Register'!E88</x:f>
        <x:v>T-101, T-103</x:v>
      </x:c>
      <x:c r="F90" s="68" t="str">
        <x:f>'Task Register'!F88</x:f>
        <x:v>Done</x:v>
      </x:c>
      <x:c r="G90" s="94" t="n">
        <x:f>'Task Register'!I88</x:f>
        <x:v>46241</x:v>
      </x:c>
      <x:c r="H90" s="94" t="n">
        <x:f>'Task Register'!J88</x:f>
        <x:v>46241</x:v>
      </x:c>
      <x:c r="I90" s="166" t="n">
        <x:f>IF(AND(I$6&lt;=$H90,I$6+6&gt;=$G90),1,"")</x:f>
        <x:v>1</x:v>
      </x:c>
      <x:c r="J90" s="167" t="str">
        <x:f>IF(AND(J$6&lt;=$H90,J$6+6&gt;=$G90),1,"")</x:f>
      </x:c>
      <x:c r="K90" s="167" t="str">
        <x:f>IF(AND(K$6&lt;=$H90,K$6+6&gt;=$G90),1,"")</x:f>
      </x:c>
      <x:c r="L90" s="167" t="str">
        <x:f>IF(AND(L$6&lt;=$H90,L$6+6&gt;=$G90),1,"")</x:f>
      </x:c>
      <x:c r="M90" s="167" t="str">
        <x:f>IF(AND(M$6&lt;=$H90,M$6+6&gt;=$G90),1,"")</x:f>
      </x:c>
      <x:c r="N90" s="167" t="str">
        <x:f>IF(AND(N$6&lt;=$H90,N$6+6&gt;=$G90),1,"")</x:f>
      </x:c>
      <x:c r="O90" s="167" t="str">
        <x:f>IF(AND(O$6&lt;=$H90,O$6+6&gt;=$G90),1,"")</x:f>
      </x:c>
      <x:c r="P90" s="167" t="str">
        <x:f>IF(AND(P$6&lt;=$H90,P$6+6&gt;=$G90),1,"")</x:f>
      </x:c>
      <x:c r="Q90" s="167" t="str">
        <x:f>IF(AND(Q$6&lt;=$H90,Q$6+6&gt;=$G90),1,"")</x:f>
      </x:c>
      <x:c r="R90" s="167" t="str">
        <x:f>IF(AND(R$6&lt;=$H90,R$6+6&gt;=$G90),1,"")</x:f>
      </x:c>
      <x:c r="S90" s="167" t="str">
        <x:f>IF(AND(S$6&lt;=$H90,S$6+6&gt;=$G90),1,"")</x:f>
      </x:c>
      <x:c r="T90" s="167" t="str">
        <x:f>IF(AND(T$6&lt;=$H90,T$6+6&gt;=$G90),1,"")</x:f>
      </x:c>
      <x:c r="U90" s="167" t="str">
        <x:f>IF(AND(U$6&lt;=$H90,U$6+6&gt;=$G90),1,"")</x:f>
      </x:c>
      <x:c r="V90" s="167" t="str">
        <x:f>IF(AND(V$6&lt;=$H90,V$6+6&gt;=$G90),1,"")</x:f>
      </x:c>
      <x:c r="W90" s="167" t="str">
        <x:f>IF(AND(W$6&lt;=$H90,W$6+6&gt;=$G90),1,"")</x:f>
      </x:c>
      <x:c r="X90" s="167" t="str">
        <x:f>IF(AND(X$6&lt;=$H90,X$6+6&gt;=$G90),1,"")</x:f>
      </x:c>
      <x:c r="Y90" s="167" t="str">
        <x:f>IF(AND(Y$6&lt;=$H90,Y$6+6&gt;=$G90),1,"")</x:f>
      </x:c>
      <x:c r="Z90" s="167" t="str">
        <x:f>IF(AND(Z$6&lt;=$H90,Z$6+6&gt;=$G90),1,"")</x:f>
      </x:c>
      <x:c r="AA90" s="167" t="str">
        <x:f>IF(AND(AA$6&lt;=$H90,AA$6+6&gt;=$G90),1,"")</x:f>
      </x:c>
      <x:c r="AB90" s="167" t="str">
        <x:f>IF(AND(AB$6&lt;=$H90,AB$6+6&gt;=$G90),1,"")</x:f>
      </x:c>
      <x:c r="AC90" s="167" t="str">
        <x:f>IF(AND(AC$6&lt;=$H90,AC$6+6&gt;=$G90),1,"")</x:f>
      </x:c>
      <x:c r="AD90" s="167" t="str">
        <x:f>IF(AND(AD$6&lt;=$H90,AD$6+6&gt;=$G90),1,"")</x:f>
      </x:c>
      <x:c r="AE90" s="167" t="str">
        <x:f>IF(AND(AE$6&lt;=$H90,AE$6+6&gt;=$G90),1,"")</x:f>
      </x:c>
      <x:c r="AF90" s="167" t="str">
        <x:f>IF(AND(AF$6&lt;=$H90,AF$6+6&gt;=$G90),1,"")</x:f>
      </x:c>
      <x:c r="AG90" s="167" t="str">
        <x:f>IF(AND(AG$6&lt;=$H90,AG$6+6&gt;=$G90),1,"")</x:f>
      </x:c>
      <x:c r="AH90" s="167" t="str">
        <x:f>IF(AND(AH$6&lt;=$H90,AH$6+6&gt;=$G90),1,"")</x:f>
      </x:c>
      <x:c r="AI90" s="167" t="str">
        <x:f>IF(AND(AI$6&lt;=$H90,AI$6+6&gt;=$G90),1,"")</x:f>
      </x:c>
      <x:c r="AJ90" s="167" t="str">
        <x:f>IF(AND(AJ$6&lt;=$H90,AJ$6+6&gt;=$G90),1,"")</x:f>
      </x:c>
      <x:c r="AK90" s="167" t="str">
        <x:f>IF(AND(AK$6&lt;=$H90,AK$6+6&gt;=$G90),1,"")</x:f>
      </x:c>
      <x:c r="AL90" s="167" t="str">
        <x:f>IF(AND(AL$6&lt;=$H90,AL$6+6&gt;=$G90),1,"")</x:f>
      </x:c>
      <x:c r="AM90" s="167" t="str">
        <x:f>IF(AND(AM$6&lt;=$H90,AM$6+6&gt;=$G90),1,"")</x:f>
      </x:c>
      <x:c r="AN90" s="167" t="str">
        <x:f>IF(AND(AN$6&lt;=$H90,AN$6+6&gt;=$G90),1,"")</x:f>
      </x:c>
      <x:c r="AO90" s="167" t="str">
        <x:f>IF(AND(AO$6&lt;=$H90,AO$6+6&gt;=$G90),1,"")</x:f>
      </x:c>
      <x:c r="AP90" s="167" t="str">
        <x:f>IF(AND(AP$6&lt;=$H90,AP$6+6&gt;=$G90),1,"")</x:f>
      </x:c>
      <x:c r="AQ90" s="167" t="str">
        <x:f>IF(AND(AQ$6&lt;=$H90,AQ$6+6&gt;=$G90),1,"")</x:f>
      </x:c>
      <x:c r="AR90" s="167" t="str">
        <x:f>IF(AND(AR$6&lt;=$H90,AR$6+6&gt;=$G90),1,"")</x:f>
      </x:c>
      <x:c r="AS90" s="167" t="str">
        <x:f>IF(AND(AS$6&lt;=$H90,AS$6+6&gt;=$G90),1,"")</x:f>
      </x:c>
      <x:c r="AT90" s="167" t="str">
        <x:f>IF(AND(AT$6&lt;=$H90,AT$6+6&gt;=$G90),1,"")</x:f>
      </x:c>
      <x:c r="AU90" s="167" t="str">
        <x:f>IF(AND(AU$6&lt;=$H90,AU$6+6&gt;=$G90),1,"")</x:f>
      </x:c>
      <x:c r="AV90" s="167" t="str">
        <x:f>IF(AND(AV$6&lt;=$H90,AV$6+6&gt;=$G90),1,"")</x:f>
      </x:c>
      <x:c r="AW90" s="167" t="str">
        <x:f>IF(AND(AW$6&lt;=$H90,AW$6+6&gt;=$G90),1,"")</x:f>
      </x:c>
      <x:c r="AX90" s="167" t="str">
        <x:f>IF(AND(AX$6&lt;=$H90,AX$6+6&gt;=$G90),1,"")</x:f>
      </x:c>
      <x:c r="AY90" s="167" t="str">
        <x:f>IF(AND(AY$6&lt;=$H90,AY$6+6&gt;=$G90),1,"")</x:f>
      </x:c>
      <x:c r="AZ90" s="167" t="str">
        <x:f>IF(AND(AZ$6&lt;=$H90,AZ$6+6&gt;=$G90),1,"")</x:f>
      </x:c>
      <x:c r="BA90" s="167" t="str">
        <x:f>IF(AND(BA$6&lt;=$H90,BA$6+6&gt;=$G90),1,"")</x:f>
      </x:c>
      <x:c r="BB90" s="167" t="str">
        <x:f>IF(AND(BB$6&lt;=$H90,BB$6+6&gt;=$G90),1,"")</x:f>
      </x:c>
      <x:c r="BC90" s="167" t="str">
        <x:f>IF(AND(BC$6&lt;=$H90,BC$6+6&gt;=$G90),1,"")</x:f>
      </x:c>
      <x:c r="BD90" s="167" t="str">
        <x:f>IF(AND(BD$6&lt;=$H90,BD$6+6&gt;=$G90),1,"")</x:f>
      </x:c>
      <x:c r="BE90" s="167" t="str">
        <x:f>IF(AND(BE$6&lt;=$H90,BE$6+6&gt;=$G90),1,"")</x:f>
      </x:c>
      <x:c r="BF90" s="167" t="str">
        <x:f>IF(AND(BF$6&lt;=$H90,BF$6+6&gt;=$G90),1,"")</x:f>
      </x:c>
      <x:c r="BG90" s="167" t="str">
        <x:f>IF(AND(BG$6&lt;=$H90,BG$6+6&gt;=$G90),1,"")</x:f>
      </x:c>
      <x:c r="BH90" s="167" t="str">
        <x:f>IF(AND(BH$6&lt;=$H90,BH$6+6&gt;=$G90),1,"")</x:f>
      </x:c>
      <x:c r="BI90" s="167" t="str">
        <x:f>IF(AND(BI$6&lt;=$H90,BI$6+6&gt;=$G90),1,"")</x:f>
      </x:c>
      <x:c r="BJ90" s="167" t="str">
        <x:f>IF(AND(BJ$6&lt;=$H90,BJ$6+6&gt;=$G90),1,"")</x:f>
      </x:c>
      <x:c r="BK90" s="167" t="str">
        <x:f>IF(AND(BK$6&lt;=$H90,BK$6+6&gt;=$G90),1,"")</x:f>
      </x:c>
      <x:c r="BL90" s="167" t="str">
        <x:f>IF(AND(BL$6&lt;=$H90,BL$6+6&gt;=$G90),1,"")</x:f>
      </x:c>
      <x:c r="BM90" s="167" t="str">
        <x:f>IF(AND(BM$6&lt;=$H90,BM$6+6&gt;=$G90),1,"")</x:f>
      </x:c>
      <x:c r="BN90" s="167" t="str">
        <x:f>IF(AND(BN$6&lt;=$H90,BN$6+6&gt;=$G90),1,"")</x:f>
      </x:c>
      <x:c r="BO90" s="168" t="str">
        <x:f>IF(AND(BO$6&lt;=$H90,BO$6+6&gt;=$G90),1,"")</x:f>
      </x:c>
    </x:row>
    <x:row r="91" ht="24" customHeight="1">
      <x:c r="A91" s="68" t="str">
        <x:f>'Task Register'!A89</x:f>
        <x:v>T-106</x:v>
      </x:c>
      <x:c r="B91" s="68" t="str">
        <x:f>'Task Register'!B89</x:f>
        <x:v>S0</x:v>
      </x:c>
      <x:c r="C91" s="68" t="str">
        <x:f>'Task Register'!C89</x:f>
        <x:v>Documentation</x:v>
      </x:c>
      <x:c r="D91" s="68" t="str">
        <x:f>'Task Register'!D89</x:f>
        <x:v>Document known simulator shortcuts and limitations</x:v>
      </x:c>
      <x:c r="E91" s="68" t="str">
        <x:f>'Task Register'!E89</x:f>
        <x:v>T-101, T-102, T-103</x:v>
      </x:c>
      <x:c r="F91" s="68" t="str">
        <x:f>'Task Register'!F89</x:f>
        <x:v>Done</x:v>
      </x:c>
      <x:c r="G91" s="94" t="n">
        <x:f>'Task Register'!I89</x:f>
        <x:v>46244</x:v>
      </x:c>
      <x:c r="H91" s="94" t="n">
        <x:f>'Task Register'!J89</x:f>
        <x:v>46244</x:v>
      </x:c>
      <x:c r="I91" s="166" t="str">
        <x:f>IF(AND(I$6&lt;=$H91,I$6+6&gt;=$G91),1,"")</x:f>
      </x:c>
      <x:c r="J91" s="167" t="n">
        <x:f>IF(AND(J$6&lt;=$H91,J$6+6&gt;=$G91),1,"")</x:f>
        <x:v>1</x:v>
      </x:c>
      <x:c r="K91" s="167" t="str">
        <x:f>IF(AND(K$6&lt;=$H91,K$6+6&gt;=$G91),1,"")</x:f>
      </x:c>
      <x:c r="L91" s="167" t="str">
        <x:f>IF(AND(L$6&lt;=$H91,L$6+6&gt;=$G91),1,"")</x:f>
      </x:c>
      <x:c r="M91" s="167" t="str">
        <x:f>IF(AND(M$6&lt;=$H91,M$6+6&gt;=$G91),1,"")</x:f>
      </x:c>
      <x:c r="N91" s="167" t="str">
        <x:f>IF(AND(N$6&lt;=$H91,N$6+6&gt;=$G91),1,"")</x:f>
      </x:c>
      <x:c r="O91" s="167" t="str">
        <x:f>IF(AND(O$6&lt;=$H91,O$6+6&gt;=$G91),1,"")</x:f>
      </x:c>
      <x:c r="P91" s="167" t="str">
        <x:f>IF(AND(P$6&lt;=$H91,P$6+6&gt;=$G91),1,"")</x:f>
      </x:c>
      <x:c r="Q91" s="167" t="str">
        <x:f>IF(AND(Q$6&lt;=$H91,Q$6+6&gt;=$G91),1,"")</x:f>
      </x:c>
      <x:c r="R91" s="167" t="str">
        <x:f>IF(AND(R$6&lt;=$H91,R$6+6&gt;=$G91),1,"")</x:f>
      </x:c>
      <x:c r="S91" s="167" t="str">
        <x:f>IF(AND(S$6&lt;=$H91,S$6+6&gt;=$G91),1,"")</x:f>
      </x:c>
      <x:c r="T91" s="167" t="str">
        <x:f>IF(AND(T$6&lt;=$H91,T$6+6&gt;=$G91),1,"")</x:f>
      </x:c>
      <x:c r="U91" s="167" t="str">
        <x:f>IF(AND(U$6&lt;=$H91,U$6+6&gt;=$G91),1,"")</x:f>
      </x:c>
      <x:c r="V91" s="167" t="str">
        <x:f>IF(AND(V$6&lt;=$H91,V$6+6&gt;=$G91),1,"")</x:f>
      </x:c>
      <x:c r="W91" s="167" t="str">
        <x:f>IF(AND(W$6&lt;=$H91,W$6+6&gt;=$G91),1,"")</x:f>
      </x:c>
      <x:c r="X91" s="167" t="str">
        <x:f>IF(AND(X$6&lt;=$H91,X$6+6&gt;=$G91),1,"")</x:f>
      </x:c>
      <x:c r="Y91" s="167" t="str">
        <x:f>IF(AND(Y$6&lt;=$H91,Y$6+6&gt;=$G91),1,"")</x:f>
      </x:c>
      <x:c r="Z91" s="167" t="str">
        <x:f>IF(AND(Z$6&lt;=$H91,Z$6+6&gt;=$G91),1,"")</x:f>
      </x:c>
      <x:c r="AA91" s="167" t="str">
        <x:f>IF(AND(AA$6&lt;=$H91,AA$6+6&gt;=$G91),1,"")</x:f>
      </x:c>
      <x:c r="AB91" s="167" t="str">
        <x:f>IF(AND(AB$6&lt;=$H91,AB$6+6&gt;=$G91),1,"")</x:f>
      </x:c>
      <x:c r="AC91" s="167" t="str">
        <x:f>IF(AND(AC$6&lt;=$H91,AC$6+6&gt;=$G91),1,"")</x:f>
      </x:c>
      <x:c r="AD91" s="167" t="str">
        <x:f>IF(AND(AD$6&lt;=$H91,AD$6+6&gt;=$G91),1,"")</x:f>
      </x:c>
      <x:c r="AE91" s="167" t="str">
        <x:f>IF(AND(AE$6&lt;=$H91,AE$6+6&gt;=$G91),1,"")</x:f>
      </x:c>
      <x:c r="AF91" s="167" t="str">
        <x:f>IF(AND(AF$6&lt;=$H91,AF$6+6&gt;=$G91),1,"")</x:f>
      </x:c>
      <x:c r="AG91" s="167" t="str">
        <x:f>IF(AND(AG$6&lt;=$H91,AG$6+6&gt;=$G91),1,"")</x:f>
      </x:c>
      <x:c r="AH91" s="167" t="str">
        <x:f>IF(AND(AH$6&lt;=$H91,AH$6+6&gt;=$G91),1,"")</x:f>
      </x:c>
      <x:c r="AI91" s="167" t="str">
        <x:f>IF(AND(AI$6&lt;=$H91,AI$6+6&gt;=$G91),1,"")</x:f>
      </x:c>
      <x:c r="AJ91" s="167" t="str">
        <x:f>IF(AND(AJ$6&lt;=$H91,AJ$6+6&gt;=$G91),1,"")</x:f>
      </x:c>
      <x:c r="AK91" s="167" t="str">
        <x:f>IF(AND(AK$6&lt;=$H91,AK$6+6&gt;=$G91),1,"")</x:f>
      </x:c>
      <x:c r="AL91" s="167" t="str">
        <x:f>IF(AND(AL$6&lt;=$H91,AL$6+6&gt;=$G91),1,"")</x:f>
      </x:c>
      <x:c r="AM91" s="167" t="str">
        <x:f>IF(AND(AM$6&lt;=$H91,AM$6+6&gt;=$G91),1,"")</x:f>
      </x:c>
      <x:c r="AN91" s="167" t="str">
        <x:f>IF(AND(AN$6&lt;=$H91,AN$6+6&gt;=$G91),1,"")</x:f>
      </x:c>
      <x:c r="AO91" s="167" t="str">
        <x:f>IF(AND(AO$6&lt;=$H91,AO$6+6&gt;=$G91),1,"")</x:f>
      </x:c>
      <x:c r="AP91" s="167" t="str">
        <x:f>IF(AND(AP$6&lt;=$H91,AP$6+6&gt;=$G91),1,"")</x:f>
      </x:c>
      <x:c r="AQ91" s="167" t="str">
        <x:f>IF(AND(AQ$6&lt;=$H91,AQ$6+6&gt;=$G91),1,"")</x:f>
      </x:c>
      <x:c r="AR91" s="167" t="str">
        <x:f>IF(AND(AR$6&lt;=$H91,AR$6+6&gt;=$G91),1,"")</x:f>
      </x:c>
      <x:c r="AS91" s="167" t="str">
        <x:f>IF(AND(AS$6&lt;=$H91,AS$6+6&gt;=$G91),1,"")</x:f>
      </x:c>
      <x:c r="AT91" s="167" t="str">
        <x:f>IF(AND(AT$6&lt;=$H91,AT$6+6&gt;=$G91),1,"")</x:f>
      </x:c>
      <x:c r="AU91" s="167" t="str">
        <x:f>IF(AND(AU$6&lt;=$H91,AU$6+6&gt;=$G91),1,"")</x:f>
      </x:c>
      <x:c r="AV91" s="167" t="str">
        <x:f>IF(AND(AV$6&lt;=$H91,AV$6+6&gt;=$G91),1,"")</x:f>
      </x:c>
      <x:c r="AW91" s="167" t="str">
        <x:f>IF(AND(AW$6&lt;=$H91,AW$6+6&gt;=$G91),1,"")</x:f>
      </x:c>
      <x:c r="AX91" s="167" t="str">
        <x:f>IF(AND(AX$6&lt;=$H91,AX$6+6&gt;=$G91),1,"")</x:f>
      </x:c>
      <x:c r="AY91" s="167" t="str">
        <x:f>IF(AND(AY$6&lt;=$H91,AY$6+6&gt;=$G91),1,"")</x:f>
      </x:c>
      <x:c r="AZ91" s="167" t="str">
        <x:f>IF(AND(AZ$6&lt;=$H91,AZ$6+6&gt;=$G91),1,"")</x:f>
      </x:c>
      <x:c r="BA91" s="167" t="str">
        <x:f>IF(AND(BA$6&lt;=$H91,BA$6+6&gt;=$G91),1,"")</x:f>
      </x:c>
      <x:c r="BB91" s="167" t="str">
        <x:f>IF(AND(BB$6&lt;=$H91,BB$6+6&gt;=$G91),1,"")</x:f>
      </x:c>
      <x:c r="BC91" s="167" t="str">
        <x:f>IF(AND(BC$6&lt;=$H91,BC$6+6&gt;=$G91),1,"")</x:f>
      </x:c>
      <x:c r="BD91" s="167" t="str">
        <x:f>IF(AND(BD$6&lt;=$H91,BD$6+6&gt;=$G91),1,"")</x:f>
      </x:c>
      <x:c r="BE91" s="167" t="str">
        <x:f>IF(AND(BE$6&lt;=$H91,BE$6+6&gt;=$G91),1,"")</x:f>
      </x:c>
      <x:c r="BF91" s="167" t="str">
        <x:f>IF(AND(BF$6&lt;=$H91,BF$6+6&gt;=$G91),1,"")</x:f>
      </x:c>
      <x:c r="BG91" s="167" t="str">
        <x:f>IF(AND(BG$6&lt;=$H91,BG$6+6&gt;=$G91),1,"")</x:f>
      </x:c>
      <x:c r="BH91" s="167" t="str">
        <x:f>IF(AND(BH$6&lt;=$H91,BH$6+6&gt;=$G91),1,"")</x:f>
      </x:c>
      <x:c r="BI91" s="167" t="str">
        <x:f>IF(AND(BI$6&lt;=$H91,BI$6+6&gt;=$G91),1,"")</x:f>
      </x:c>
      <x:c r="BJ91" s="167" t="str">
        <x:f>IF(AND(BJ$6&lt;=$H91,BJ$6+6&gt;=$G91),1,"")</x:f>
      </x:c>
      <x:c r="BK91" s="167" t="str">
        <x:f>IF(AND(BK$6&lt;=$H91,BK$6+6&gt;=$G91),1,"")</x:f>
      </x:c>
      <x:c r="BL91" s="167" t="str">
        <x:f>IF(AND(BL$6&lt;=$H91,BL$6+6&gt;=$G91),1,"")</x:f>
      </x:c>
      <x:c r="BM91" s="167" t="str">
        <x:f>IF(AND(BM$6&lt;=$H91,BM$6+6&gt;=$G91),1,"")</x:f>
      </x:c>
      <x:c r="BN91" s="167" t="str">
        <x:f>IF(AND(BN$6&lt;=$H91,BN$6+6&gt;=$G91),1,"")</x:f>
      </x:c>
      <x:c r="BO91" s="168" t="str">
        <x:f>IF(AND(BO$6&lt;=$H91,BO$6+6&gt;=$G91),1,"")</x:f>
      </x:c>
    </x:row>
    <x:row r="92" ht="24" customHeight="1">
      <x:c r="A92" s="68" t="str">
        <x:f>'Task Register'!A90</x:f>
        <x:v>T-107</x:v>
      </x:c>
      <x:c r="B92" s="68" t="str">
        <x:f>'Task Register'!B90</x:f>
        <x:v>S0</x:v>
      </x:c>
      <x:c r="C92" s="68" t="str">
        <x:f>'Task Register'!C90</x:f>
        <x:v>Research Ops</x:v>
      </x:c>
      <x:c r="D92" s="68" t="str">
        <x:f>'Task Register'!D90</x:f>
        <x:v>Define baseline artifact bundle</x:v>
      </x:c>
      <x:c r="E92" s="68" t="str">
        <x:f>'Task Register'!E90</x:f>
        <x:v>T-003, T-104, T-105</x:v>
      </x:c>
      <x:c r="F92" s="68" t="str">
        <x:f>'Task Register'!F90</x:f>
        <x:v>Done</x:v>
      </x:c>
      <x:c r="G92" s="94" t="n">
        <x:f>'Task Register'!I90</x:f>
        <x:v>46245</x:v>
      </x:c>
      <x:c r="H92" s="94" t="n">
        <x:f>'Task Register'!J90</x:f>
        <x:v>46245</x:v>
      </x:c>
      <x:c r="I92" s="166" t="str">
        <x:f>IF(AND(I$6&lt;=$H92,I$6+6&gt;=$G92),1,"")</x:f>
      </x:c>
      <x:c r="J92" s="167" t="n">
        <x:f>IF(AND(J$6&lt;=$H92,J$6+6&gt;=$G92),1,"")</x:f>
        <x:v>1</x:v>
      </x:c>
      <x:c r="K92" s="167" t="str">
        <x:f>IF(AND(K$6&lt;=$H92,K$6+6&gt;=$G92),1,"")</x:f>
      </x:c>
      <x:c r="L92" s="167" t="str">
        <x:f>IF(AND(L$6&lt;=$H92,L$6+6&gt;=$G92),1,"")</x:f>
      </x:c>
      <x:c r="M92" s="167" t="str">
        <x:f>IF(AND(M$6&lt;=$H92,M$6+6&gt;=$G92),1,"")</x:f>
      </x:c>
      <x:c r="N92" s="167" t="str">
        <x:f>IF(AND(N$6&lt;=$H92,N$6+6&gt;=$G92),1,"")</x:f>
      </x:c>
      <x:c r="O92" s="167" t="str">
        <x:f>IF(AND(O$6&lt;=$H92,O$6+6&gt;=$G92),1,"")</x:f>
      </x:c>
      <x:c r="P92" s="167" t="str">
        <x:f>IF(AND(P$6&lt;=$H92,P$6+6&gt;=$G92),1,"")</x:f>
      </x:c>
      <x:c r="Q92" s="167" t="str">
        <x:f>IF(AND(Q$6&lt;=$H92,Q$6+6&gt;=$G92),1,"")</x:f>
      </x:c>
      <x:c r="R92" s="167" t="str">
        <x:f>IF(AND(R$6&lt;=$H92,R$6+6&gt;=$G92),1,"")</x:f>
      </x:c>
      <x:c r="S92" s="167" t="str">
        <x:f>IF(AND(S$6&lt;=$H92,S$6+6&gt;=$G92),1,"")</x:f>
      </x:c>
      <x:c r="T92" s="167" t="str">
        <x:f>IF(AND(T$6&lt;=$H92,T$6+6&gt;=$G92),1,"")</x:f>
      </x:c>
      <x:c r="U92" s="167" t="str">
        <x:f>IF(AND(U$6&lt;=$H92,U$6+6&gt;=$G92),1,"")</x:f>
      </x:c>
      <x:c r="V92" s="167" t="str">
        <x:f>IF(AND(V$6&lt;=$H92,V$6+6&gt;=$G92),1,"")</x:f>
      </x:c>
      <x:c r="W92" s="167" t="str">
        <x:f>IF(AND(W$6&lt;=$H92,W$6+6&gt;=$G92),1,"")</x:f>
      </x:c>
      <x:c r="X92" s="167" t="str">
        <x:f>IF(AND(X$6&lt;=$H92,X$6+6&gt;=$G92),1,"")</x:f>
      </x:c>
      <x:c r="Y92" s="167" t="str">
        <x:f>IF(AND(Y$6&lt;=$H92,Y$6+6&gt;=$G92),1,"")</x:f>
      </x:c>
      <x:c r="Z92" s="167" t="str">
        <x:f>IF(AND(Z$6&lt;=$H92,Z$6+6&gt;=$G92),1,"")</x:f>
      </x:c>
      <x:c r="AA92" s="167" t="str">
        <x:f>IF(AND(AA$6&lt;=$H92,AA$6+6&gt;=$G92),1,"")</x:f>
      </x:c>
      <x:c r="AB92" s="167" t="str">
        <x:f>IF(AND(AB$6&lt;=$H92,AB$6+6&gt;=$G92),1,"")</x:f>
      </x:c>
      <x:c r="AC92" s="167" t="str">
        <x:f>IF(AND(AC$6&lt;=$H92,AC$6+6&gt;=$G92),1,"")</x:f>
      </x:c>
      <x:c r="AD92" s="167" t="str">
        <x:f>IF(AND(AD$6&lt;=$H92,AD$6+6&gt;=$G92),1,"")</x:f>
      </x:c>
      <x:c r="AE92" s="167" t="str">
        <x:f>IF(AND(AE$6&lt;=$H92,AE$6+6&gt;=$G92),1,"")</x:f>
      </x:c>
      <x:c r="AF92" s="167" t="str">
        <x:f>IF(AND(AF$6&lt;=$H92,AF$6+6&gt;=$G92),1,"")</x:f>
      </x:c>
      <x:c r="AG92" s="167" t="str">
        <x:f>IF(AND(AG$6&lt;=$H92,AG$6+6&gt;=$G92),1,"")</x:f>
      </x:c>
      <x:c r="AH92" s="167" t="str">
        <x:f>IF(AND(AH$6&lt;=$H92,AH$6+6&gt;=$G92),1,"")</x:f>
      </x:c>
      <x:c r="AI92" s="167" t="str">
        <x:f>IF(AND(AI$6&lt;=$H92,AI$6+6&gt;=$G92),1,"")</x:f>
      </x:c>
      <x:c r="AJ92" s="167" t="str">
        <x:f>IF(AND(AJ$6&lt;=$H92,AJ$6+6&gt;=$G92),1,"")</x:f>
      </x:c>
      <x:c r="AK92" s="167" t="str">
        <x:f>IF(AND(AK$6&lt;=$H92,AK$6+6&gt;=$G92),1,"")</x:f>
      </x:c>
      <x:c r="AL92" s="167" t="str">
        <x:f>IF(AND(AL$6&lt;=$H92,AL$6+6&gt;=$G92),1,"")</x:f>
      </x:c>
      <x:c r="AM92" s="167" t="str">
        <x:f>IF(AND(AM$6&lt;=$H92,AM$6+6&gt;=$G92),1,"")</x:f>
      </x:c>
      <x:c r="AN92" s="167" t="str">
        <x:f>IF(AND(AN$6&lt;=$H92,AN$6+6&gt;=$G92),1,"")</x:f>
      </x:c>
      <x:c r="AO92" s="167" t="str">
        <x:f>IF(AND(AO$6&lt;=$H92,AO$6+6&gt;=$G92),1,"")</x:f>
      </x:c>
      <x:c r="AP92" s="167" t="str">
        <x:f>IF(AND(AP$6&lt;=$H92,AP$6+6&gt;=$G92),1,"")</x:f>
      </x:c>
      <x:c r="AQ92" s="167" t="str">
        <x:f>IF(AND(AQ$6&lt;=$H92,AQ$6+6&gt;=$G92),1,"")</x:f>
      </x:c>
      <x:c r="AR92" s="167" t="str">
        <x:f>IF(AND(AR$6&lt;=$H92,AR$6+6&gt;=$G92),1,"")</x:f>
      </x:c>
      <x:c r="AS92" s="167" t="str">
        <x:f>IF(AND(AS$6&lt;=$H92,AS$6+6&gt;=$G92),1,"")</x:f>
      </x:c>
      <x:c r="AT92" s="167" t="str">
        <x:f>IF(AND(AT$6&lt;=$H92,AT$6+6&gt;=$G92),1,"")</x:f>
      </x:c>
      <x:c r="AU92" s="167" t="str">
        <x:f>IF(AND(AU$6&lt;=$H92,AU$6+6&gt;=$G92),1,"")</x:f>
      </x:c>
      <x:c r="AV92" s="167" t="str">
        <x:f>IF(AND(AV$6&lt;=$H92,AV$6+6&gt;=$G92),1,"")</x:f>
      </x:c>
      <x:c r="AW92" s="167" t="str">
        <x:f>IF(AND(AW$6&lt;=$H92,AW$6+6&gt;=$G92),1,"")</x:f>
      </x:c>
      <x:c r="AX92" s="167" t="str">
        <x:f>IF(AND(AX$6&lt;=$H92,AX$6+6&gt;=$G92),1,"")</x:f>
      </x:c>
      <x:c r="AY92" s="167" t="str">
        <x:f>IF(AND(AY$6&lt;=$H92,AY$6+6&gt;=$G92),1,"")</x:f>
      </x:c>
      <x:c r="AZ92" s="167" t="str">
        <x:f>IF(AND(AZ$6&lt;=$H92,AZ$6+6&gt;=$G92),1,"")</x:f>
      </x:c>
      <x:c r="BA92" s="167" t="str">
        <x:f>IF(AND(BA$6&lt;=$H92,BA$6+6&gt;=$G92),1,"")</x:f>
      </x:c>
      <x:c r="BB92" s="167" t="str">
        <x:f>IF(AND(BB$6&lt;=$H92,BB$6+6&gt;=$G92),1,"")</x:f>
      </x:c>
      <x:c r="BC92" s="167" t="str">
        <x:f>IF(AND(BC$6&lt;=$H92,BC$6+6&gt;=$G92),1,"")</x:f>
      </x:c>
      <x:c r="BD92" s="167" t="str">
        <x:f>IF(AND(BD$6&lt;=$H92,BD$6+6&gt;=$G92),1,"")</x:f>
      </x:c>
      <x:c r="BE92" s="167" t="str">
        <x:f>IF(AND(BE$6&lt;=$H92,BE$6+6&gt;=$G92),1,"")</x:f>
      </x:c>
      <x:c r="BF92" s="167" t="str">
        <x:f>IF(AND(BF$6&lt;=$H92,BF$6+6&gt;=$G92),1,"")</x:f>
      </x:c>
      <x:c r="BG92" s="167" t="str">
        <x:f>IF(AND(BG$6&lt;=$H92,BG$6+6&gt;=$G92),1,"")</x:f>
      </x:c>
      <x:c r="BH92" s="167" t="str">
        <x:f>IF(AND(BH$6&lt;=$H92,BH$6+6&gt;=$G92),1,"")</x:f>
      </x:c>
      <x:c r="BI92" s="167" t="str">
        <x:f>IF(AND(BI$6&lt;=$H92,BI$6+6&gt;=$G92),1,"")</x:f>
      </x:c>
      <x:c r="BJ92" s="167" t="str">
        <x:f>IF(AND(BJ$6&lt;=$H92,BJ$6+6&gt;=$G92),1,"")</x:f>
      </x:c>
      <x:c r="BK92" s="167" t="str">
        <x:f>IF(AND(BK$6&lt;=$H92,BK$6+6&gt;=$G92),1,"")</x:f>
      </x:c>
      <x:c r="BL92" s="167" t="str">
        <x:f>IF(AND(BL$6&lt;=$H92,BL$6+6&gt;=$G92),1,"")</x:f>
      </x:c>
      <x:c r="BM92" s="167" t="str">
        <x:f>IF(AND(BM$6&lt;=$H92,BM$6+6&gt;=$G92),1,"")</x:f>
      </x:c>
      <x:c r="BN92" s="167" t="str">
        <x:f>IF(AND(BN$6&lt;=$H92,BN$6+6&gt;=$G92),1,"")</x:f>
      </x:c>
      <x:c r="BO92" s="168" t="str">
        <x:f>IF(AND(BO$6&lt;=$H92,BO$6+6&gt;=$G92),1,"")</x:f>
      </x:c>
    </x:row>
    <x:row r="93" ht="24" customHeight="1">
      <x:c r="A93" s="68" t="str">
        <x:f>'Task Register'!A91</x:f>
        <x:v>T-108</x:v>
      </x:c>
      <x:c r="B93" s="68" t="str">
        <x:f>'Task Register'!B91</x:f>
        <x:v>S0</x:v>
      </x:c>
      <x:c r="C93" s="68" t="str">
        <x:f>'Task Register'!C91</x:f>
        <x:v>Validation</x:v>
      </x:c>
      <x:c r="D93" s="68" t="str">
        <x:f>'Task Register'!D91</x:f>
        <x:v>S0 reference-contract decision</x:v>
      </x:c>
      <x:c r="E93" s="68" t="str">
        <x:f>'Task Register'!E91</x:f>
        <x:v>T-104, T-105, T-106, T-107</x:v>
      </x:c>
      <x:c r="F93" s="68" t="str">
        <x:f>'Task Register'!F91</x:f>
        <x:v>Ready</x:v>
      </x:c>
      <x:c r="G93" s="94" t="n">
        <x:f>'Task Register'!I91</x:f>
        <x:v>46246</x:v>
      </x:c>
      <x:c r="H93" s="94" t="n">
        <x:f>'Task Register'!J91</x:f>
        <x:v>46246</x:v>
      </x:c>
      <x:c r="I93" s="166" t="str">
        <x:f>IF(AND(I$6&lt;=$H93,I$6+6&gt;=$G93),1,"")</x:f>
      </x:c>
      <x:c r="J93" s="167" t="n">
        <x:f>IF(AND(J$6&lt;=$H93,J$6+6&gt;=$G93),1,"")</x:f>
        <x:v>1</x:v>
      </x:c>
      <x:c r="K93" s="167" t="str">
        <x:f>IF(AND(K$6&lt;=$H93,K$6+6&gt;=$G93),1,"")</x:f>
      </x:c>
      <x:c r="L93" s="167" t="str">
        <x:f>IF(AND(L$6&lt;=$H93,L$6+6&gt;=$G93),1,"")</x:f>
      </x:c>
      <x:c r="M93" s="167" t="str">
        <x:f>IF(AND(M$6&lt;=$H93,M$6+6&gt;=$G93),1,"")</x:f>
      </x:c>
      <x:c r="N93" s="167" t="str">
        <x:f>IF(AND(N$6&lt;=$H93,N$6+6&gt;=$G93),1,"")</x:f>
      </x:c>
      <x:c r="O93" s="167" t="str">
        <x:f>IF(AND(O$6&lt;=$H93,O$6+6&gt;=$G93),1,"")</x:f>
      </x:c>
      <x:c r="P93" s="167" t="str">
        <x:f>IF(AND(P$6&lt;=$H93,P$6+6&gt;=$G93),1,"")</x:f>
      </x:c>
      <x:c r="Q93" s="167" t="str">
        <x:f>IF(AND(Q$6&lt;=$H93,Q$6+6&gt;=$G93),1,"")</x:f>
      </x:c>
      <x:c r="R93" s="167" t="str">
        <x:f>IF(AND(R$6&lt;=$H93,R$6+6&gt;=$G93),1,"")</x:f>
      </x:c>
      <x:c r="S93" s="167" t="str">
        <x:f>IF(AND(S$6&lt;=$H93,S$6+6&gt;=$G93),1,"")</x:f>
      </x:c>
      <x:c r="T93" s="167" t="str">
        <x:f>IF(AND(T$6&lt;=$H93,T$6+6&gt;=$G93),1,"")</x:f>
      </x:c>
      <x:c r="U93" s="167" t="str">
        <x:f>IF(AND(U$6&lt;=$H93,U$6+6&gt;=$G93),1,"")</x:f>
      </x:c>
      <x:c r="V93" s="167" t="str">
        <x:f>IF(AND(V$6&lt;=$H93,V$6+6&gt;=$G93),1,"")</x:f>
      </x:c>
      <x:c r="W93" s="167" t="str">
        <x:f>IF(AND(W$6&lt;=$H93,W$6+6&gt;=$G93),1,"")</x:f>
      </x:c>
      <x:c r="X93" s="167" t="str">
        <x:f>IF(AND(X$6&lt;=$H93,X$6+6&gt;=$G93),1,"")</x:f>
      </x:c>
      <x:c r="Y93" s="167" t="str">
        <x:f>IF(AND(Y$6&lt;=$H93,Y$6+6&gt;=$G93),1,"")</x:f>
      </x:c>
      <x:c r="Z93" s="167" t="str">
        <x:f>IF(AND(Z$6&lt;=$H93,Z$6+6&gt;=$G93),1,"")</x:f>
      </x:c>
      <x:c r="AA93" s="167" t="str">
        <x:f>IF(AND(AA$6&lt;=$H93,AA$6+6&gt;=$G93),1,"")</x:f>
      </x:c>
      <x:c r="AB93" s="167" t="str">
        <x:f>IF(AND(AB$6&lt;=$H93,AB$6+6&gt;=$G93),1,"")</x:f>
      </x:c>
      <x:c r="AC93" s="167" t="str">
        <x:f>IF(AND(AC$6&lt;=$H93,AC$6+6&gt;=$G93),1,"")</x:f>
      </x:c>
      <x:c r="AD93" s="167" t="str">
        <x:f>IF(AND(AD$6&lt;=$H93,AD$6+6&gt;=$G93),1,"")</x:f>
      </x:c>
      <x:c r="AE93" s="167" t="str">
        <x:f>IF(AND(AE$6&lt;=$H93,AE$6+6&gt;=$G93),1,"")</x:f>
      </x:c>
      <x:c r="AF93" s="167" t="str">
        <x:f>IF(AND(AF$6&lt;=$H93,AF$6+6&gt;=$G93),1,"")</x:f>
      </x:c>
      <x:c r="AG93" s="167" t="str">
        <x:f>IF(AND(AG$6&lt;=$H93,AG$6+6&gt;=$G93),1,"")</x:f>
      </x:c>
      <x:c r="AH93" s="167" t="str">
        <x:f>IF(AND(AH$6&lt;=$H93,AH$6+6&gt;=$G93),1,"")</x:f>
      </x:c>
      <x:c r="AI93" s="167" t="str">
        <x:f>IF(AND(AI$6&lt;=$H93,AI$6+6&gt;=$G93),1,"")</x:f>
      </x:c>
      <x:c r="AJ93" s="167" t="str">
        <x:f>IF(AND(AJ$6&lt;=$H93,AJ$6+6&gt;=$G93),1,"")</x:f>
      </x:c>
      <x:c r="AK93" s="167" t="str">
        <x:f>IF(AND(AK$6&lt;=$H93,AK$6+6&gt;=$G93),1,"")</x:f>
      </x:c>
      <x:c r="AL93" s="167" t="str">
        <x:f>IF(AND(AL$6&lt;=$H93,AL$6+6&gt;=$G93),1,"")</x:f>
      </x:c>
      <x:c r="AM93" s="167" t="str">
        <x:f>IF(AND(AM$6&lt;=$H93,AM$6+6&gt;=$G93),1,"")</x:f>
      </x:c>
      <x:c r="AN93" s="167" t="str">
        <x:f>IF(AND(AN$6&lt;=$H93,AN$6+6&gt;=$G93),1,"")</x:f>
      </x:c>
      <x:c r="AO93" s="167" t="str">
        <x:f>IF(AND(AO$6&lt;=$H93,AO$6+6&gt;=$G93),1,"")</x:f>
      </x:c>
      <x:c r="AP93" s="167" t="str">
        <x:f>IF(AND(AP$6&lt;=$H93,AP$6+6&gt;=$G93),1,"")</x:f>
      </x:c>
      <x:c r="AQ93" s="167" t="str">
        <x:f>IF(AND(AQ$6&lt;=$H93,AQ$6+6&gt;=$G93),1,"")</x:f>
      </x:c>
      <x:c r="AR93" s="167" t="str">
        <x:f>IF(AND(AR$6&lt;=$H93,AR$6+6&gt;=$G93),1,"")</x:f>
      </x:c>
      <x:c r="AS93" s="167" t="str">
        <x:f>IF(AND(AS$6&lt;=$H93,AS$6+6&gt;=$G93),1,"")</x:f>
      </x:c>
      <x:c r="AT93" s="167" t="str">
        <x:f>IF(AND(AT$6&lt;=$H93,AT$6+6&gt;=$G93),1,"")</x:f>
      </x:c>
      <x:c r="AU93" s="167" t="str">
        <x:f>IF(AND(AU$6&lt;=$H93,AU$6+6&gt;=$G93),1,"")</x:f>
      </x:c>
      <x:c r="AV93" s="167" t="str">
        <x:f>IF(AND(AV$6&lt;=$H93,AV$6+6&gt;=$G93),1,"")</x:f>
      </x:c>
      <x:c r="AW93" s="167" t="str">
        <x:f>IF(AND(AW$6&lt;=$H93,AW$6+6&gt;=$G93),1,"")</x:f>
      </x:c>
      <x:c r="AX93" s="167" t="str">
        <x:f>IF(AND(AX$6&lt;=$H93,AX$6+6&gt;=$G93),1,"")</x:f>
      </x:c>
      <x:c r="AY93" s="167" t="str">
        <x:f>IF(AND(AY$6&lt;=$H93,AY$6+6&gt;=$G93),1,"")</x:f>
      </x:c>
      <x:c r="AZ93" s="167" t="str">
        <x:f>IF(AND(AZ$6&lt;=$H93,AZ$6+6&gt;=$G93),1,"")</x:f>
      </x:c>
      <x:c r="BA93" s="167" t="str">
        <x:f>IF(AND(BA$6&lt;=$H93,BA$6+6&gt;=$G93),1,"")</x:f>
      </x:c>
      <x:c r="BB93" s="167" t="str">
        <x:f>IF(AND(BB$6&lt;=$H93,BB$6+6&gt;=$G93),1,"")</x:f>
      </x:c>
      <x:c r="BC93" s="167" t="str">
        <x:f>IF(AND(BC$6&lt;=$H93,BC$6+6&gt;=$G93),1,"")</x:f>
      </x:c>
      <x:c r="BD93" s="167" t="str">
        <x:f>IF(AND(BD$6&lt;=$H93,BD$6+6&gt;=$G93),1,"")</x:f>
      </x:c>
      <x:c r="BE93" s="167" t="str">
        <x:f>IF(AND(BE$6&lt;=$H93,BE$6+6&gt;=$G93),1,"")</x:f>
      </x:c>
      <x:c r="BF93" s="167" t="str">
        <x:f>IF(AND(BF$6&lt;=$H93,BF$6+6&gt;=$G93),1,"")</x:f>
      </x:c>
      <x:c r="BG93" s="167" t="str">
        <x:f>IF(AND(BG$6&lt;=$H93,BG$6+6&gt;=$G93),1,"")</x:f>
      </x:c>
      <x:c r="BH93" s="167" t="str">
        <x:f>IF(AND(BH$6&lt;=$H93,BH$6+6&gt;=$G93),1,"")</x:f>
      </x:c>
      <x:c r="BI93" s="167" t="str">
        <x:f>IF(AND(BI$6&lt;=$H93,BI$6+6&gt;=$G93),1,"")</x:f>
      </x:c>
      <x:c r="BJ93" s="167" t="str">
        <x:f>IF(AND(BJ$6&lt;=$H93,BJ$6+6&gt;=$G93),1,"")</x:f>
      </x:c>
      <x:c r="BK93" s="167" t="str">
        <x:f>IF(AND(BK$6&lt;=$H93,BK$6+6&gt;=$G93),1,"")</x:f>
      </x:c>
      <x:c r="BL93" s="167" t="str">
        <x:f>IF(AND(BL$6&lt;=$H93,BL$6+6&gt;=$G93),1,"")</x:f>
      </x:c>
      <x:c r="BM93" s="167" t="str">
        <x:f>IF(AND(BM$6&lt;=$H93,BM$6+6&gt;=$G93),1,"")</x:f>
      </x:c>
      <x:c r="BN93" s="167" t="str">
        <x:f>IF(AND(BN$6&lt;=$H93,BN$6+6&gt;=$G93),1,"")</x:f>
      </x:c>
      <x:c r="BO93" s="168" t="str">
        <x:f>IF(AND(BO$6&lt;=$H93,BO$6+6&gt;=$G93),1,"")</x:f>
      </x:c>
    </x:row>
    <x:row r="94" ht="24" customHeight="1">
      <x:c r="A94" s="68" t="str">
        <x:f>'Task Register'!A92</x:f>
        <x:v>T-201</x:v>
      </x:c>
      <x:c r="B94" s="68" t="str">
        <x:f>'Task Register'!B92</x:f>
        <x:v>S1</x:v>
      </x:c>
      <x:c r="C94" s="68" t="str">
        <x:f>'Task Register'!C92</x:f>
        <x:v>MuJoCo</x:v>
      </x:c>
      <x:c r="D94" s="68" t="str">
        <x:f>'Task Register'!D92</x:f>
        <x:v>Match native arm constants in MuJoCo XML</x:v>
      </x:c>
      <x:c r="E94" s="68" t="str">
        <x:f>'Task Register'!E92</x:f>
        <x:v>T-101</x:v>
      </x:c>
      <x:c r="F94" s="68" t="str">
        <x:f>'Task Register'!F92</x:f>
        <x:v>Done</x:v>
      </x:c>
      <x:c r="G94" s="94" t="n">
        <x:f>'Task Register'!I92</x:f>
        <x:v>46258</x:v>
      </x:c>
      <x:c r="H94" s="94" t="n">
        <x:f>'Task Register'!J92</x:f>
        <x:v>46258</x:v>
      </x:c>
      <x:c r="I94" s="166" t="str">
        <x:f>IF(AND(I$6&lt;=$H94,I$6+6&gt;=$G94),1,"")</x:f>
      </x:c>
      <x:c r="J94" s="167" t="str">
        <x:f>IF(AND(J$6&lt;=$H94,J$6+6&gt;=$G94),1,"")</x:f>
      </x:c>
      <x:c r="K94" s="167" t="str">
        <x:f>IF(AND(K$6&lt;=$H94,K$6+6&gt;=$G94),1,"")</x:f>
      </x:c>
      <x:c r="L94" s="167" t="n">
        <x:f>IF(AND(L$6&lt;=$H94,L$6+6&gt;=$G94),1,"")</x:f>
        <x:v>1</x:v>
      </x:c>
      <x:c r="M94" s="167" t="str">
        <x:f>IF(AND(M$6&lt;=$H94,M$6+6&gt;=$G94),1,"")</x:f>
      </x:c>
      <x:c r="N94" s="167" t="str">
        <x:f>IF(AND(N$6&lt;=$H94,N$6+6&gt;=$G94),1,"")</x:f>
      </x:c>
      <x:c r="O94" s="167" t="str">
        <x:f>IF(AND(O$6&lt;=$H94,O$6+6&gt;=$G94),1,"")</x:f>
      </x:c>
      <x:c r="P94" s="167" t="str">
        <x:f>IF(AND(P$6&lt;=$H94,P$6+6&gt;=$G94),1,"")</x:f>
      </x:c>
      <x:c r="Q94" s="167" t="str">
        <x:f>IF(AND(Q$6&lt;=$H94,Q$6+6&gt;=$G94),1,"")</x:f>
      </x:c>
      <x:c r="R94" s="167" t="str">
        <x:f>IF(AND(R$6&lt;=$H94,R$6+6&gt;=$G94),1,"")</x:f>
      </x:c>
      <x:c r="S94" s="167" t="str">
        <x:f>IF(AND(S$6&lt;=$H94,S$6+6&gt;=$G94),1,"")</x:f>
      </x:c>
      <x:c r="T94" s="167" t="str">
        <x:f>IF(AND(T$6&lt;=$H94,T$6+6&gt;=$G94),1,"")</x:f>
      </x:c>
      <x:c r="U94" s="167" t="str">
        <x:f>IF(AND(U$6&lt;=$H94,U$6+6&gt;=$G94),1,"")</x:f>
      </x:c>
      <x:c r="V94" s="167" t="str">
        <x:f>IF(AND(V$6&lt;=$H94,V$6+6&gt;=$G94),1,"")</x:f>
      </x:c>
      <x:c r="W94" s="167" t="str">
        <x:f>IF(AND(W$6&lt;=$H94,W$6+6&gt;=$G94),1,"")</x:f>
      </x:c>
      <x:c r="X94" s="167" t="str">
        <x:f>IF(AND(X$6&lt;=$H94,X$6+6&gt;=$G94),1,"")</x:f>
      </x:c>
      <x:c r="Y94" s="167" t="str">
        <x:f>IF(AND(Y$6&lt;=$H94,Y$6+6&gt;=$G94),1,"")</x:f>
      </x:c>
      <x:c r="Z94" s="167" t="str">
        <x:f>IF(AND(Z$6&lt;=$H94,Z$6+6&gt;=$G94),1,"")</x:f>
      </x:c>
      <x:c r="AA94" s="167" t="str">
        <x:f>IF(AND(AA$6&lt;=$H94,AA$6+6&gt;=$G94),1,"")</x:f>
      </x:c>
      <x:c r="AB94" s="167" t="str">
        <x:f>IF(AND(AB$6&lt;=$H94,AB$6+6&gt;=$G94),1,"")</x:f>
      </x:c>
      <x:c r="AC94" s="167" t="str">
        <x:f>IF(AND(AC$6&lt;=$H94,AC$6+6&gt;=$G94),1,"")</x:f>
      </x:c>
      <x:c r="AD94" s="167" t="str">
        <x:f>IF(AND(AD$6&lt;=$H94,AD$6+6&gt;=$G94),1,"")</x:f>
      </x:c>
      <x:c r="AE94" s="167" t="str">
        <x:f>IF(AND(AE$6&lt;=$H94,AE$6+6&gt;=$G94),1,"")</x:f>
      </x:c>
      <x:c r="AF94" s="167" t="str">
        <x:f>IF(AND(AF$6&lt;=$H94,AF$6+6&gt;=$G94),1,"")</x:f>
      </x:c>
      <x:c r="AG94" s="167" t="str">
        <x:f>IF(AND(AG$6&lt;=$H94,AG$6+6&gt;=$G94),1,"")</x:f>
      </x:c>
      <x:c r="AH94" s="167" t="str">
        <x:f>IF(AND(AH$6&lt;=$H94,AH$6+6&gt;=$G94),1,"")</x:f>
      </x:c>
      <x:c r="AI94" s="167" t="str">
        <x:f>IF(AND(AI$6&lt;=$H94,AI$6+6&gt;=$G94),1,"")</x:f>
      </x:c>
      <x:c r="AJ94" s="167" t="str">
        <x:f>IF(AND(AJ$6&lt;=$H94,AJ$6+6&gt;=$G94),1,"")</x:f>
      </x:c>
      <x:c r="AK94" s="167" t="str">
        <x:f>IF(AND(AK$6&lt;=$H94,AK$6+6&gt;=$G94),1,"")</x:f>
      </x:c>
      <x:c r="AL94" s="167" t="str">
        <x:f>IF(AND(AL$6&lt;=$H94,AL$6+6&gt;=$G94),1,"")</x:f>
      </x:c>
      <x:c r="AM94" s="167" t="str">
        <x:f>IF(AND(AM$6&lt;=$H94,AM$6+6&gt;=$G94),1,"")</x:f>
      </x:c>
      <x:c r="AN94" s="167" t="str">
        <x:f>IF(AND(AN$6&lt;=$H94,AN$6+6&gt;=$G94),1,"")</x:f>
      </x:c>
      <x:c r="AO94" s="167" t="str">
        <x:f>IF(AND(AO$6&lt;=$H94,AO$6+6&gt;=$G94),1,"")</x:f>
      </x:c>
      <x:c r="AP94" s="167" t="str">
        <x:f>IF(AND(AP$6&lt;=$H94,AP$6+6&gt;=$G94),1,"")</x:f>
      </x:c>
      <x:c r="AQ94" s="167" t="str">
        <x:f>IF(AND(AQ$6&lt;=$H94,AQ$6+6&gt;=$G94),1,"")</x:f>
      </x:c>
      <x:c r="AR94" s="167" t="str">
        <x:f>IF(AND(AR$6&lt;=$H94,AR$6+6&gt;=$G94),1,"")</x:f>
      </x:c>
      <x:c r="AS94" s="167" t="str">
        <x:f>IF(AND(AS$6&lt;=$H94,AS$6+6&gt;=$G94),1,"")</x:f>
      </x:c>
      <x:c r="AT94" s="167" t="str">
        <x:f>IF(AND(AT$6&lt;=$H94,AT$6+6&gt;=$G94),1,"")</x:f>
      </x:c>
      <x:c r="AU94" s="167" t="str">
        <x:f>IF(AND(AU$6&lt;=$H94,AU$6+6&gt;=$G94),1,"")</x:f>
      </x:c>
      <x:c r="AV94" s="167" t="str">
        <x:f>IF(AND(AV$6&lt;=$H94,AV$6+6&gt;=$G94),1,"")</x:f>
      </x:c>
      <x:c r="AW94" s="167" t="str">
        <x:f>IF(AND(AW$6&lt;=$H94,AW$6+6&gt;=$G94),1,"")</x:f>
      </x:c>
      <x:c r="AX94" s="167" t="str">
        <x:f>IF(AND(AX$6&lt;=$H94,AX$6+6&gt;=$G94),1,"")</x:f>
      </x:c>
      <x:c r="AY94" s="167" t="str">
        <x:f>IF(AND(AY$6&lt;=$H94,AY$6+6&gt;=$G94),1,"")</x:f>
      </x:c>
      <x:c r="AZ94" s="167" t="str">
        <x:f>IF(AND(AZ$6&lt;=$H94,AZ$6+6&gt;=$G94),1,"")</x:f>
      </x:c>
      <x:c r="BA94" s="167" t="str">
        <x:f>IF(AND(BA$6&lt;=$H94,BA$6+6&gt;=$G94),1,"")</x:f>
      </x:c>
      <x:c r="BB94" s="167" t="str">
        <x:f>IF(AND(BB$6&lt;=$H94,BB$6+6&gt;=$G94),1,"")</x:f>
      </x:c>
      <x:c r="BC94" s="167" t="str">
        <x:f>IF(AND(BC$6&lt;=$H94,BC$6+6&gt;=$G94),1,"")</x:f>
      </x:c>
      <x:c r="BD94" s="167" t="str">
        <x:f>IF(AND(BD$6&lt;=$H94,BD$6+6&gt;=$G94),1,"")</x:f>
      </x:c>
      <x:c r="BE94" s="167" t="str">
        <x:f>IF(AND(BE$6&lt;=$H94,BE$6+6&gt;=$G94),1,"")</x:f>
      </x:c>
      <x:c r="BF94" s="167" t="str">
        <x:f>IF(AND(BF$6&lt;=$H94,BF$6+6&gt;=$G94),1,"")</x:f>
      </x:c>
      <x:c r="BG94" s="167" t="str">
        <x:f>IF(AND(BG$6&lt;=$H94,BG$6+6&gt;=$G94),1,"")</x:f>
      </x:c>
      <x:c r="BH94" s="167" t="str">
        <x:f>IF(AND(BH$6&lt;=$H94,BH$6+6&gt;=$G94),1,"")</x:f>
      </x:c>
      <x:c r="BI94" s="167" t="str">
        <x:f>IF(AND(BI$6&lt;=$H94,BI$6+6&gt;=$G94),1,"")</x:f>
      </x:c>
      <x:c r="BJ94" s="167" t="str">
        <x:f>IF(AND(BJ$6&lt;=$H94,BJ$6+6&gt;=$G94),1,"")</x:f>
      </x:c>
      <x:c r="BK94" s="167" t="str">
        <x:f>IF(AND(BK$6&lt;=$H94,BK$6+6&gt;=$G94),1,"")</x:f>
      </x:c>
      <x:c r="BL94" s="167" t="str">
        <x:f>IF(AND(BL$6&lt;=$H94,BL$6+6&gt;=$G94),1,"")</x:f>
      </x:c>
      <x:c r="BM94" s="167" t="str">
        <x:f>IF(AND(BM$6&lt;=$H94,BM$6+6&gt;=$G94),1,"")</x:f>
      </x:c>
      <x:c r="BN94" s="167" t="str">
        <x:f>IF(AND(BN$6&lt;=$H94,BN$6+6&gt;=$G94),1,"")</x:f>
      </x:c>
      <x:c r="BO94" s="168" t="str">
        <x:f>IF(AND(BO$6&lt;=$H94,BO$6+6&gt;=$G94),1,"")</x:f>
      </x:c>
    </x:row>
    <x:row r="95" ht="24" customHeight="1">
      <x:c r="A95" s="68" t="str">
        <x:f>'Task Register'!A93</x:f>
        <x:v>T-202</x:v>
      </x:c>
      <x:c r="B95" s="68" t="str">
        <x:f>'Task Register'!B93</x:f>
        <x:v>S1</x:v>
      </x:c>
      <x:c r="C95" s="68" t="str">
        <x:f>'Task Register'!C93</x:f>
        <x:v>Validation</x:v>
      </x:c>
      <x:c r="D95" s="68" t="str">
        <x:f>'Task Register'!D93</x:f>
        <x:v>Add XML constant tests</x:v>
      </x:c>
      <x:c r="E95" s="68" t="str">
        <x:f>'Task Register'!E93</x:f>
        <x:v>T-201</x:v>
      </x:c>
      <x:c r="F95" s="68" t="str">
        <x:f>'Task Register'!F93</x:f>
        <x:v>Done</x:v>
      </x:c>
      <x:c r="G95" s="94" t="n">
        <x:f>'Task Register'!I93</x:f>
        <x:v>46259</x:v>
      </x:c>
      <x:c r="H95" s="94" t="n">
        <x:f>'Task Register'!J93</x:f>
        <x:v>46259</x:v>
      </x:c>
      <x:c r="I95" s="166" t="str">
        <x:f>IF(AND(I$6&lt;=$H95,I$6+6&gt;=$G95),1,"")</x:f>
      </x:c>
      <x:c r="J95" s="167" t="str">
        <x:f>IF(AND(J$6&lt;=$H95,J$6+6&gt;=$G95),1,"")</x:f>
      </x:c>
      <x:c r="K95" s="167" t="str">
        <x:f>IF(AND(K$6&lt;=$H95,K$6+6&gt;=$G95),1,"")</x:f>
      </x:c>
      <x:c r="L95" s="167" t="n">
        <x:f>IF(AND(L$6&lt;=$H95,L$6+6&gt;=$G95),1,"")</x:f>
        <x:v>1</x:v>
      </x:c>
      <x:c r="M95" s="167" t="str">
        <x:f>IF(AND(M$6&lt;=$H95,M$6+6&gt;=$G95),1,"")</x:f>
      </x:c>
      <x:c r="N95" s="167" t="str">
        <x:f>IF(AND(N$6&lt;=$H95,N$6+6&gt;=$G95),1,"")</x:f>
      </x:c>
      <x:c r="O95" s="167" t="str">
        <x:f>IF(AND(O$6&lt;=$H95,O$6+6&gt;=$G95),1,"")</x:f>
      </x:c>
      <x:c r="P95" s="167" t="str">
        <x:f>IF(AND(P$6&lt;=$H95,P$6+6&gt;=$G95),1,"")</x:f>
      </x:c>
      <x:c r="Q95" s="167" t="str">
        <x:f>IF(AND(Q$6&lt;=$H95,Q$6+6&gt;=$G95),1,"")</x:f>
      </x:c>
      <x:c r="R95" s="167" t="str">
        <x:f>IF(AND(R$6&lt;=$H95,R$6+6&gt;=$G95),1,"")</x:f>
      </x:c>
      <x:c r="S95" s="167" t="str">
        <x:f>IF(AND(S$6&lt;=$H95,S$6+6&gt;=$G95),1,"")</x:f>
      </x:c>
      <x:c r="T95" s="167" t="str">
        <x:f>IF(AND(T$6&lt;=$H95,T$6+6&gt;=$G95),1,"")</x:f>
      </x:c>
      <x:c r="U95" s="167" t="str">
        <x:f>IF(AND(U$6&lt;=$H95,U$6+6&gt;=$G95),1,"")</x:f>
      </x:c>
      <x:c r="V95" s="167" t="str">
        <x:f>IF(AND(V$6&lt;=$H95,V$6+6&gt;=$G95),1,"")</x:f>
      </x:c>
      <x:c r="W95" s="167" t="str">
        <x:f>IF(AND(W$6&lt;=$H95,W$6+6&gt;=$G95),1,"")</x:f>
      </x:c>
      <x:c r="X95" s="167" t="str">
        <x:f>IF(AND(X$6&lt;=$H95,X$6+6&gt;=$G95),1,"")</x:f>
      </x:c>
      <x:c r="Y95" s="167" t="str">
        <x:f>IF(AND(Y$6&lt;=$H95,Y$6+6&gt;=$G95),1,"")</x:f>
      </x:c>
      <x:c r="Z95" s="167" t="str">
        <x:f>IF(AND(Z$6&lt;=$H95,Z$6+6&gt;=$G95),1,"")</x:f>
      </x:c>
      <x:c r="AA95" s="167" t="str">
        <x:f>IF(AND(AA$6&lt;=$H95,AA$6+6&gt;=$G95),1,"")</x:f>
      </x:c>
      <x:c r="AB95" s="167" t="str">
        <x:f>IF(AND(AB$6&lt;=$H95,AB$6+6&gt;=$G95),1,"")</x:f>
      </x:c>
      <x:c r="AC95" s="167" t="str">
        <x:f>IF(AND(AC$6&lt;=$H95,AC$6+6&gt;=$G95),1,"")</x:f>
      </x:c>
      <x:c r="AD95" s="167" t="str">
        <x:f>IF(AND(AD$6&lt;=$H95,AD$6+6&gt;=$G95),1,"")</x:f>
      </x:c>
      <x:c r="AE95" s="167" t="str">
        <x:f>IF(AND(AE$6&lt;=$H95,AE$6+6&gt;=$G95),1,"")</x:f>
      </x:c>
      <x:c r="AF95" s="167" t="str">
        <x:f>IF(AND(AF$6&lt;=$H95,AF$6+6&gt;=$G95),1,"")</x:f>
      </x:c>
      <x:c r="AG95" s="167" t="str">
        <x:f>IF(AND(AG$6&lt;=$H95,AG$6+6&gt;=$G95),1,"")</x:f>
      </x:c>
      <x:c r="AH95" s="167" t="str">
        <x:f>IF(AND(AH$6&lt;=$H95,AH$6+6&gt;=$G95),1,"")</x:f>
      </x:c>
      <x:c r="AI95" s="167" t="str">
        <x:f>IF(AND(AI$6&lt;=$H95,AI$6+6&gt;=$G95),1,"")</x:f>
      </x:c>
      <x:c r="AJ95" s="167" t="str">
        <x:f>IF(AND(AJ$6&lt;=$H95,AJ$6+6&gt;=$G95),1,"")</x:f>
      </x:c>
      <x:c r="AK95" s="167" t="str">
        <x:f>IF(AND(AK$6&lt;=$H95,AK$6+6&gt;=$G95),1,"")</x:f>
      </x:c>
      <x:c r="AL95" s="167" t="str">
        <x:f>IF(AND(AL$6&lt;=$H95,AL$6+6&gt;=$G95),1,"")</x:f>
      </x:c>
      <x:c r="AM95" s="167" t="str">
        <x:f>IF(AND(AM$6&lt;=$H95,AM$6+6&gt;=$G95),1,"")</x:f>
      </x:c>
      <x:c r="AN95" s="167" t="str">
        <x:f>IF(AND(AN$6&lt;=$H95,AN$6+6&gt;=$G95),1,"")</x:f>
      </x:c>
      <x:c r="AO95" s="167" t="str">
        <x:f>IF(AND(AO$6&lt;=$H95,AO$6+6&gt;=$G95),1,"")</x:f>
      </x:c>
      <x:c r="AP95" s="167" t="str">
        <x:f>IF(AND(AP$6&lt;=$H95,AP$6+6&gt;=$G95),1,"")</x:f>
      </x:c>
      <x:c r="AQ95" s="167" t="str">
        <x:f>IF(AND(AQ$6&lt;=$H95,AQ$6+6&gt;=$G95),1,"")</x:f>
      </x:c>
      <x:c r="AR95" s="167" t="str">
        <x:f>IF(AND(AR$6&lt;=$H95,AR$6+6&gt;=$G95),1,"")</x:f>
      </x:c>
      <x:c r="AS95" s="167" t="str">
        <x:f>IF(AND(AS$6&lt;=$H95,AS$6+6&gt;=$G95),1,"")</x:f>
      </x:c>
      <x:c r="AT95" s="167" t="str">
        <x:f>IF(AND(AT$6&lt;=$H95,AT$6+6&gt;=$G95),1,"")</x:f>
      </x:c>
      <x:c r="AU95" s="167" t="str">
        <x:f>IF(AND(AU$6&lt;=$H95,AU$6+6&gt;=$G95),1,"")</x:f>
      </x:c>
      <x:c r="AV95" s="167" t="str">
        <x:f>IF(AND(AV$6&lt;=$H95,AV$6+6&gt;=$G95),1,"")</x:f>
      </x:c>
      <x:c r="AW95" s="167" t="str">
        <x:f>IF(AND(AW$6&lt;=$H95,AW$6+6&gt;=$G95),1,"")</x:f>
      </x:c>
      <x:c r="AX95" s="167" t="str">
        <x:f>IF(AND(AX$6&lt;=$H95,AX$6+6&gt;=$G95),1,"")</x:f>
      </x:c>
      <x:c r="AY95" s="167" t="str">
        <x:f>IF(AND(AY$6&lt;=$H95,AY$6+6&gt;=$G95),1,"")</x:f>
      </x:c>
      <x:c r="AZ95" s="167" t="str">
        <x:f>IF(AND(AZ$6&lt;=$H95,AZ$6+6&gt;=$G95),1,"")</x:f>
      </x:c>
      <x:c r="BA95" s="167" t="str">
        <x:f>IF(AND(BA$6&lt;=$H95,BA$6+6&gt;=$G95),1,"")</x:f>
      </x:c>
      <x:c r="BB95" s="167" t="str">
        <x:f>IF(AND(BB$6&lt;=$H95,BB$6+6&gt;=$G95),1,"")</x:f>
      </x:c>
      <x:c r="BC95" s="167" t="str">
        <x:f>IF(AND(BC$6&lt;=$H95,BC$6+6&gt;=$G95),1,"")</x:f>
      </x:c>
      <x:c r="BD95" s="167" t="str">
        <x:f>IF(AND(BD$6&lt;=$H95,BD$6+6&gt;=$G95),1,"")</x:f>
      </x:c>
      <x:c r="BE95" s="167" t="str">
        <x:f>IF(AND(BE$6&lt;=$H95,BE$6+6&gt;=$G95),1,"")</x:f>
      </x:c>
      <x:c r="BF95" s="167" t="str">
        <x:f>IF(AND(BF$6&lt;=$H95,BF$6+6&gt;=$G95),1,"")</x:f>
      </x:c>
      <x:c r="BG95" s="167" t="str">
        <x:f>IF(AND(BG$6&lt;=$H95,BG$6+6&gt;=$G95),1,"")</x:f>
      </x:c>
      <x:c r="BH95" s="167" t="str">
        <x:f>IF(AND(BH$6&lt;=$H95,BH$6+6&gt;=$G95),1,"")</x:f>
      </x:c>
      <x:c r="BI95" s="167" t="str">
        <x:f>IF(AND(BI$6&lt;=$H95,BI$6+6&gt;=$G95),1,"")</x:f>
      </x:c>
      <x:c r="BJ95" s="167" t="str">
        <x:f>IF(AND(BJ$6&lt;=$H95,BJ$6+6&gt;=$G95),1,"")</x:f>
      </x:c>
      <x:c r="BK95" s="167" t="str">
        <x:f>IF(AND(BK$6&lt;=$H95,BK$6+6&gt;=$G95),1,"")</x:f>
      </x:c>
      <x:c r="BL95" s="167" t="str">
        <x:f>IF(AND(BL$6&lt;=$H95,BL$6+6&gt;=$G95),1,"")</x:f>
      </x:c>
      <x:c r="BM95" s="167" t="str">
        <x:f>IF(AND(BM$6&lt;=$H95,BM$6+6&gt;=$G95),1,"")</x:f>
      </x:c>
      <x:c r="BN95" s="167" t="str">
        <x:f>IF(AND(BN$6&lt;=$H95,BN$6+6&gt;=$G95),1,"")</x:f>
      </x:c>
      <x:c r="BO95" s="168" t="str">
        <x:f>IF(AND(BO$6&lt;=$H95,BO$6+6&gt;=$G95),1,"")</x:f>
      </x:c>
    </x:row>
    <x:row r="96" ht="24" customHeight="1">
      <x:c r="A96" s="68" t="str">
        <x:f>'Task Register'!A94</x:f>
        <x:v>T-203</x:v>
      </x:c>
      <x:c r="B96" s="68" t="str">
        <x:f>'Task Register'!B94</x:f>
        <x:v>S1</x:v>
      </x:c>
      <x:c r="C96" s="68" t="str">
        <x:f>'Task Register'!C94</x:f>
        <x:v>MuJoCo</x:v>
      </x:c>
      <x:c r="D96" s="68" t="str">
        <x:f>'Task Register'!D94</x:f>
        <x:v>Validate MuJoCo forward kinematics against native kinematics</x:v>
      </x:c>
      <x:c r="E96" s="68" t="str">
        <x:f>'Task Register'!E94</x:f>
        <x:v>T-201, T-202</x:v>
      </x:c>
      <x:c r="F96" s="68" t="str">
        <x:f>'Task Register'!F94</x:f>
        <x:v>Done</x:v>
      </x:c>
      <x:c r="G96" s="94" t="n">
        <x:f>'Task Register'!I94</x:f>
        <x:v>46260</x:v>
      </x:c>
      <x:c r="H96" s="94" t="n">
        <x:f>'Task Register'!J94</x:f>
        <x:v>46260</x:v>
      </x:c>
      <x:c r="I96" s="166" t="str">
        <x:f>IF(AND(I$6&lt;=$H96,I$6+6&gt;=$G96),1,"")</x:f>
      </x:c>
      <x:c r="J96" s="167" t="str">
        <x:f>IF(AND(J$6&lt;=$H96,J$6+6&gt;=$G96),1,"")</x:f>
      </x:c>
      <x:c r="K96" s="167" t="str">
        <x:f>IF(AND(K$6&lt;=$H96,K$6+6&gt;=$G96),1,"")</x:f>
      </x:c>
      <x:c r="L96" s="167" t="n">
        <x:f>IF(AND(L$6&lt;=$H96,L$6+6&gt;=$G96),1,"")</x:f>
        <x:v>1</x:v>
      </x:c>
      <x:c r="M96" s="167" t="str">
        <x:f>IF(AND(M$6&lt;=$H96,M$6+6&gt;=$G96),1,"")</x:f>
      </x:c>
      <x:c r="N96" s="167" t="str">
        <x:f>IF(AND(N$6&lt;=$H96,N$6+6&gt;=$G96),1,"")</x:f>
      </x:c>
      <x:c r="O96" s="167" t="str">
        <x:f>IF(AND(O$6&lt;=$H96,O$6+6&gt;=$G96),1,"")</x:f>
      </x:c>
      <x:c r="P96" s="167" t="str">
        <x:f>IF(AND(P$6&lt;=$H96,P$6+6&gt;=$G96),1,"")</x:f>
      </x:c>
      <x:c r="Q96" s="167" t="str">
        <x:f>IF(AND(Q$6&lt;=$H96,Q$6+6&gt;=$G96),1,"")</x:f>
      </x:c>
      <x:c r="R96" s="167" t="str">
        <x:f>IF(AND(R$6&lt;=$H96,R$6+6&gt;=$G96),1,"")</x:f>
      </x:c>
      <x:c r="S96" s="167" t="str">
        <x:f>IF(AND(S$6&lt;=$H96,S$6+6&gt;=$G96),1,"")</x:f>
      </x:c>
      <x:c r="T96" s="167" t="str">
        <x:f>IF(AND(T$6&lt;=$H96,T$6+6&gt;=$G96),1,"")</x:f>
      </x:c>
      <x:c r="U96" s="167" t="str">
        <x:f>IF(AND(U$6&lt;=$H96,U$6+6&gt;=$G96),1,"")</x:f>
      </x:c>
      <x:c r="V96" s="167" t="str">
        <x:f>IF(AND(V$6&lt;=$H96,V$6+6&gt;=$G96),1,"")</x:f>
      </x:c>
      <x:c r="W96" s="167" t="str">
        <x:f>IF(AND(W$6&lt;=$H96,W$6+6&gt;=$G96),1,"")</x:f>
      </x:c>
      <x:c r="X96" s="167" t="str">
        <x:f>IF(AND(X$6&lt;=$H96,X$6+6&gt;=$G96),1,"")</x:f>
      </x:c>
      <x:c r="Y96" s="167" t="str">
        <x:f>IF(AND(Y$6&lt;=$H96,Y$6+6&gt;=$G96),1,"")</x:f>
      </x:c>
      <x:c r="Z96" s="167" t="str">
        <x:f>IF(AND(Z$6&lt;=$H96,Z$6+6&gt;=$G96),1,"")</x:f>
      </x:c>
      <x:c r="AA96" s="167" t="str">
        <x:f>IF(AND(AA$6&lt;=$H96,AA$6+6&gt;=$G96),1,"")</x:f>
      </x:c>
      <x:c r="AB96" s="167" t="str">
        <x:f>IF(AND(AB$6&lt;=$H96,AB$6+6&gt;=$G96),1,"")</x:f>
      </x:c>
      <x:c r="AC96" s="167" t="str">
        <x:f>IF(AND(AC$6&lt;=$H96,AC$6+6&gt;=$G96),1,"")</x:f>
      </x:c>
      <x:c r="AD96" s="167" t="str">
        <x:f>IF(AND(AD$6&lt;=$H96,AD$6+6&gt;=$G96),1,"")</x:f>
      </x:c>
      <x:c r="AE96" s="167" t="str">
        <x:f>IF(AND(AE$6&lt;=$H96,AE$6+6&gt;=$G96),1,"")</x:f>
      </x:c>
      <x:c r="AF96" s="167" t="str">
        <x:f>IF(AND(AF$6&lt;=$H96,AF$6+6&gt;=$G96),1,"")</x:f>
      </x:c>
      <x:c r="AG96" s="167" t="str">
        <x:f>IF(AND(AG$6&lt;=$H96,AG$6+6&gt;=$G96),1,"")</x:f>
      </x:c>
      <x:c r="AH96" s="167" t="str">
        <x:f>IF(AND(AH$6&lt;=$H96,AH$6+6&gt;=$G96),1,"")</x:f>
      </x:c>
      <x:c r="AI96" s="167" t="str">
        <x:f>IF(AND(AI$6&lt;=$H96,AI$6+6&gt;=$G96),1,"")</x:f>
      </x:c>
      <x:c r="AJ96" s="167" t="str">
        <x:f>IF(AND(AJ$6&lt;=$H96,AJ$6+6&gt;=$G96),1,"")</x:f>
      </x:c>
      <x:c r="AK96" s="167" t="str">
        <x:f>IF(AND(AK$6&lt;=$H96,AK$6+6&gt;=$G96),1,"")</x:f>
      </x:c>
      <x:c r="AL96" s="167" t="str">
        <x:f>IF(AND(AL$6&lt;=$H96,AL$6+6&gt;=$G96),1,"")</x:f>
      </x:c>
      <x:c r="AM96" s="167" t="str">
        <x:f>IF(AND(AM$6&lt;=$H96,AM$6+6&gt;=$G96),1,"")</x:f>
      </x:c>
      <x:c r="AN96" s="167" t="str">
        <x:f>IF(AND(AN$6&lt;=$H96,AN$6+6&gt;=$G96),1,"")</x:f>
      </x:c>
      <x:c r="AO96" s="167" t="str">
        <x:f>IF(AND(AO$6&lt;=$H96,AO$6+6&gt;=$G96),1,"")</x:f>
      </x:c>
      <x:c r="AP96" s="167" t="str">
        <x:f>IF(AND(AP$6&lt;=$H96,AP$6+6&gt;=$G96),1,"")</x:f>
      </x:c>
      <x:c r="AQ96" s="167" t="str">
        <x:f>IF(AND(AQ$6&lt;=$H96,AQ$6+6&gt;=$G96),1,"")</x:f>
      </x:c>
      <x:c r="AR96" s="167" t="str">
        <x:f>IF(AND(AR$6&lt;=$H96,AR$6+6&gt;=$G96),1,"")</x:f>
      </x:c>
      <x:c r="AS96" s="167" t="str">
        <x:f>IF(AND(AS$6&lt;=$H96,AS$6+6&gt;=$G96),1,"")</x:f>
      </x:c>
      <x:c r="AT96" s="167" t="str">
        <x:f>IF(AND(AT$6&lt;=$H96,AT$6+6&gt;=$G96),1,"")</x:f>
      </x:c>
      <x:c r="AU96" s="167" t="str">
        <x:f>IF(AND(AU$6&lt;=$H96,AU$6+6&gt;=$G96),1,"")</x:f>
      </x:c>
      <x:c r="AV96" s="167" t="str">
        <x:f>IF(AND(AV$6&lt;=$H96,AV$6+6&gt;=$G96),1,"")</x:f>
      </x:c>
      <x:c r="AW96" s="167" t="str">
        <x:f>IF(AND(AW$6&lt;=$H96,AW$6+6&gt;=$G96),1,"")</x:f>
      </x:c>
      <x:c r="AX96" s="167" t="str">
        <x:f>IF(AND(AX$6&lt;=$H96,AX$6+6&gt;=$G96),1,"")</x:f>
      </x:c>
      <x:c r="AY96" s="167" t="str">
        <x:f>IF(AND(AY$6&lt;=$H96,AY$6+6&gt;=$G96),1,"")</x:f>
      </x:c>
      <x:c r="AZ96" s="167" t="str">
        <x:f>IF(AND(AZ$6&lt;=$H96,AZ$6+6&gt;=$G96),1,"")</x:f>
      </x:c>
      <x:c r="BA96" s="167" t="str">
        <x:f>IF(AND(BA$6&lt;=$H96,BA$6+6&gt;=$G96),1,"")</x:f>
      </x:c>
      <x:c r="BB96" s="167" t="str">
        <x:f>IF(AND(BB$6&lt;=$H96,BB$6+6&gt;=$G96),1,"")</x:f>
      </x:c>
      <x:c r="BC96" s="167" t="str">
        <x:f>IF(AND(BC$6&lt;=$H96,BC$6+6&gt;=$G96),1,"")</x:f>
      </x:c>
      <x:c r="BD96" s="167" t="str">
        <x:f>IF(AND(BD$6&lt;=$H96,BD$6+6&gt;=$G96),1,"")</x:f>
      </x:c>
      <x:c r="BE96" s="167" t="str">
        <x:f>IF(AND(BE$6&lt;=$H96,BE$6+6&gt;=$G96),1,"")</x:f>
      </x:c>
      <x:c r="BF96" s="167" t="str">
        <x:f>IF(AND(BF$6&lt;=$H96,BF$6+6&gt;=$G96),1,"")</x:f>
      </x:c>
      <x:c r="BG96" s="167" t="str">
        <x:f>IF(AND(BG$6&lt;=$H96,BG$6+6&gt;=$G96),1,"")</x:f>
      </x:c>
      <x:c r="BH96" s="167" t="str">
        <x:f>IF(AND(BH$6&lt;=$H96,BH$6+6&gt;=$G96),1,"")</x:f>
      </x:c>
      <x:c r="BI96" s="167" t="str">
        <x:f>IF(AND(BI$6&lt;=$H96,BI$6+6&gt;=$G96),1,"")</x:f>
      </x:c>
      <x:c r="BJ96" s="167" t="str">
        <x:f>IF(AND(BJ$6&lt;=$H96,BJ$6+6&gt;=$G96),1,"")</x:f>
      </x:c>
      <x:c r="BK96" s="167" t="str">
        <x:f>IF(AND(BK$6&lt;=$H96,BK$6+6&gt;=$G96),1,"")</x:f>
      </x:c>
      <x:c r="BL96" s="167" t="str">
        <x:f>IF(AND(BL$6&lt;=$H96,BL$6+6&gt;=$G96),1,"")</x:f>
      </x:c>
      <x:c r="BM96" s="167" t="str">
        <x:f>IF(AND(BM$6&lt;=$H96,BM$6+6&gt;=$G96),1,"")</x:f>
      </x:c>
      <x:c r="BN96" s="167" t="str">
        <x:f>IF(AND(BN$6&lt;=$H96,BN$6+6&gt;=$G96),1,"")</x:f>
      </x:c>
      <x:c r="BO96" s="168" t="str">
        <x:f>IF(AND(BO$6&lt;=$H96,BO$6+6&gt;=$G96),1,"")</x:f>
      </x:c>
    </x:row>
    <x:row r="97" ht="24" customHeight="1">
      <x:c r="A97" s="68" t="str">
        <x:f>'Task Register'!A95</x:f>
        <x:v>T-204</x:v>
      </x:c>
      <x:c r="B97" s="68" t="str">
        <x:f>'Task Register'!B95</x:f>
        <x:v>S1</x:v>
      </x:c>
      <x:c r="C97" s="68" t="str">
        <x:f>'Task Register'!C95</x:f>
        <x:v>MuJoCo</x:v>
      </x:c>
      <x:c r="D97" s="68" t="str">
        <x:f>'Task Register'!D95</x:f>
        <x:v>Keep physical housings visual-only</x:v>
      </x:c>
      <x:c r="E97" s="68" t="str">
        <x:f>'Task Register'!E95</x:f>
        <x:v>T-201</x:v>
      </x:c>
      <x:c r="F97" s="68" t="str">
        <x:f>'Task Register'!F95</x:f>
        <x:v>Done</x:v>
      </x:c>
      <x:c r="G97" s="94" t="n">
        <x:f>'Task Register'!I95</x:f>
        <x:v>46261</x:v>
      </x:c>
      <x:c r="H97" s="94" t="n">
        <x:f>'Task Register'!J95</x:f>
        <x:v>46261</x:v>
      </x:c>
      <x:c r="I97" s="166" t="str">
        <x:f>IF(AND(I$6&lt;=$H97,I$6+6&gt;=$G97),1,"")</x:f>
      </x:c>
      <x:c r="J97" s="167" t="str">
        <x:f>IF(AND(J$6&lt;=$H97,J$6+6&gt;=$G97),1,"")</x:f>
      </x:c>
      <x:c r="K97" s="167" t="str">
        <x:f>IF(AND(K$6&lt;=$H97,K$6+6&gt;=$G97),1,"")</x:f>
      </x:c>
      <x:c r="L97" s="167" t="n">
        <x:f>IF(AND(L$6&lt;=$H97,L$6+6&gt;=$G97),1,"")</x:f>
        <x:v>1</x:v>
      </x:c>
      <x:c r="M97" s="167" t="str">
        <x:f>IF(AND(M$6&lt;=$H97,M$6+6&gt;=$G97),1,"")</x:f>
      </x:c>
      <x:c r="N97" s="167" t="str">
        <x:f>IF(AND(N$6&lt;=$H97,N$6+6&gt;=$G97),1,"")</x:f>
      </x:c>
      <x:c r="O97" s="167" t="str">
        <x:f>IF(AND(O$6&lt;=$H97,O$6+6&gt;=$G97),1,"")</x:f>
      </x:c>
      <x:c r="P97" s="167" t="str">
        <x:f>IF(AND(P$6&lt;=$H97,P$6+6&gt;=$G97),1,"")</x:f>
      </x:c>
      <x:c r="Q97" s="167" t="str">
        <x:f>IF(AND(Q$6&lt;=$H97,Q$6+6&gt;=$G97),1,"")</x:f>
      </x:c>
      <x:c r="R97" s="167" t="str">
        <x:f>IF(AND(R$6&lt;=$H97,R$6+6&gt;=$G97),1,"")</x:f>
      </x:c>
      <x:c r="S97" s="167" t="str">
        <x:f>IF(AND(S$6&lt;=$H97,S$6+6&gt;=$G97),1,"")</x:f>
      </x:c>
      <x:c r="T97" s="167" t="str">
        <x:f>IF(AND(T$6&lt;=$H97,T$6+6&gt;=$G97),1,"")</x:f>
      </x:c>
      <x:c r="U97" s="167" t="str">
        <x:f>IF(AND(U$6&lt;=$H97,U$6+6&gt;=$G97),1,"")</x:f>
      </x:c>
      <x:c r="V97" s="167" t="str">
        <x:f>IF(AND(V$6&lt;=$H97,V$6+6&gt;=$G97),1,"")</x:f>
      </x:c>
      <x:c r="W97" s="167" t="str">
        <x:f>IF(AND(W$6&lt;=$H97,W$6+6&gt;=$G97),1,"")</x:f>
      </x:c>
      <x:c r="X97" s="167" t="str">
        <x:f>IF(AND(X$6&lt;=$H97,X$6+6&gt;=$G97),1,"")</x:f>
      </x:c>
      <x:c r="Y97" s="167" t="str">
        <x:f>IF(AND(Y$6&lt;=$H97,Y$6+6&gt;=$G97),1,"")</x:f>
      </x:c>
      <x:c r="Z97" s="167" t="str">
        <x:f>IF(AND(Z$6&lt;=$H97,Z$6+6&gt;=$G97),1,"")</x:f>
      </x:c>
      <x:c r="AA97" s="167" t="str">
        <x:f>IF(AND(AA$6&lt;=$H97,AA$6+6&gt;=$G97),1,"")</x:f>
      </x:c>
      <x:c r="AB97" s="167" t="str">
        <x:f>IF(AND(AB$6&lt;=$H97,AB$6+6&gt;=$G97),1,"")</x:f>
      </x:c>
      <x:c r="AC97" s="167" t="str">
        <x:f>IF(AND(AC$6&lt;=$H97,AC$6+6&gt;=$G97),1,"")</x:f>
      </x:c>
      <x:c r="AD97" s="167" t="str">
        <x:f>IF(AND(AD$6&lt;=$H97,AD$6+6&gt;=$G97),1,"")</x:f>
      </x:c>
      <x:c r="AE97" s="167" t="str">
        <x:f>IF(AND(AE$6&lt;=$H97,AE$6+6&gt;=$G97),1,"")</x:f>
      </x:c>
      <x:c r="AF97" s="167" t="str">
        <x:f>IF(AND(AF$6&lt;=$H97,AF$6+6&gt;=$G97),1,"")</x:f>
      </x:c>
      <x:c r="AG97" s="167" t="str">
        <x:f>IF(AND(AG$6&lt;=$H97,AG$6+6&gt;=$G97),1,"")</x:f>
      </x:c>
      <x:c r="AH97" s="167" t="str">
        <x:f>IF(AND(AH$6&lt;=$H97,AH$6+6&gt;=$G97),1,"")</x:f>
      </x:c>
      <x:c r="AI97" s="167" t="str">
        <x:f>IF(AND(AI$6&lt;=$H97,AI$6+6&gt;=$G97),1,"")</x:f>
      </x:c>
      <x:c r="AJ97" s="167" t="str">
        <x:f>IF(AND(AJ$6&lt;=$H97,AJ$6+6&gt;=$G97),1,"")</x:f>
      </x:c>
      <x:c r="AK97" s="167" t="str">
        <x:f>IF(AND(AK$6&lt;=$H97,AK$6+6&gt;=$G97),1,"")</x:f>
      </x:c>
      <x:c r="AL97" s="167" t="str">
        <x:f>IF(AND(AL$6&lt;=$H97,AL$6+6&gt;=$G97),1,"")</x:f>
      </x:c>
      <x:c r="AM97" s="167" t="str">
        <x:f>IF(AND(AM$6&lt;=$H97,AM$6+6&gt;=$G97),1,"")</x:f>
      </x:c>
      <x:c r="AN97" s="167" t="str">
        <x:f>IF(AND(AN$6&lt;=$H97,AN$6+6&gt;=$G97),1,"")</x:f>
      </x:c>
      <x:c r="AO97" s="167" t="str">
        <x:f>IF(AND(AO$6&lt;=$H97,AO$6+6&gt;=$G97),1,"")</x:f>
      </x:c>
      <x:c r="AP97" s="167" t="str">
        <x:f>IF(AND(AP$6&lt;=$H97,AP$6+6&gt;=$G97),1,"")</x:f>
      </x:c>
      <x:c r="AQ97" s="167" t="str">
        <x:f>IF(AND(AQ$6&lt;=$H97,AQ$6+6&gt;=$G97),1,"")</x:f>
      </x:c>
      <x:c r="AR97" s="167" t="str">
        <x:f>IF(AND(AR$6&lt;=$H97,AR$6+6&gt;=$G97),1,"")</x:f>
      </x:c>
      <x:c r="AS97" s="167" t="str">
        <x:f>IF(AND(AS$6&lt;=$H97,AS$6+6&gt;=$G97),1,"")</x:f>
      </x:c>
      <x:c r="AT97" s="167" t="str">
        <x:f>IF(AND(AT$6&lt;=$H97,AT$6+6&gt;=$G97),1,"")</x:f>
      </x:c>
      <x:c r="AU97" s="167" t="str">
        <x:f>IF(AND(AU$6&lt;=$H97,AU$6+6&gt;=$G97),1,"")</x:f>
      </x:c>
      <x:c r="AV97" s="167" t="str">
        <x:f>IF(AND(AV$6&lt;=$H97,AV$6+6&gt;=$G97),1,"")</x:f>
      </x:c>
      <x:c r="AW97" s="167" t="str">
        <x:f>IF(AND(AW$6&lt;=$H97,AW$6+6&gt;=$G97),1,"")</x:f>
      </x:c>
      <x:c r="AX97" s="167" t="str">
        <x:f>IF(AND(AX$6&lt;=$H97,AX$6+6&gt;=$G97),1,"")</x:f>
      </x:c>
      <x:c r="AY97" s="167" t="str">
        <x:f>IF(AND(AY$6&lt;=$H97,AY$6+6&gt;=$G97),1,"")</x:f>
      </x:c>
      <x:c r="AZ97" s="167" t="str">
        <x:f>IF(AND(AZ$6&lt;=$H97,AZ$6+6&gt;=$G97),1,"")</x:f>
      </x:c>
      <x:c r="BA97" s="167" t="str">
        <x:f>IF(AND(BA$6&lt;=$H97,BA$6+6&gt;=$G97),1,"")</x:f>
      </x:c>
      <x:c r="BB97" s="167" t="str">
        <x:f>IF(AND(BB$6&lt;=$H97,BB$6+6&gt;=$G97),1,"")</x:f>
      </x:c>
      <x:c r="BC97" s="167" t="str">
        <x:f>IF(AND(BC$6&lt;=$H97,BC$6+6&gt;=$G97),1,"")</x:f>
      </x:c>
      <x:c r="BD97" s="167" t="str">
        <x:f>IF(AND(BD$6&lt;=$H97,BD$6+6&gt;=$G97),1,"")</x:f>
      </x:c>
      <x:c r="BE97" s="167" t="str">
        <x:f>IF(AND(BE$6&lt;=$H97,BE$6+6&gt;=$G97),1,"")</x:f>
      </x:c>
      <x:c r="BF97" s="167" t="str">
        <x:f>IF(AND(BF$6&lt;=$H97,BF$6+6&gt;=$G97),1,"")</x:f>
      </x:c>
      <x:c r="BG97" s="167" t="str">
        <x:f>IF(AND(BG$6&lt;=$H97,BG$6+6&gt;=$G97),1,"")</x:f>
      </x:c>
      <x:c r="BH97" s="167" t="str">
        <x:f>IF(AND(BH$6&lt;=$H97,BH$6+6&gt;=$G97),1,"")</x:f>
      </x:c>
      <x:c r="BI97" s="167" t="str">
        <x:f>IF(AND(BI$6&lt;=$H97,BI$6+6&gt;=$G97),1,"")</x:f>
      </x:c>
      <x:c r="BJ97" s="167" t="str">
        <x:f>IF(AND(BJ$6&lt;=$H97,BJ$6+6&gt;=$G97),1,"")</x:f>
      </x:c>
      <x:c r="BK97" s="167" t="str">
        <x:f>IF(AND(BK$6&lt;=$H97,BK$6+6&gt;=$G97),1,"")</x:f>
      </x:c>
      <x:c r="BL97" s="167" t="str">
        <x:f>IF(AND(BL$6&lt;=$H97,BL$6+6&gt;=$G97),1,"")</x:f>
      </x:c>
      <x:c r="BM97" s="167" t="str">
        <x:f>IF(AND(BM$6&lt;=$H97,BM$6+6&gt;=$G97),1,"")</x:f>
      </x:c>
      <x:c r="BN97" s="167" t="str">
        <x:f>IF(AND(BN$6&lt;=$H97,BN$6+6&gt;=$G97),1,"")</x:f>
      </x:c>
      <x:c r="BO97" s="168" t="str">
        <x:f>IF(AND(BO$6&lt;=$H97,BO$6+6&gt;=$G97),1,"")</x:f>
      </x:c>
    </x:row>
    <x:row r="98" ht="24" customHeight="1">
      <x:c r="A98" s="68" t="str">
        <x:f>'Task Register'!A96</x:f>
        <x:v>T-205</x:v>
      </x:c>
      <x:c r="B98" s="68" t="str">
        <x:f>'Task Register'!B96</x:f>
        <x:v>S1</x:v>
      </x:c>
      <x:c r="C98" s="68" t="str">
        <x:f>'Task Register'!C96</x:f>
        <x:v>Documentation</x:v>
      </x:c>
      <x:c r="D98" s="68" t="str">
        <x:f>'Task Register'!D96</x:f>
        <x:v>Document exact versus approximate model fields</x:v>
      </x:c>
      <x:c r="E98" s="68" t="str">
        <x:f>'Task Register'!E96</x:f>
        <x:v>T-201</x:v>
      </x:c>
      <x:c r="F98" s="68" t="str">
        <x:f>'Task Register'!F96</x:f>
        <x:v>Done</x:v>
      </x:c>
      <x:c r="G98" s="94" t="n">
        <x:f>'Task Register'!I96</x:f>
        <x:v>46262</x:v>
      </x:c>
      <x:c r="H98" s="94" t="n">
        <x:f>'Task Register'!J96</x:f>
        <x:v>46262</x:v>
      </x:c>
      <x:c r="I98" s="166" t="str">
        <x:f>IF(AND(I$6&lt;=$H98,I$6+6&gt;=$G98),1,"")</x:f>
      </x:c>
      <x:c r="J98" s="167" t="str">
        <x:f>IF(AND(J$6&lt;=$H98,J$6+6&gt;=$G98),1,"")</x:f>
      </x:c>
      <x:c r="K98" s="167" t="str">
        <x:f>IF(AND(K$6&lt;=$H98,K$6+6&gt;=$G98),1,"")</x:f>
      </x:c>
      <x:c r="L98" s="167" t="n">
        <x:f>IF(AND(L$6&lt;=$H98,L$6+6&gt;=$G98),1,"")</x:f>
        <x:v>1</x:v>
      </x:c>
      <x:c r="M98" s="167" t="str">
        <x:f>IF(AND(M$6&lt;=$H98,M$6+6&gt;=$G98),1,"")</x:f>
      </x:c>
      <x:c r="N98" s="167" t="str">
        <x:f>IF(AND(N$6&lt;=$H98,N$6+6&gt;=$G98),1,"")</x:f>
      </x:c>
      <x:c r="O98" s="167" t="str">
        <x:f>IF(AND(O$6&lt;=$H98,O$6+6&gt;=$G98),1,"")</x:f>
      </x:c>
      <x:c r="P98" s="167" t="str">
        <x:f>IF(AND(P$6&lt;=$H98,P$6+6&gt;=$G98),1,"")</x:f>
      </x:c>
      <x:c r="Q98" s="167" t="str">
        <x:f>IF(AND(Q$6&lt;=$H98,Q$6+6&gt;=$G98),1,"")</x:f>
      </x:c>
      <x:c r="R98" s="167" t="str">
        <x:f>IF(AND(R$6&lt;=$H98,R$6+6&gt;=$G98),1,"")</x:f>
      </x:c>
      <x:c r="S98" s="167" t="str">
        <x:f>IF(AND(S$6&lt;=$H98,S$6+6&gt;=$G98),1,"")</x:f>
      </x:c>
      <x:c r="T98" s="167" t="str">
        <x:f>IF(AND(T$6&lt;=$H98,T$6+6&gt;=$G98),1,"")</x:f>
      </x:c>
      <x:c r="U98" s="167" t="str">
        <x:f>IF(AND(U$6&lt;=$H98,U$6+6&gt;=$G98),1,"")</x:f>
      </x:c>
      <x:c r="V98" s="167" t="str">
        <x:f>IF(AND(V$6&lt;=$H98,V$6+6&gt;=$G98),1,"")</x:f>
      </x:c>
      <x:c r="W98" s="167" t="str">
        <x:f>IF(AND(W$6&lt;=$H98,W$6+6&gt;=$G98),1,"")</x:f>
      </x:c>
      <x:c r="X98" s="167" t="str">
        <x:f>IF(AND(X$6&lt;=$H98,X$6+6&gt;=$G98),1,"")</x:f>
      </x:c>
      <x:c r="Y98" s="167" t="str">
        <x:f>IF(AND(Y$6&lt;=$H98,Y$6+6&gt;=$G98),1,"")</x:f>
      </x:c>
      <x:c r="Z98" s="167" t="str">
        <x:f>IF(AND(Z$6&lt;=$H98,Z$6+6&gt;=$G98),1,"")</x:f>
      </x:c>
      <x:c r="AA98" s="167" t="str">
        <x:f>IF(AND(AA$6&lt;=$H98,AA$6+6&gt;=$G98),1,"")</x:f>
      </x:c>
      <x:c r="AB98" s="167" t="str">
        <x:f>IF(AND(AB$6&lt;=$H98,AB$6+6&gt;=$G98),1,"")</x:f>
      </x:c>
      <x:c r="AC98" s="167" t="str">
        <x:f>IF(AND(AC$6&lt;=$H98,AC$6+6&gt;=$G98),1,"")</x:f>
      </x:c>
      <x:c r="AD98" s="167" t="str">
        <x:f>IF(AND(AD$6&lt;=$H98,AD$6+6&gt;=$G98),1,"")</x:f>
      </x:c>
      <x:c r="AE98" s="167" t="str">
        <x:f>IF(AND(AE$6&lt;=$H98,AE$6+6&gt;=$G98),1,"")</x:f>
      </x:c>
      <x:c r="AF98" s="167" t="str">
        <x:f>IF(AND(AF$6&lt;=$H98,AF$6+6&gt;=$G98),1,"")</x:f>
      </x:c>
      <x:c r="AG98" s="167" t="str">
        <x:f>IF(AND(AG$6&lt;=$H98,AG$6+6&gt;=$G98),1,"")</x:f>
      </x:c>
      <x:c r="AH98" s="167" t="str">
        <x:f>IF(AND(AH$6&lt;=$H98,AH$6+6&gt;=$G98),1,"")</x:f>
      </x:c>
      <x:c r="AI98" s="167" t="str">
        <x:f>IF(AND(AI$6&lt;=$H98,AI$6+6&gt;=$G98),1,"")</x:f>
      </x:c>
      <x:c r="AJ98" s="167" t="str">
        <x:f>IF(AND(AJ$6&lt;=$H98,AJ$6+6&gt;=$G98),1,"")</x:f>
      </x:c>
      <x:c r="AK98" s="167" t="str">
        <x:f>IF(AND(AK$6&lt;=$H98,AK$6+6&gt;=$G98),1,"")</x:f>
      </x:c>
      <x:c r="AL98" s="167" t="str">
        <x:f>IF(AND(AL$6&lt;=$H98,AL$6+6&gt;=$G98),1,"")</x:f>
      </x:c>
      <x:c r="AM98" s="167" t="str">
        <x:f>IF(AND(AM$6&lt;=$H98,AM$6+6&gt;=$G98),1,"")</x:f>
      </x:c>
      <x:c r="AN98" s="167" t="str">
        <x:f>IF(AND(AN$6&lt;=$H98,AN$6+6&gt;=$G98),1,"")</x:f>
      </x:c>
      <x:c r="AO98" s="167" t="str">
        <x:f>IF(AND(AO$6&lt;=$H98,AO$6+6&gt;=$G98),1,"")</x:f>
      </x:c>
      <x:c r="AP98" s="167" t="str">
        <x:f>IF(AND(AP$6&lt;=$H98,AP$6+6&gt;=$G98),1,"")</x:f>
      </x:c>
      <x:c r="AQ98" s="167" t="str">
        <x:f>IF(AND(AQ$6&lt;=$H98,AQ$6+6&gt;=$G98),1,"")</x:f>
      </x:c>
      <x:c r="AR98" s="167" t="str">
        <x:f>IF(AND(AR$6&lt;=$H98,AR$6+6&gt;=$G98),1,"")</x:f>
      </x:c>
      <x:c r="AS98" s="167" t="str">
        <x:f>IF(AND(AS$6&lt;=$H98,AS$6+6&gt;=$G98),1,"")</x:f>
      </x:c>
      <x:c r="AT98" s="167" t="str">
        <x:f>IF(AND(AT$6&lt;=$H98,AT$6+6&gt;=$G98),1,"")</x:f>
      </x:c>
      <x:c r="AU98" s="167" t="str">
        <x:f>IF(AND(AU$6&lt;=$H98,AU$6+6&gt;=$G98),1,"")</x:f>
      </x:c>
      <x:c r="AV98" s="167" t="str">
        <x:f>IF(AND(AV$6&lt;=$H98,AV$6+6&gt;=$G98),1,"")</x:f>
      </x:c>
      <x:c r="AW98" s="167" t="str">
        <x:f>IF(AND(AW$6&lt;=$H98,AW$6+6&gt;=$G98),1,"")</x:f>
      </x:c>
      <x:c r="AX98" s="167" t="str">
        <x:f>IF(AND(AX$6&lt;=$H98,AX$6+6&gt;=$G98),1,"")</x:f>
      </x:c>
      <x:c r="AY98" s="167" t="str">
        <x:f>IF(AND(AY$6&lt;=$H98,AY$6+6&gt;=$G98),1,"")</x:f>
      </x:c>
      <x:c r="AZ98" s="167" t="str">
        <x:f>IF(AND(AZ$6&lt;=$H98,AZ$6+6&gt;=$G98),1,"")</x:f>
      </x:c>
      <x:c r="BA98" s="167" t="str">
        <x:f>IF(AND(BA$6&lt;=$H98,BA$6+6&gt;=$G98),1,"")</x:f>
      </x:c>
      <x:c r="BB98" s="167" t="str">
        <x:f>IF(AND(BB$6&lt;=$H98,BB$6+6&gt;=$G98),1,"")</x:f>
      </x:c>
      <x:c r="BC98" s="167" t="str">
        <x:f>IF(AND(BC$6&lt;=$H98,BC$6+6&gt;=$G98),1,"")</x:f>
      </x:c>
      <x:c r="BD98" s="167" t="str">
        <x:f>IF(AND(BD$6&lt;=$H98,BD$6+6&gt;=$G98),1,"")</x:f>
      </x:c>
      <x:c r="BE98" s="167" t="str">
        <x:f>IF(AND(BE$6&lt;=$H98,BE$6+6&gt;=$G98),1,"")</x:f>
      </x:c>
      <x:c r="BF98" s="167" t="str">
        <x:f>IF(AND(BF$6&lt;=$H98,BF$6+6&gt;=$G98),1,"")</x:f>
      </x:c>
      <x:c r="BG98" s="167" t="str">
        <x:f>IF(AND(BG$6&lt;=$H98,BG$6+6&gt;=$G98),1,"")</x:f>
      </x:c>
      <x:c r="BH98" s="167" t="str">
        <x:f>IF(AND(BH$6&lt;=$H98,BH$6+6&gt;=$G98),1,"")</x:f>
      </x:c>
      <x:c r="BI98" s="167" t="str">
        <x:f>IF(AND(BI$6&lt;=$H98,BI$6+6&gt;=$G98),1,"")</x:f>
      </x:c>
      <x:c r="BJ98" s="167" t="str">
        <x:f>IF(AND(BJ$6&lt;=$H98,BJ$6+6&gt;=$G98),1,"")</x:f>
      </x:c>
      <x:c r="BK98" s="167" t="str">
        <x:f>IF(AND(BK$6&lt;=$H98,BK$6+6&gt;=$G98),1,"")</x:f>
      </x:c>
      <x:c r="BL98" s="167" t="str">
        <x:f>IF(AND(BL$6&lt;=$H98,BL$6+6&gt;=$G98),1,"")</x:f>
      </x:c>
      <x:c r="BM98" s="167" t="str">
        <x:f>IF(AND(BM$6&lt;=$H98,BM$6+6&gt;=$G98),1,"")</x:f>
      </x:c>
      <x:c r="BN98" s="167" t="str">
        <x:f>IF(AND(BN$6&lt;=$H98,BN$6+6&gt;=$G98),1,"")</x:f>
      </x:c>
      <x:c r="BO98" s="168" t="str">
        <x:f>IF(AND(BO$6&lt;=$H98,BO$6+6&gt;=$G98),1,"")</x:f>
      </x:c>
    </x:row>
    <x:row r="99" ht="24" customHeight="1">
      <x:c r="A99" s="68" t="str">
        <x:f>'Task Register'!A97</x:f>
        <x:v>T-206</x:v>
      </x:c>
      <x:c r="B99" s="68" t="str">
        <x:f>'Task Register'!B97</x:f>
        <x:v>S1</x:v>
      </x:c>
      <x:c r="C99" s="68" t="str">
        <x:f>'Task Register'!C97</x:f>
        <x:v>Validation</x:v>
      </x:c>
      <x:c r="D99" s="68" t="str">
        <x:f>'Task Register'!D97</x:f>
        <x:v>Add MuJoCo load/compile smoke test</x:v>
      </x:c>
      <x:c r="E99" s="68" t="str">
        <x:f>'Task Register'!E97</x:f>
        <x:v>T-201</x:v>
      </x:c>
      <x:c r="F99" s="68" t="str">
        <x:f>'Task Register'!F97</x:f>
        <x:v>Done</x:v>
      </x:c>
      <x:c r="G99" s="94" t="n">
        <x:f>'Task Register'!I97</x:f>
        <x:v>46265</x:v>
      </x:c>
      <x:c r="H99" s="94" t="n">
        <x:f>'Task Register'!J97</x:f>
        <x:v>46265</x:v>
      </x:c>
      <x:c r="I99" s="166" t="str">
        <x:f>IF(AND(I$6&lt;=$H99,I$6+6&gt;=$G99),1,"")</x:f>
      </x:c>
      <x:c r="J99" s="167" t="str">
        <x:f>IF(AND(J$6&lt;=$H99,J$6+6&gt;=$G99),1,"")</x:f>
      </x:c>
      <x:c r="K99" s="167" t="str">
        <x:f>IF(AND(K$6&lt;=$H99,K$6+6&gt;=$G99),1,"")</x:f>
      </x:c>
      <x:c r="L99" s="167" t="str">
        <x:f>IF(AND(L$6&lt;=$H99,L$6+6&gt;=$G99),1,"")</x:f>
      </x:c>
      <x:c r="M99" s="167" t="n">
        <x:f>IF(AND(M$6&lt;=$H99,M$6+6&gt;=$G99),1,"")</x:f>
        <x:v>1</x:v>
      </x:c>
      <x:c r="N99" s="167" t="str">
        <x:f>IF(AND(N$6&lt;=$H99,N$6+6&gt;=$G99),1,"")</x:f>
      </x:c>
      <x:c r="O99" s="167" t="str">
        <x:f>IF(AND(O$6&lt;=$H99,O$6+6&gt;=$G99),1,"")</x:f>
      </x:c>
      <x:c r="P99" s="167" t="str">
        <x:f>IF(AND(P$6&lt;=$H99,P$6+6&gt;=$G99),1,"")</x:f>
      </x:c>
      <x:c r="Q99" s="167" t="str">
        <x:f>IF(AND(Q$6&lt;=$H99,Q$6+6&gt;=$G99),1,"")</x:f>
      </x:c>
      <x:c r="R99" s="167" t="str">
        <x:f>IF(AND(R$6&lt;=$H99,R$6+6&gt;=$G99),1,"")</x:f>
      </x:c>
      <x:c r="S99" s="167" t="str">
        <x:f>IF(AND(S$6&lt;=$H99,S$6+6&gt;=$G99),1,"")</x:f>
      </x:c>
      <x:c r="T99" s="167" t="str">
        <x:f>IF(AND(T$6&lt;=$H99,T$6+6&gt;=$G99),1,"")</x:f>
      </x:c>
      <x:c r="U99" s="167" t="str">
        <x:f>IF(AND(U$6&lt;=$H99,U$6+6&gt;=$G99),1,"")</x:f>
      </x:c>
      <x:c r="V99" s="167" t="str">
        <x:f>IF(AND(V$6&lt;=$H99,V$6+6&gt;=$G99),1,"")</x:f>
      </x:c>
      <x:c r="W99" s="167" t="str">
        <x:f>IF(AND(W$6&lt;=$H99,W$6+6&gt;=$G99),1,"")</x:f>
      </x:c>
      <x:c r="X99" s="167" t="str">
        <x:f>IF(AND(X$6&lt;=$H99,X$6+6&gt;=$G99),1,"")</x:f>
      </x:c>
      <x:c r="Y99" s="167" t="str">
        <x:f>IF(AND(Y$6&lt;=$H99,Y$6+6&gt;=$G99),1,"")</x:f>
      </x:c>
      <x:c r="Z99" s="167" t="str">
        <x:f>IF(AND(Z$6&lt;=$H99,Z$6+6&gt;=$G99),1,"")</x:f>
      </x:c>
      <x:c r="AA99" s="167" t="str">
        <x:f>IF(AND(AA$6&lt;=$H99,AA$6+6&gt;=$G99),1,"")</x:f>
      </x:c>
      <x:c r="AB99" s="167" t="str">
        <x:f>IF(AND(AB$6&lt;=$H99,AB$6+6&gt;=$G99),1,"")</x:f>
      </x:c>
      <x:c r="AC99" s="167" t="str">
        <x:f>IF(AND(AC$6&lt;=$H99,AC$6+6&gt;=$G99),1,"")</x:f>
      </x:c>
      <x:c r="AD99" s="167" t="str">
        <x:f>IF(AND(AD$6&lt;=$H99,AD$6+6&gt;=$G99),1,"")</x:f>
      </x:c>
      <x:c r="AE99" s="167" t="str">
        <x:f>IF(AND(AE$6&lt;=$H99,AE$6+6&gt;=$G99),1,"")</x:f>
      </x:c>
      <x:c r="AF99" s="167" t="str">
        <x:f>IF(AND(AF$6&lt;=$H99,AF$6+6&gt;=$G99),1,"")</x:f>
      </x:c>
      <x:c r="AG99" s="167" t="str">
        <x:f>IF(AND(AG$6&lt;=$H99,AG$6+6&gt;=$G99),1,"")</x:f>
      </x:c>
      <x:c r="AH99" s="167" t="str">
        <x:f>IF(AND(AH$6&lt;=$H99,AH$6+6&gt;=$G99),1,"")</x:f>
      </x:c>
      <x:c r="AI99" s="167" t="str">
        <x:f>IF(AND(AI$6&lt;=$H99,AI$6+6&gt;=$G99),1,"")</x:f>
      </x:c>
      <x:c r="AJ99" s="167" t="str">
        <x:f>IF(AND(AJ$6&lt;=$H99,AJ$6+6&gt;=$G99),1,"")</x:f>
      </x:c>
      <x:c r="AK99" s="167" t="str">
        <x:f>IF(AND(AK$6&lt;=$H99,AK$6+6&gt;=$G99),1,"")</x:f>
      </x:c>
      <x:c r="AL99" s="167" t="str">
        <x:f>IF(AND(AL$6&lt;=$H99,AL$6+6&gt;=$G99),1,"")</x:f>
      </x:c>
      <x:c r="AM99" s="167" t="str">
        <x:f>IF(AND(AM$6&lt;=$H99,AM$6+6&gt;=$G99),1,"")</x:f>
      </x:c>
      <x:c r="AN99" s="167" t="str">
        <x:f>IF(AND(AN$6&lt;=$H99,AN$6+6&gt;=$G99),1,"")</x:f>
      </x:c>
      <x:c r="AO99" s="167" t="str">
        <x:f>IF(AND(AO$6&lt;=$H99,AO$6+6&gt;=$G99),1,"")</x:f>
      </x:c>
      <x:c r="AP99" s="167" t="str">
        <x:f>IF(AND(AP$6&lt;=$H99,AP$6+6&gt;=$G99),1,"")</x:f>
      </x:c>
      <x:c r="AQ99" s="167" t="str">
        <x:f>IF(AND(AQ$6&lt;=$H99,AQ$6+6&gt;=$G99),1,"")</x:f>
      </x:c>
      <x:c r="AR99" s="167" t="str">
        <x:f>IF(AND(AR$6&lt;=$H99,AR$6+6&gt;=$G99),1,"")</x:f>
      </x:c>
      <x:c r="AS99" s="167" t="str">
        <x:f>IF(AND(AS$6&lt;=$H99,AS$6+6&gt;=$G99),1,"")</x:f>
      </x:c>
      <x:c r="AT99" s="167" t="str">
        <x:f>IF(AND(AT$6&lt;=$H99,AT$6+6&gt;=$G99),1,"")</x:f>
      </x:c>
      <x:c r="AU99" s="167" t="str">
        <x:f>IF(AND(AU$6&lt;=$H99,AU$6+6&gt;=$G99),1,"")</x:f>
      </x:c>
      <x:c r="AV99" s="167" t="str">
        <x:f>IF(AND(AV$6&lt;=$H99,AV$6+6&gt;=$G99),1,"")</x:f>
      </x:c>
      <x:c r="AW99" s="167" t="str">
        <x:f>IF(AND(AW$6&lt;=$H99,AW$6+6&gt;=$G99),1,"")</x:f>
      </x:c>
      <x:c r="AX99" s="167" t="str">
        <x:f>IF(AND(AX$6&lt;=$H99,AX$6+6&gt;=$G99),1,"")</x:f>
      </x:c>
      <x:c r="AY99" s="167" t="str">
        <x:f>IF(AND(AY$6&lt;=$H99,AY$6+6&gt;=$G99),1,"")</x:f>
      </x:c>
      <x:c r="AZ99" s="167" t="str">
        <x:f>IF(AND(AZ$6&lt;=$H99,AZ$6+6&gt;=$G99),1,"")</x:f>
      </x:c>
      <x:c r="BA99" s="167" t="str">
        <x:f>IF(AND(BA$6&lt;=$H99,BA$6+6&gt;=$G99),1,"")</x:f>
      </x:c>
      <x:c r="BB99" s="167" t="str">
        <x:f>IF(AND(BB$6&lt;=$H99,BB$6+6&gt;=$G99),1,"")</x:f>
      </x:c>
      <x:c r="BC99" s="167" t="str">
        <x:f>IF(AND(BC$6&lt;=$H99,BC$6+6&gt;=$G99),1,"")</x:f>
      </x:c>
      <x:c r="BD99" s="167" t="str">
        <x:f>IF(AND(BD$6&lt;=$H99,BD$6+6&gt;=$G99),1,"")</x:f>
      </x:c>
      <x:c r="BE99" s="167" t="str">
        <x:f>IF(AND(BE$6&lt;=$H99,BE$6+6&gt;=$G99),1,"")</x:f>
      </x:c>
      <x:c r="BF99" s="167" t="str">
        <x:f>IF(AND(BF$6&lt;=$H99,BF$6+6&gt;=$G99),1,"")</x:f>
      </x:c>
      <x:c r="BG99" s="167" t="str">
        <x:f>IF(AND(BG$6&lt;=$H99,BG$6+6&gt;=$G99),1,"")</x:f>
      </x:c>
      <x:c r="BH99" s="167" t="str">
        <x:f>IF(AND(BH$6&lt;=$H99,BH$6+6&gt;=$G99),1,"")</x:f>
      </x:c>
      <x:c r="BI99" s="167" t="str">
        <x:f>IF(AND(BI$6&lt;=$H99,BI$6+6&gt;=$G99),1,"")</x:f>
      </x:c>
      <x:c r="BJ99" s="167" t="str">
        <x:f>IF(AND(BJ$6&lt;=$H99,BJ$6+6&gt;=$G99),1,"")</x:f>
      </x:c>
      <x:c r="BK99" s="167" t="str">
        <x:f>IF(AND(BK$6&lt;=$H99,BK$6+6&gt;=$G99),1,"")</x:f>
      </x:c>
      <x:c r="BL99" s="167" t="str">
        <x:f>IF(AND(BL$6&lt;=$H99,BL$6+6&gt;=$G99),1,"")</x:f>
      </x:c>
      <x:c r="BM99" s="167" t="str">
        <x:f>IF(AND(BM$6&lt;=$H99,BM$6+6&gt;=$G99),1,"")</x:f>
      </x:c>
      <x:c r="BN99" s="167" t="str">
        <x:f>IF(AND(BN$6&lt;=$H99,BN$6+6&gt;=$G99),1,"")</x:f>
      </x:c>
      <x:c r="BO99" s="168" t="str">
        <x:f>IF(AND(BO$6&lt;=$H99,BO$6+6&gt;=$G99),1,"")</x:f>
      </x:c>
    </x:row>
    <x:row r="100" ht="24" customHeight="1">
      <x:c r="A100" s="68" t="str">
        <x:f>'Task Register'!A98</x:f>
        <x:v>T-207</x:v>
      </x:c>
      <x:c r="B100" s="68" t="str">
        <x:f>'Task Register'!B98</x:f>
        <x:v>S1</x:v>
      </x:c>
      <x:c r="C100" s="68" t="str">
        <x:f>'Task Register'!C98</x:f>
        <x:v>Operations</x:v>
      </x:c>
      <x:c r="D100" s="68" t="str">
        <x:f>'Task Register'!D98</x:f>
        <x:v>Define model version label</x:v>
      </x:c>
      <x:c r="E100" s="68" t="str">
        <x:f>'Task Register'!E98</x:f>
        <x:v>T-002, T-201</x:v>
      </x:c>
      <x:c r="F100" s="68" t="str">
        <x:f>'Task Register'!F98</x:f>
        <x:v>Done</x:v>
      </x:c>
      <x:c r="G100" s="94" t="n">
        <x:f>'Task Register'!I98</x:f>
        <x:v>46266</x:v>
      </x:c>
      <x:c r="H100" s="94" t="n">
        <x:f>'Task Register'!J98</x:f>
        <x:v>46266</x:v>
      </x:c>
      <x:c r="I100" s="166" t="str">
        <x:f>IF(AND(I$6&lt;=$H100,I$6+6&gt;=$G100),1,"")</x:f>
      </x:c>
      <x:c r="J100" s="167" t="str">
        <x:f>IF(AND(J$6&lt;=$H100,J$6+6&gt;=$G100),1,"")</x:f>
      </x:c>
      <x:c r="K100" s="167" t="str">
        <x:f>IF(AND(K$6&lt;=$H100,K$6+6&gt;=$G100),1,"")</x:f>
      </x:c>
      <x:c r="L100" s="167" t="str">
        <x:f>IF(AND(L$6&lt;=$H100,L$6+6&gt;=$G100),1,"")</x:f>
      </x:c>
      <x:c r="M100" s="167" t="n">
        <x:f>IF(AND(M$6&lt;=$H100,M$6+6&gt;=$G100),1,"")</x:f>
        <x:v>1</x:v>
      </x:c>
      <x:c r="N100" s="167" t="str">
        <x:f>IF(AND(N$6&lt;=$H100,N$6+6&gt;=$G100),1,"")</x:f>
      </x:c>
      <x:c r="O100" s="167" t="str">
        <x:f>IF(AND(O$6&lt;=$H100,O$6+6&gt;=$G100),1,"")</x:f>
      </x:c>
      <x:c r="P100" s="167" t="str">
        <x:f>IF(AND(P$6&lt;=$H100,P$6+6&gt;=$G100),1,"")</x:f>
      </x:c>
      <x:c r="Q100" s="167" t="str">
        <x:f>IF(AND(Q$6&lt;=$H100,Q$6+6&gt;=$G100),1,"")</x:f>
      </x:c>
      <x:c r="R100" s="167" t="str">
        <x:f>IF(AND(R$6&lt;=$H100,R$6+6&gt;=$G100),1,"")</x:f>
      </x:c>
      <x:c r="S100" s="167" t="str">
        <x:f>IF(AND(S$6&lt;=$H100,S$6+6&gt;=$G100),1,"")</x:f>
      </x:c>
      <x:c r="T100" s="167" t="str">
        <x:f>IF(AND(T$6&lt;=$H100,T$6+6&gt;=$G100),1,"")</x:f>
      </x:c>
      <x:c r="U100" s="167" t="str">
        <x:f>IF(AND(U$6&lt;=$H100,U$6+6&gt;=$G100),1,"")</x:f>
      </x:c>
      <x:c r="V100" s="167" t="str">
        <x:f>IF(AND(V$6&lt;=$H100,V$6+6&gt;=$G100),1,"")</x:f>
      </x:c>
      <x:c r="W100" s="167" t="str">
        <x:f>IF(AND(W$6&lt;=$H100,W$6+6&gt;=$G100),1,"")</x:f>
      </x:c>
      <x:c r="X100" s="167" t="str">
        <x:f>IF(AND(X$6&lt;=$H100,X$6+6&gt;=$G100),1,"")</x:f>
      </x:c>
      <x:c r="Y100" s="167" t="str">
        <x:f>IF(AND(Y$6&lt;=$H100,Y$6+6&gt;=$G100),1,"")</x:f>
      </x:c>
      <x:c r="Z100" s="167" t="str">
        <x:f>IF(AND(Z$6&lt;=$H100,Z$6+6&gt;=$G100),1,"")</x:f>
      </x:c>
      <x:c r="AA100" s="167" t="str">
        <x:f>IF(AND(AA$6&lt;=$H100,AA$6+6&gt;=$G100),1,"")</x:f>
      </x:c>
      <x:c r="AB100" s="167" t="str">
        <x:f>IF(AND(AB$6&lt;=$H100,AB$6+6&gt;=$G100),1,"")</x:f>
      </x:c>
      <x:c r="AC100" s="167" t="str">
        <x:f>IF(AND(AC$6&lt;=$H100,AC$6+6&gt;=$G100),1,"")</x:f>
      </x:c>
      <x:c r="AD100" s="167" t="str">
        <x:f>IF(AND(AD$6&lt;=$H100,AD$6+6&gt;=$G100),1,"")</x:f>
      </x:c>
      <x:c r="AE100" s="167" t="str">
        <x:f>IF(AND(AE$6&lt;=$H100,AE$6+6&gt;=$G100),1,"")</x:f>
      </x:c>
      <x:c r="AF100" s="167" t="str">
        <x:f>IF(AND(AF$6&lt;=$H100,AF$6+6&gt;=$G100),1,"")</x:f>
      </x:c>
      <x:c r="AG100" s="167" t="str">
        <x:f>IF(AND(AG$6&lt;=$H100,AG$6+6&gt;=$G100),1,"")</x:f>
      </x:c>
      <x:c r="AH100" s="167" t="str">
        <x:f>IF(AND(AH$6&lt;=$H100,AH$6+6&gt;=$G100),1,"")</x:f>
      </x:c>
      <x:c r="AI100" s="167" t="str">
        <x:f>IF(AND(AI$6&lt;=$H100,AI$6+6&gt;=$G100),1,"")</x:f>
      </x:c>
      <x:c r="AJ100" s="167" t="str">
        <x:f>IF(AND(AJ$6&lt;=$H100,AJ$6+6&gt;=$G100),1,"")</x:f>
      </x:c>
      <x:c r="AK100" s="167" t="str">
        <x:f>IF(AND(AK$6&lt;=$H100,AK$6+6&gt;=$G100),1,"")</x:f>
      </x:c>
      <x:c r="AL100" s="167" t="str">
        <x:f>IF(AND(AL$6&lt;=$H100,AL$6+6&gt;=$G100),1,"")</x:f>
      </x:c>
      <x:c r="AM100" s="167" t="str">
        <x:f>IF(AND(AM$6&lt;=$H100,AM$6+6&gt;=$G100),1,"")</x:f>
      </x:c>
      <x:c r="AN100" s="167" t="str">
        <x:f>IF(AND(AN$6&lt;=$H100,AN$6+6&gt;=$G100),1,"")</x:f>
      </x:c>
      <x:c r="AO100" s="167" t="str">
        <x:f>IF(AND(AO$6&lt;=$H100,AO$6+6&gt;=$G100),1,"")</x:f>
      </x:c>
      <x:c r="AP100" s="167" t="str">
        <x:f>IF(AND(AP$6&lt;=$H100,AP$6+6&gt;=$G100),1,"")</x:f>
      </x:c>
      <x:c r="AQ100" s="167" t="str">
        <x:f>IF(AND(AQ$6&lt;=$H100,AQ$6+6&gt;=$G100),1,"")</x:f>
      </x:c>
      <x:c r="AR100" s="167" t="str">
        <x:f>IF(AND(AR$6&lt;=$H100,AR$6+6&gt;=$G100),1,"")</x:f>
      </x:c>
      <x:c r="AS100" s="167" t="str">
        <x:f>IF(AND(AS$6&lt;=$H100,AS$6+6&gt;=$G100),1,"")</x:f>
      </x:c>
      <x:c r="AT100" s="167" t="str">
        <x:f>IF(AND(AT$6&lt;=$H100,AT$6+6&gt;=$G100),1,"")</x:f>
      </x:c>
      <x:c r="AU100" s="167" t="str">
        <x:f>IF(AND(AU$6&lt;=$H100,AU$6+6&gt;=$G100),1,"")</x:f>
      </x:c>
      <x:c r="AV100" s="167" t="str">
        <x:f>IF(AND(AV$6&lt;=$H100,AV$6+6&gt;=$G100),1,"")</x:f>
      </x:c>
      <x:c r="AW100" s="167" t="str">
        <x:f>IF(AND(AW$6&lt;=$H100,AW$6+6&gt;=$G100),1,"")</x:f>
      </x:c>
      <x:c r="AX100" s="167" t="str">
        <x:f>IF(AND(AX$6&lt;=$H100,AX$6+6&gt;=$G100),1,"")</x:f>
      </x:c>
      <x:c r="AY100" s="167" t="str">
        <x:f>IF(AND(AY$6&lt;=$H100,AY$6+6&gt;=$G100),1,"")</x:f>
      </x:c>
      <x:c r="AZ100" s="167" t="str">
        <x:f>IF(AND(AZ$6&lt;=$H100,AZ$6+6&gt;=$G100),1,"")</x:f>
      </x:c>
      <x:c r="BA100" s="167" t="str">
        <x:f>IF(AND(BA$6&lt;=$H100,BA$6+6&gt;=$G100),1,"")</x:f>
      </x:c>
      <x:c r="BB100" s="167" t="str">
        <x:f>IF(AND(BB$6&lt;=$H100,BB$6+6&gt;=$G100),1,"")</x:f>
      </x:c>
      <x:c r="BC100" s="167" t="str">
        <x:f>IF(AND(BC$6&lt;=$H100,BC$6+6&gt;=$G100),1,"")</x:f>
      </x:c>
      <x:c r="BD100" s="167" t="str">
        <x:f>IF(AND(BD$6&lt;=$H100,BD$6+6&gt;=$G100),1,"")</x:f>
      </x:c>
      <x:c r="BE100" s="167" t="str">
        <x:f>IF(AND(BE$6&lt;=$H100,BE$6+6&gt;=$G100),1,"")</x:f>
      </x:c>
      <x:c r="BF100" s="167" t="str">
        <x:f>IF(AND(BF$6&lt;=$H100,BF$6+6&gt;=$G100),1,"")</x:f>
      </x:c>
      <x:c r="BG100" s="167" t="str">
        <x:f>IF(AND(BG$6&lt;=$H100,BG$6+6&gt;=$G100),1,"")</x:f>
      </x:c>
      <x:c r="BH100" s="167" t="str">
        <x:f>IF(AND(BH$6&lt;=$H100,BH$6+6&gt;=$G100),1,"")</x:f>
      </x:c>
      <x:c r="BI100" s="167" t="str">
        <x:f>IF(AND(BI$6&lt;=$H100,BI$6+6&gt;=$G100),1,"")</x:f>
      </x:c>
      <x:c r="BJ100" s="167" t="str">
        <x:f>IF(AND(BJ$6&lt;=$H100,BJ$6+6&gt;=$G100),1,"")</x:f>
      </x:c>
      <x:c r="BK100" s="167" t="str">
        <x:f>IF(AND(BK$6&lt;=$H100,BK$6+6&gt;=$G100),1,"")</x:f>
      </x:c>
      <x:c r="BL100" s="167" t="str">
        <x:f>IF(AND(BL$6&lt;=$H100,BL$6+6&gt;=$G100),1,"")</x:f>
      </x:c>
      <x:c r="BM100" s="167" t="str">
        <x:f>IF(AND(BM$6&lt;=$H100,BM$6+6&gt;=$G100),1,"")</x:f>
      </x:c>
      <x:c r="BN100" s="167" t="str">
        <x:f>IF(AND(BN$6&lt;=$H100,BN$6+6&gt;=$G100),1,"")</x:f>
      </x:c>
      <x:c r="BO100" s="168" t="str">
        <x:f>IF(AND(BO$6&lt;=$H100,BO$6+6&gt;=$G100),1,"")</x:f>
      </x:c>
    </x:row>
    <x:row r="101" ht="24" customHeight="1">
      <x:c r="A101" s="68" t="str">
        <x:f>'Task Register'!A99</x:f>
        <x:v>T-208</x:v>
      </x:c>
      <x:c r="B101" s="68" t="str">
        <x:f>'Task Register'!B99</x:f>
        <x:v>S1</x:v>
      </x:c>
      <x:c r="C101" s="68" t="str">
        <x:f>'Task Register'!C99</x:f>
        <x:v>Manual Validation</x:v>
      </x:c>
      <x:c r="D101" s="68" t="str">
        <x:f>'Task Register'!D99</x:f>
        <x:v>Compare model behavior in MuJoCo viewer</x:v>
      </x:c>
      <x:c r="E101" s="68" t="str">
        <x:f>'Task Register'!E99</x:f>
        <x:v>T-201, T-206</x:v>
      </x:c>
      <x:c r="F101" s="68" t="str">
        <x:f>'Task Register'!F99</x:f>
        <x:v>Active</x:v>
      </x:c>
      <x:c r="G101" s="94" t="n">
        <x:f>'Task Register'!I99</x:f>
        <x:v>46267</x:v>
      </x:c>
      <x:c r="H101" s="94" t="n">
        <x:f>'Task Register'!J99</x:f>
        <x:v>46267</x:v>
      </x:c>
      <x:c r="I101" s="166" t="str">
        <x:f>IF(AND(I$6&lt;=$H101,I$6+6&gt;=$G101),1,"")</x:f>
      </x:c>
      <x:c r="J101" s="167" t="str">
        <x:f>IF(AND(J$6&lt;=$H101,J$6+6&gt;=$G101),1,"")</x:f>
      </x:c>
      <x:c r="K101" s="167" t="str">
        <x:f>IF(AND(K$6&lt;=$H101,K$6+6&gt;=$G101),1,"")</x:f>
      </x:c>
      <x:c r="L101" s="167" t="str">
        <x:f>IF(AND(L$6&lt;=$H101,L$6+6&gt;=$G101),1,"")</x:f>
      </x:c>
      <x:c r="M101" s="167" t="n">
        <x:f>IF(AND(M$6&lt;=$H101,M$6+6&gt;=$G101),1,"")</x:f>
        <x:v>1</x:v>
      </x:c>
      <x:c r="N101" s="167" t="str">
        <x:f>IF(AND(N$6&lt;=$H101,N$6+6&gt;=$G101),1,"")</x:f>
      </x:c>
      <x:c r="O101" s="167" t="str">
        <x:f>IF(AND(O$6&lt;=$H101,O$6+6&gt;=$G101),1,"")</x:f>
      </x:c>
      <x:c r="P101" s="167" t="str">
        <x:f>IF(AND(P$6&lt;=$H101,P$6+6&gt;=$G101),1,"")</x:f>
      </x:c>
      <x:c r="Q101" s="167" t="str">
        <x:f>IF(AND(Q$6&lt;=$H101,Q$6+6&gt;=$G101),1,"")</x:f>
      </x:c>
      <x:c r="R101" s="167" t="str">
        <x:f>IF(AND(R$6&lt;=$H101,R$6+6&gt;=$G101),1,"")</x:f>
      </x:c>
      <x:c r="S101" s="167" t="str">
        <x:f>IF(AND(S$6&lt;=$H101,S$6+6&gt;=$G101),1,"")</x:f>
      </x:c>
      <x:c r="T101" s="167" t="str">
        <x:f>IF(AND(T$6&lt;=$H101,T$6+6&gt;=$G101),1,"")</x:f>
      </x:c>
      <x:c r="U101" s="167" t="str">
        <x:f>IF(AND(U$6&lt;=$H101,U$6+6&gt;=$G101),1,"")</x:f>
      </x:c>
      <x:c r="V101" s="167" t="str">
        <x:f>IF(AND(V$6&lt;=$H101,V$6+6&gt;=$G101),1,"")</x:f>
      </x:c>
      <x:c r="W101" s="167" t="str">
        <x:f>IF(AND(W$6&lt;=$H101,W$6+6&gt;=$G101),1,"")</x:f>
      </x:c>
      <x:c r="X101" s="167" t="str">
        <x:f>IF(AND(X$6&lt;=$H101,X$6+6&gt;=$G101),1,"")</x:f>
      </x:c>
      <x:c r="Y101" s="167" t="str">
        <x:f>IF(AND(Y$6&lt;=$H101,Y$6+6&gt;=$G101),1,"")</x:f>
      </x:c>
      <x:c r="Z101" s="167" t="str">
        <x:f>IF(AND(Z$6&lt;=$H101,Z$6+6&gt;=$G101),1,"")</x:f>
      </x:c>
      <x:c r="AA101" s="167" t="str">
        <x:f>IF(AND(AA$6&lt;=$H101,AA$6+6&gt;=$G101),1,"")</x:f>
      </x:c>
      <x:c r="AB101" s="167" t="str">
        <x:f>IF(AND(AB$6&lt;=$H101,AB$6+6&gt;=$G101),1,"")</x:f>
      </x:c>
      <x:c r="AC101" s="167" t="str">
        <x:f>IF(AND(AC$6&lt;=$H101,AC$6+6&gt;=$G101),1,"")</x:f>
      </x:c>
      <x:c r="AD101" s="167" t="str">
        <x:f>IF(AND(AD$6&lt;=$H101,AD$6+6&gt;=$G101),1,"")</x:f>
      </x:c>
      <x:c r="AE101" s="167" t="str">
        <x:f>IF(AND(AE$6&lt;=$H101,AE$6+6&gt;=$G101),1,"")</x:f>
      </x:c>
      <x:c r="AF101" s="167" t="str">
        <x:f>IF(AND(AF$6&lt;=$H101,AF$6+6&gt;=$G101),1,"")</x:f>
      </x:c>
      <x:c r="AG101" s="167" t="str">
        <x:f>IF(AND(AG$6&lt;=$H101,AG$6+6&gt;=$G101),1,"")</x:f>
      </x:c>
      <x:c r="AH101" s="167" t="str">
        <x:f>IF(AND(AH$6&lt;=$H101,AH$6+6&gt;=$G101),1,"")</x:f>
      </x:c>
      <x:c r="AI101" s="167" t="str">
        <x:f>IF(AND(AI$6&lt;=$H101,AI$6+6&gt;=$G101),1,"")</x:f>
      </x:c>
      <x:c r="AJ101" s="167" t="str">
        <x:f>IF(AND(AJ$6&lt;=$H101,AJ$6+6&gt;=$G101),1,"")</x:f>
      </x:c>
      <x:c r="AK101" s="167" t="str">
        <x:f>IF(AND(AK$6&lt;=$H101,AK$6+6&gt;=$G101),1,"")</x:f>
      </x:c>
      <x:c r="AL101" s="167" t="str">
        <x:f>IF(AND(AL$6&lt;=$H101,AL$6+6&gt;=$G101),1,"")</x:f>
      </x:c>
      <x:c r="AM101" s="167" t="str">
        <x:f>IF(AND(AM$6&lt;=$H101,AM$6+6&gt;=$G101),1,"")</x:f>
      </x:c>
      <x:c r="AN101" s="167" t="str">
        <x:f>IF(AND(AN$6&lt;=$H101,AN$6+6&gt;=$G101),1,"")</x:f>
      </x:c>
      <x:c r="AO101" s="167" t="str">
        <x:f>IF(AND(AO$6&lt;=$H101,AO$6+6&gt;=$G101),1,"")</x:f>
      </x:c>
      <x:c r="AP101" s="167" t="str">
        <x:f>IF(AND(AP$6&lt;=$H101,AP$6+6&gt;=$G101),1,"")</x:f>
      </x:c>
      <x:c r="AQ101" s="167" t="str">
        <x:f>IF(AND(AQ$6&lt;=$H101,AQ$6+6&gt;=$G101),1,"")</x:f>
      </x:c>
      <x:c r="AR101" s="167" t="str">
        <x:f>IF(AND(AR$6&lt;=$H101,AR$6+6&gt;=$G101),1,"")</x:f>
      </x:c>
      <x:c r="AS101" s="167" t="str">
        <x:f>IF(AND(AS$6&lt;=$H101,AS$6+6&gt;=$G101),1,"")</x:f>
      </x:c>
      <x:c r="AT101" s="167" t="str">
        <x:f>IF(AND(AT$6&lt;=$H101,AT$6+6&gt;=$G101),1,"")</x:f>
      </x:c>
      <x:c r="AU101" s="167" t="str">
        <x:f>IF(AND(AU$6&lt;=$H101,AU$6+6&gt;=$G101),1,"")</x:f>
      </x:c>
      <x:c r="AV101" s="167" t="str">
        <x:f>IF(AND(AV$6&lt;=$H101,AV$6+6&gt;=$G101),1,"")</x:f>
      </x:c>
      <x:c r="AW101" s="167" t="str">
        <x:f>IF(AND(AW$6&lt;=$H101,AW$6+6&gt;=$G101),1,"")</x:f>
      </x:c>
      <x:c r="AX101" s="167" t="str">
        <x:f>IF(AND(AX$6&lt;=$H101,AX$6+6&gt;=$G101),1,"")</x:f>
      </x:c>
      <x:c r="AY101" s="167" t="str">
        <x:f>IF(AND(AY$6&lt;=$H101,AY$6+6&gt;=$G101),1,"")</x:f>
      </x:c>
      <x:c r="AZ101" s="167" t="str">
        <x:f>IF(AND(AZ$6&lt;=$H101,AZ$6+6&gt;=$G101),1,"")</x:f>
      </x:c>
      <x:c r="BA101" s="167" t="str">
        <x:f>IF(AND(BA$6&lt;=$H101,BA$6+6&gt;=$G101),1,"")</x:f>
      </x:c>
      <x:c r="BB101" s="167" t="str">
        <x:f>IF(AND(BB$6&lt;=$H101,BB$6+6&gt;=$G101),1,"")</x:f>
      </x:c>
      <x:c r="BC101" s="167" t="str">
        <x:f>IF(AND(BC$6&lt;=$H101,BC$6+6&gt;=$G101),1,"")</x:f>
      </x:c>
      <x:c r="BD101" s="167" t="str">
        <x:f>IF(AND(BD$6&lt;=$H101,BD$6+6&gt;=$G101),1,"")</x:f>
      </x:c>
      <x:c r="BE101" s="167" t="str">
        <x:f>IF(AND(BE$6&lt;=$H101,BE$6+6&gt;=$G101),1,"")</x:f>
      </x:c>
      <x:c r="BF101" s="167" t="str">
        <x:f>IF(AND(BF$6&lt;=$H101,BF$6+6&gt;=$G101),1,"")</x:f>
      </x:c>
      <x:c r="BG101" s="167" t="str">
        <x:f>IF(AND(BG$6&lt;=$H101,BG$6+6&gt;=$G101),1,"")</x:f>
      </x:c>
      <x:c r="BH101" s="167" t="str">
        <x:f>IF(AND(BH$6&lt;=$H101,BH$6+6&gt;=$G101),1,"")</x:f>
      </x:c>
      <x:c r="BI101" s="167" t="str">
        <x:f>IF(AND(BI$6&lt;=$H101,BI$6+6&gt;=$G101),1,"")</x:f>
      </x:c>
      <x:c r="BJ101" s="167" t="str">
        <x:f>IF(AND(BJ$6&lt;=$H101,BJ$6+6&gt;=$G101),1,"")</x:f>
      </x:c>
      <x:c r="BK101" s="167" t="str">
        <x:f>IF(AND(BK$6&lt;=$H101,BK$6+6&gt;=$G101),1,"")</x:f>
      </x:c>
      <x:c r="BL101" s="167" t="str">
        <x:f>IF(AND(BL$6&lt;=$H101,BL$6+6&gt;=$G101),1,"")</x:f>
      </x:c>
      <x:c r="BM101" s="167" t="str">
        <x:f>IF(AND(BM$6&lt;=$H101,BM$6+6&gt;=$G101),1,"")</x:f>
      </x:c>
      <x:c r="BN101" s="167" t="str">
        <x:f>IF(AND(BN$6&lt;=$H101,BN$6+6&gt;=$G101),1,"")</x:f>
      </x:c>
      <x:c r="BO101" s="168" t="str">
        <x:f>IF(AND(BO$6&lt;=$H101,BO$6+6&gt;=$G101),1,"")</x:f>
      </x:c>
    </x:row>
    <x:row r="102" ht="24" customHeight="1">
      <x:c r="A102" s="68" t="str">
        <x:f>'Task Register'!A100</x:f>
        <x:v>T-209</x:v>
      </x:c>
      <x:c r="B102" s="68" t="str">
        <x:f>'Task Register'!B100</x:f>
        <x:v>S1</x:v>
      </x:c>
      <x:c r="C102" s="68" t="str">
        <x:f>'Task Register'!C100</x:f>
        <x:v>Validation</x:v>
      </x:c>
      <x:c r="D102" s="68" t="str">
        <x:f>'Task Register'!D100</x:f>
        <x:v>S1 lock decision</x:v>
      </x:c>
      <x:c r="E102" s="68" t="str">
        <x:f>'Task Register'!E100</x:f>
        <x:v>T-203, T-204, T-205, T-206, T-208</x:v>
      </x:c>
      <x:c r="F102" s="68" t="str">
        <x:f>'Task Register'!F100</x:f>
        <x:v>Blocked</x:v>
      </x:c>
      <x:c r="G102" s="94" t="n">
        <x:f>'Task Register'!I100</x:f>
        <x:v>46268</x:v>
      </x:c>
      <x:c r="H102" s="94" t="n">
        <x:f>'Task Register'!J100</x:f>
        <x:v>46268</x:v>
      </x:c>
      <x:c r="I102" s="166" t="str">
        <x:f>IF(AND(I$6&lt;=$H102,I$6+6&gt;=$G102),1,"")</x:f>
      </x:c>
      <x:c r="J102" s="167" t="str">
        <x:f>IF(AND(J$6&lt;=$H102,J$6+6&gt;=$G102),1,"")</x:f>
      </x:c>
      <x:c r="K102" s="167" t="str">
        <x:f>IF(AND(K$6&lt;=$H102,K$6+6&gt;=$G102),1,"")</x:f>
      </x:c>
      <x:c r="L102" s="167" t="str">
        <x:f>IF(AND(L$6&lt;=$H102,L$6+6&gt;=$G102),1,"")</x:f>
      </x:c>
      <x:c r="M102" s="167" t="n">
        <x:f>IF(AND(M$6&lt;=$H102,M$6+6&gt;=$G102),1,"")</x:f>
        <x:v>1</x:v>
      </x:c>
      <x:c r="N102" s="167" t="str">
        <x:f>IF(AND(N$6&lt;=$H102,N$6+6&gt;=$G102),1,"")</x:f>
      </x:c>
      <x:c r="O102" s="167" t="str">
        <x:f>IF(AND(O$6&lt;=$H102,O$6+6&gt;=$G102),1,"")</x:f>
      </x:c>
      <x:c r="P102" s="167" t="str">
        <x:f>IF(AND(P$6&lt;=$H102,P$6+6&gt;=$G102),1,"")</x:f>
      </x:c>
      <x:c r="Q102" s="167" t="str">
        <x:f>IF(AND(Q$6&lt;=$H102,Q$6+6&gt;=$G102),1,"")</x:f>
      </x:c>
      <x:c r="R102" s="167" t="str">
        <x:f>IF(AND(R$6&lt;=$H102,R$6+6&gt;=$G102),1,"")</x:f>
      </x:c>
      <x:c r="S102" s="167" t="str">
        <x:f>IF(AND(S$6&lt;=$H102,S$6+6&gt;=$G102),1,"")</x:f>
      </x:c>
      <x:c r="T102" s="167" t="str">
        <x:f>IF(AND(T$6&lt;=$H102,T$6+6&gt;=$G102),1,"")</x:f>
      </x:c>
      <x:c r="U102" s="167" t="str">
        <x:f>IF(AND(U$6&lt;=$H102,U$6+6&gt;=$G102),1,"")</x:f>
      </x:c>
      <x:c r="V102" s="167" t="str">
        <x:f>IF(AND(V$6&lt;=$H102,V$6+6&gt;=$G102),1,"")</x:f>
      </x:c>
      <x:c r="W102" s="167" t="str">
        <x:f>IF(AND(W$6&lt;=$H102,W$6+6&gt;=$G102),1,"")</x:f>
      </x:c>
      <x:c r="X102" s="167" t="str">
        <x:f>IF(AND(X$6&lt;=$H102,X$6+6&gt;=$G102),1,"")</x:f>
      </x:c>
      <x:c r="Y102" s="167" t="str">
        <x:f>IF(AND(Y$6&lt;=$H102,Y$6+6&gt;=$G102),1,"")</x:f>
      </x:c>
      <x:c r="Z102" s="167" t="str">
        <x:f>IF(AND(Z$6&lt;=$H102,Z$6+6&gt;=$G102),1,"")</x:f>
      </x:c>
      <x:c r="AA102" s="167" t="str">
        <x:f>IF(AND(AA$6&lt;=$H102,AA$6+6&gt;=$G102),1,"")</x:f>
      </x:c>
      <x:c r="AB102" s="167" t="str">
        <x:f>IF(AND(AB$6&lt;=$H102,AB$6+6&gt;=$G102),1,"")</x:f>
      </x:c>
      <x:c r="AC102" s="167" t="str">
        <x:f>IF(AND(AC$6&lt;=$H102,AC$6+6&gt;=$G102),1,"")</x:f>
      </x:c>
      <x:c r="AD102" s="167" t="str">
        <x:f>IF(AND(AD$6&lt;=$H102,AD$6+6&gt;=$G102),1,"")</x:f>
      </x:c>
      <x:c r="AE102" s="167" t="str">
        <x:f>IF(AND(AE$6&lt;=$H102,AE$6+6&gt;=$G102),1,"")</x:f>
      </x:c>
      <x:c r="AF102" s="167" t="str">
        <x:f>IF(AND(AF$6&lt;=$H102,AF$6+6&gt;=$G102),1,"")</x:f>
      </x:c>
      <x:c r="AG102" s="167" t="str">
        <x:f>IF(AND(AG$6&lt;=$H102,AG$6+6&gt;=$G102),1,"")</x:f>
      </x:c>
      <x:c r="AH102" s="167" t="str">
        <x:f>IF(AND(AH$6&lt;=$H102,AH$6+6&gt;=$G102),1,"")</x:f>
      </x:c>
      <x:c r="AI102" s="167" t="str">
        <x:f>IF(AND(AI$6&lt;=$H102,AI$6+6&gt;=$G102),1,"")</x:f>
      </x:c>
      <x:c r="AJ102" s="167" t="str">
        <x:f>IF(AND(AJ$6&lt;=$H102,AJ$6+6&gt;=$G102),1,"")</x:f>
      </x:c>
      <x:c r="AK102" s="167" t="str">
        <x:f>IF(AND(AK$6&lt;=$H102,AK$6+6&gt;=$G102),1,"")</x:f>
      </x:c>
      <x:c r="AL102" s="167" t="str">
        <x:f>IF(AND(AL$6&lt;=$H102,AL$6+6&gt;=$G102),1,"")</x:f>
      </x:c>
      <x:c r="AM102" s="167" t="str">
        <x:f>IF(AND(AM$6&lt;=$H102,AM$6+6&gt;=$G102),1,"")</x:f>
      </x:c>
      <x:c r="AN102" s="167" t="str">
        <x:f>IF(AND(AN$6&lt;=$H102,AN$6+6&gt;=$G102),1,"")</x:f>
      </x:c>
      <x:c r="AO102" s="167" t="str">
        <x:f>IF(AND(AO$6&lt;=$H102,AO$6+6&gt;=$G102),1,"")</x:f>
      </x:c>
      <x:c r="AP102" s="167" t="str">
        <x:f>IF(AND(AP$6&lt;=$H102,AP$6+6&gt;=$G102),1,"")</x:f>
      </x:c>
      <x:c r="AQ102" s="167" t="str">
        <x:f>IF(AND(AQ$6&lt;=$H102,AQ$6+6&gt;=$G102),1,"")</x:f>
      </x:c>
      <x:c r="AR102" s="167" t="str">
        <x:f>IF(AND(AR$6&lt;=$H102,AR$6+6&gt;=$G102),1,"")</x:f>
      </x:c>
      <x:c r="AS102" s="167" t="str">
        <x:f>IF(AND(AS$6&lt;=$H102,AS$6+6&gt;=$G102),1,"")</x:f>
      </x:c>
      <x:c r="AT102" s="167" t="str">
        <x:f>IF(AND(AT$6&lt;=$H102,AT$6+6&gt;=$G102),1,"")</x:f>
      </x:c>
      <x:c r="AU102" s="167" t="str">
        <x:f>IF(AND(AU$6&lt;=$H102,AU$6+6&gt;=$G102),1,"")</x:f>
      </x:c>
      <x:c r="AV102" s="167" t="str">
        <x:f>IF(AND(AV$6&lt;=$H102,AV$6+6&gt;=$G102),1,"")</x:f>
      </x:c>
      <x:c r="AW102" s="167" t="str">
        <x:f>IF(AND(AW$6&lt;=$H102,AW$6+6&gt;=$G102),1,"")</x:f>
      </x:c>
      <x:c r="AX102" s="167" t="str">
        <x:f>IF(AND(AX$6&lt;=$H102,AX$6+6&gt;=$G102),1,"")</x:f>
      </x:c>
      <x:c r="AY102" s="167" t="str">
        <x:f>IF(AND(AY$6&lt;=$H102,AY$6+6&gt;=$G102),1,"")</x:f>
      </x:c>
      <x:c r="AZ102" s="167" t="str">
        <x:f>IF(AND(AZ$6&lt;=$H102,AZ$6+6&gt;=$G102),1,"")</x:f>
      </x:c>
      <x:c r="BA102" s="167" t="str">
        <x:f>IF(AND(BA$6&lt;=$H102,BA$6+6&gt;=$G102),1,"")</x:f>
      </x:c>
      <x:c r="BB102" s="167" t="str">
        <x:f>IF(AND(BB$6&lt;=$H102,BB$6+6&gt;=$G102),1,"")</x:f>
      </x:c>
      <x:c r="BC102" s="167" t="str">
        <x:f>IF(AND(BC$6&lt;=$H102,BC$6+6&gt;=$G102),1,"")</x:f>
      </x:c>
      <x:c r="BD102" s="167" t="str">
        <x:f>IF(AND(BD$6&lt;=$H102,BD$6+6&gt;=$G102),1,"")</x:f>
      </x:c>
      <x:c r="BE102" s="167" t="str">
        <x:f>IF(AND(BE$6&lt;=$H102,BE$6+6&gt;=$G102),1,"")</x:f>
      </x:c>
      <x:c r="BF102" s="167" t="str">
        <x:f>IF(AND(BF$6&lt;=$H102,BF$6+6&gt;=$G102),1,"")</x:f>
      </x:c>
      <x:c r="BG102" s="167" t="str">
        <x:f>IF(AND(BG$6&lt;=$H102,BG$6+6&gt;=$G102),1,"")</x:f>
      </x:c>
      <x:c r="BH102" s="167" t="str">
        <x:f>IF(AND(BH$6&lt;=$H102,BH$6+6&gt;=$G102),1,"")</x:f>
      </x:c>
      <x:c r="BI102" s="167" t="str">
        <x:f>IF(AND(BI$6&lt;=$H102,BI$6+6&gt;=$G102),1,"")</x:f>
      </x:c>
      <x:c r="BJ102" s="167" t="str">
        <x:f>IF(AND(BJ$6&lt;=$H102,BJ$6+6&gt;=$G102),1,"")</x:f>
      </x:c>
      <x:c r="BK102" s="167" t="str">
        <x:f>IF(AND(BK$6&lt;=$H102,BK$6+6&gt;=$G102),1,"")</x:f>
      </x:c>
      <x:c r="BL102" s="167" t="str">
        <x:f>IF(AND(BL$6&lt;=$H102,BL$6+6&gt;=$G102),1,"")</x:f>
      </x:c>
      <x:c r="BM102" s="167" t="str">
        <x:f>IF(AND(BM$6&lt;=$H102,BM$6+6&gt;=$G102),1,"")</x:f>
      </x:c>
      <x:c r="BN102" s="167" t="str">
        <x:f>IF(AND(BN$6&lt;=$H102,BN$6+6&gt;=$G102),1,"")</x:f>
      </x:c>
      <x:c r="BO102" s="168" t="str">
        <x:f>IF(AND(BO$6&lt;=$H102,BO$6+6&gt;=$G102),1,"")</x:f>
      </x:c>
    </x:row>
    <x:row r="103" ht="24" customHeight="1">
      <x:c r="A103" s="68" t="str">
        <x:f>'Task Register'!A101</x:f>
        <x:v>T-301</x:v>
      </x:c>
      <x:c r="B103" s="68" t="str">
        <x:f>'Task Register'!B101</x:f>
        <x:v>S2</x:v>
      </x:c>
      <x:c r="C103" s="68" t="str">
        <x:f>'Task Register'!C101</x:f>
        <x:v>Architecture</x:v>
      </x:c>
      <x:c r="D103" s="68" t="str">
        <x:f>'Task Register'!D101</x:f>
        <x:v>Define common backend surface</x:v>
      </x:c>
      <x:c r="E103" s="68" t="str">
        <x:f>'Task Register'!E101</x:f>
        <x:v>S0, S1</x:v>
      </x:c>
      <x:c r="F103" s="68" t="str">
        <x:f>'Task Register'!F101</x:f>
        <x:v>Done</x:v>
      </x:c>
      <x:c r="G103" s="94" t="n">
        <x:f>'Task Register'!I101</x:f>
        <x:v>46279</x:v>
      </x:c>
      <x:c r="H103" s="94" t="n">
        <x:f>'Task Register'!J101</x:f>
        <x:v>46279</x:v>
      </x:c>
      <x:c r="I103" s="166" t="str">
        <x:f>IF(AND(I$6&lt;=$H103,I$6+6&gt;=$G103),1,"")</x:f>
      </x:c>
      <x:c r="J103" s="167" t="str">
        <x:f>IF(AND(J$6&lt;=$H103,J$6+6&gt;=$G103),1,"")</x:f>
      </x:c>
      <x:c r="K103" s="167" t="str">
        <x:f>IF(AND(K$6&lt;=$H103,K$6+6&gt;=$G103),1,"")</x:f>
      </x:c>
      <x:c r="L103" s="167" t="str">
        <x:f>IF(AND(L$6&lt;=$H103,L$6+6&gt;=$G103),1,"")</x:f>
      </x:c>
      <x:c r="M103" s="167" t="str">
        <x:f>IF(AND(M$6&lt;=$H103,M$6+6&gt;=$G103),1,"")</x:f>
      </x:c>
      <x:c r="N103" s="167" t="str">
        <x:f>IF(AND(N$6&lt;=$H103,N$6+6&gt;=$G103),1,"")</x:f>
      </x:c>
      <x:c r="O103" s="167" t="n">
        <x:f>IF(AND(O$6&lt;=$H103,O$6+6&gt;=$G103),1,"")</x:f>
        <x:v>1</x:v>
      </x:c>
      <x:c r="P103" s="167" t="str">
        <x:f>IF(AND(P$6&lt;=$H103,P$6+6&gt;=$G103),1,"")</x:f>
      </x:c>
      <x:c r="Q103" s="167" t="str">
        <x:f>IF(AND(Q$6&lt;=$H103,Q$6+6&gt;=$G103),1,"")</x:f>
      </x:c>
      <x:c r="R103" s="167" t="str">
        <x:f>IF(AND(R$6&lt;=$H103,R$6+6&gt;=$G103),1,"")</x:f>
      </x:c>
      <x:c r="S103" s="167" t="str">
        <x:f>IF(AND(S$6&lt;=$H103,S$6+6&gt;=$G103),1,"")</x:f>
      </x:c>
      <x:c r="T103" s="167" t="str">
        <x:f>IF(AND(T$6&lt;=$H103,T$6+6&gt;=$G103),1,"")</x:f>
      </x:c>
      <x:c r="U103" s="167" t="str">
        <x:f>IF(AND(U$6&lt;=$H103,U$6+6&gt;=$G103),1,"")</x:f>
      </x:c>
      <x:c r="V103" s="167" t="str">
        <x:f>IF(AND(V$6&lt;=$H103,V$6+6&gt;=$G103),1,"")</x:f>
      </x:c>
      <x:c r="W103" s="167" t="str">
        <x:f>IF(AND(W$6&lt;=$H103,W$6+6&gt;=$G103),1,"")</x:f>
      </x:c>
      <x:c r="X103" s="167" t="str">
        <x:f>IF(AND(X$6&lt;=$H103,X$6+6&gt;=$G103),1,"")</x:f>
      </x:c>
      <x:c r="Y103" s="167" t="str">
        <x:f>IF(AND(Y$6&lt;=$H103,Y$6+6&gt;=$G103),1,"")</x:f>
      </x:c>
      <x:c r="Z103" s="167" t="str">
        <x:f>IF(AND(Z$6&lt;=$H103,Z$6+6&gt;=$G103),1,"")</x:f>
      </x:c>
      <x:c r="AA103" s="167" t="str">
        <x:f>IF(AND(AA$6&lt;=$H103,AA$6+6&gt;=$G103),1,"")</x:f>
      </x:c>
      <x:c r="AB103" s="167" t="str">
        <x:f>IF(AND(AB$6&lt;=$H103,AB$6+6&gt;=$G103),1,"")</x:f>
      </x:c>
      <x:c r="AC103" s="167" t="str">
        <x:f>IF(AND(AC$6&lt;=$H103,AC$6+6&gt;=$G103),1,"")</x:f>
      </x:c>
      <x:c r="AD103" s="167" t="str">
        <x:f>IF(AND(AD$6&lt;=$H103,AD$6+6&gt;=$G103),1,"")</x:f>
      </x:c>
      <x:c r="AE103" s="167" t="str">
        <x:f>IF(AND(AE$6&lt;=$H103,AE$6+6&gt;=$G103),1,"")</x:f>
      </x:c>
      <x:c r="AF103" s="167" t="str">
        <x:f>IF(AND(AF$6&lt;=$H103,AF$6+6&gt;=$G103),1,"")</x:f>
      </x:c>
      <x:c r="AG103" s="167" t="str">
        <x:f>IF(AND(AG$6&lt;=$H103,AG$6+6&gt;=$G103),1,"")</x:f>
      </x:c>
      <x:c r="AH103" s="167" t="str">
        <x:f>IF(AND(AH$6&lt;=$H103,AH$6+6&gt;=$G103),1,"")</x:f>
      </x:c>
      <x:c r="AI103" s="167" t="str">
        <x:f>IF(AND(AI$6&lt;=$H103,AI$6+6&gt;=$G103),1,"")</x:f>
      </x:c>
      <x:c r="AJ103" s="167" t="str">
        <x:f>IF(AND(AJ$6&lt;=$H103,AJ$6+6&gt;=$G103),1,"")</x:f>
      </x:c>
      <x:c r="AK103" s="167" t="str">
        <x:f>IF(AND(AK$6&lt;=$H103,AK$6+6&gt;=$G103),1,"")</x:f>
      </x:c>
      <x:c r="AL103" s="167" t="str">
        <x:f>IF(AND(AL$6&lt;=$H103,AL$6+6&gt;=$G103),1,"")</x:f>
      </x:c>
      <x:c r="AM103" s="167" t="str">
        <x:f>IF(AND(AM$6&lt;=$H103,AM$6+6&gt;=$G103),1,"")</x:f>
      </x:c>
      <x:c r="AN103" s="167" t="str">
        <x:f>IF(AND(AN$6&lt;=$H103,AN$6+6&gt;=$G103),1,"")</x:f>
      </x:c>
      <x:c r="AO103" s="167" t="str">
        <x:f>IF(AND(AO$6&lt;=$H103,AO$6+6&gt;=$G103),1,"")</x:f>
      </x:c>
      <x:c r="AP103" s="167" t="str">
        <x:f>IF(AND(AP$6&lt;=$H103,AP$6+6&gt;=$G103),1,"")</x:f>
      </x:c>
      <x:c r="AQ103" s="167" t="str">
        <x:f>IF(AND(AQ$6&lt;=$H103,AQ$6+6&gt;=$G103),1,"")</x:f>
      </x:c>
      <x:c r="AR103" s="167" t="str">
        <x:f>IF(AND(AR$6&lt;=$H103,AR$6+6&gt;=$G103),1,"")</x:f>
      </x:c>
      <x:c r="AS103" s="167" t="str">
        <x:f>IF(AND(AS$6&lt;=$H103,AS$6+6&gt;=$G103),1,"")</x:f>
      </x:c>
      <x:c r="AT103" s="167" t="str">
        <x:f>IF(AND(AT$6&lt;=$H103,AT$6+6&gt;=$G103),1,"")</x:f>
      </x:c>
      <x:c r="AU103" s="167" t="str">
        <x:f>IF(AND(AU$6&lt;=$H103,AU$6+6&gt;=$G103),1,"")</x:f>
      </x:c>
      <x:c r="AV103" s="167" t="str">
        <x:f>IF(AND(AV$6&lt;=$H103,AV$6+6&gt;=$G103),1,"")</x:f>
      </x:c>
      <x:c r="AW103" s="167" t="str">
        <x:f>IF(AND(AW$6&lt;=$H103,AW$6+6&gt;=$G103),1,"")</x:f>
      </x:c>
      <x:c r="AX103" s="167" t="str">
        <x:f>IF(AND(AX$6&lt;=$H103,AX$6+6&gt;=$G103),1,"")</x:f>
      </x:c>
      <x:c r="AY103" s="167" t="str">
        <x:f>IF(AND(AY$6&lt;=$H103,AY$6+6&gt;=$G103),1,"")</x:f>
      </x:c>
      <x:c r="AZ103" s="167" t="str">
        <x:f>IF(AND(AZ$6&lt;=$H103,AZ$6+6&gt;=$G103),1,"")</x:f>
      </x:c>
      <x:c r="BA103" s="167" t="str">
        <x:f>IF(AND(BA$6&lt;=$H103,BA$6+6&gt;=$G103),1,"")</x:f>
      </x:c>
      <x:c r="BB103" s="167" t="str">
        <x:f>IF(AND(BB$6&lt;=$H103,BB$6+6&gt;=$G103),1,"")</x:f>
      </x:c>
      <x:c r="BC103" s="167" t="str">
        <x:f>IF(AND(BC$6&lt;=$H103,BC$6+6&gt;=$G103),1,"")</x:f>
      </x:c>
      <x:c r="BD103" s="167" t="str">
        <x:f>IF(AND(BD$6&lt;=$H103,BD$6+6&gt;=$G103),1,"")</x:f>
      </x:c>
      <x:c r="BE103" s="167" t="str">
        <x:f>IF(AND(BE$6&lt;=$H103,BE$6+6&gt;=$G103),1,"")</x:f>
      </x:c>
      <x:c r="BF103" s="167" t="str">
        <x:f>IF(AND(BF$6&lt;=$H103,BF$6+6&gt;=$G103),1,"")</x:f>
      </x:c>
      <x:c r="BG103" s="167" t="str">
        <x:f>IF(AND(BG$6&lt;=$H103,BG$6+6&gt;=$G103),1,"")</x:f>
      </x:c>
      <x:c r="BH103" s="167" t="str">
        <x:f>IF(AND(BH$6&lt;=$H103,BH$6+6&gt;=$G103),1,"")</x:f>
      </x:c>
      <x:c r="BI103" s="167" t="str">
        <x:f>IF(AND(BI$6&lt;=$H103,BI$6+6&gt;=$G103),1,"")</x:f>
      </x:c>
      <x:c r="BJ103" s="167" t="str">
        <x:f>IF(AND(BJ$6&lt;=$H103,BJ$6+6&gt;=$G103),1,"")</x:f>
      </x:c>
      <x:c r="BK103" s="167" t="str">
        <x:f>IF(AND(BK$6&lt;=$H103,BK$6+6&gt;=$G103),1,"")</x:f>
      </x:c>
      <x:c r="BL103" s="167" t="str">
        <x:f>IF(AND(BL$6&lt;=$H103,BL$6+6&gt;=$G103),1,"")</x:f>
      </x:c>
      <x:c r="BM103" s="167" t="str">
        <x:f>IF(AND(BM$6&lt;=$H103,BM$6+6&gt;=$G103),1,"")</x:f>
      </x:c>
      <x:c r="BN103" s="167" t="str">
        <x:f>IF(AND(BN$6&lt;=$H103,BN$6+6&gt;=$G103),1,"")</x:f>
      </x:c>
      <x:c r="BO103" s="168" t="str">
        <x:f>IF(AND(BO$6&lt;=$H103,BO$6+6&gt;=$G103),1,"")</x:f>
      </x:c>
    </x:row>
    <x:row r="104" ht="24" customHeight="1">
      <x:c r="A104" s="68" t="str">
        <x:f>'Task Register'!A102</x:f>
        <x:v>T-302</x:v>
      </x:c>
      <x:c r="B104" s="68" t="str">
        <x:f>'Task Register'!B102</x:f>
        <x:v>S2</x:v>
      </x:c>
      <x:c r="C104" s="68" t="str">
        <x:f>'Task Register'!C102</x:f>
        <x:v>Control</x:v>
      </x:c>
      <x:c r="D104" s="68" t="str">
        <x:f>'Task Register'!D102</x:f>
        <x:v>Map ArmPose targets to MuJoCo controls</x:v>
      </x:c>
      <x:c r="E104" s="68" t="str">
        <x:f>'Task Register'!E102</x:f>
        <x:v>T-301</x:v>
      </x:c>
      <x:c r="F104" s="68" t="str">
        <x:f>'Task Register'!F102</x:f>
        <x:v>Done</x:v>
      </x:c>
      <x:c r="G104" s="94" t="n">
        <x:f>'Task Register'!I102</x:f>
        <x:v>46280</x:v>
      </x:c>
      <x:c r="H104" s="94" t="n">
        <x:f>'Task Register'!J102</x:f>
        <x:v>46280</x:v>
      </x:c>
      <x:c r="I104" s="166" t="str">
        <x:f>IF(AND(I$6&lt;=$H104,I$6+6&gt;=$G104),1,"")</x:f>
      </x:c>
      <x:c r="J104" s="167" t="str">
        <x:f>IF(AND(J$6&lt;=$H104,J$6+6&gt;=$G104),1,"")</x:f>
      </x:c>
      <x:c r="K104" s="167" t="str">
        <x:f>IF(AND(K$6&lt;=$H104,K$6+6&gt;=$G104),1,"")</x:f>
      </x:c>
      <x:c r="L104" s="167" t="str">
        <x:f>IF(AND(L$6&lt;=$H104,L$6+6&gt;=$G104),1,"")</x:f>
      </x:c>
      <x:c r="M104" s="167" t="str">
        <x:f>IF(AND(M$6&lt;=$H104,M$6+6&gt;=$G104),1,"")</x:f>
      </x:c>
      <x:c r="N104" s="167" t="str">
        <x:f>IF(AND(N$6&lt;=$H104,N$6+6&gt;=$G104),1,"")</x:f>
      </x:c>
      <x:c r="O104" s="167" t="n">
        <x:f>IF(AND(O$6&lt;=$H104,O$6+6&gt;=$G104),1,"")</x:f>
        <x:v>1</x:v>
      </x:c>
      <x:c r="P104" s="167" t="str">
        <x:f>IF(AND(P$6&lt;=$H104,P$6+6&gt;=$G104),1,"")</x:f>
      </x:c>
      <x:c r="Q104" s="167" t="str">
        <x:f>IF(AND(Q$6&lt;=$H104,Q$6+6&gt;=$G104),1,"")</x:f>
      </x:c>
      <x:c r="R104" s="167" t="str">
        <x:f>IF(AND(R$6&lt;=$H104,R$6+6&gt;=$G104),1,"")</x:f>
      </x:c>
      <x:c r="S104" s="167" t="str">
        <x:f>IF(AND(S$6&lt;=$H104,S$6+6&gt;=$G104),1,"")</x:f>
      </x:c>
      <x:c r="T104" s="167" t="str">
        <x:f>IF(AND(T$6&lt;=$H104,T$6+6&gt;=$G104),1,"")</x:f>
      </x:c>
      <x:c r="U104" s="167" t="str">
        <x:f>IF(AND(U$6&lt;=$H104,U$6+6&gt;=$G104),1,"")</x:f>
      </x:c>
      <x:c r="V104" s="167" t="str">
        <x:f>IF(AND(V$6&lt;=$H104,V$6+6&gt;=$G104),1,"")</x:f>
      </x:c>
      <x:c r="W104" s="167" t="str">
        <x:f>IF(AND(W$6&lt;=$H104,W$6+6&gt;=$G104),1,"")</x:f>
      </x:c>
      <x:c r="X104" s="167" t="str">
        <x:f>IF(AND(X$6&lt;=$H104,X$6+6&gt;=$G104),1,"")</x:f>
      </x:c>
      <x:c r="Y104" s="167" t="str">
        <x:f>IF(AND(Y$6&lt;=$H104,Y$6+6&gt;=$G104),1,"")</x:f>
      </x:c>
      <x:c r="Z104" s="167" t="str">
        <x:f>IF(AND(Z$6&lt;=$H104,Z$6+6&gt;=$G104),1,"")</x:f>
      </x:c>
      <x:c r="AA104" s="167" t="str">
        <x:f>IF(AND(AA$6&lt;=$H104,AA$6+6&gt;=$G104),1,"")</x:f>
      </x:c>
      <x:c r="AB104" s="167" t="str">
        <x:f>IF(AND(AB$6&lt;=$H104,AB$6+6&gt;=$G104),1,"")</x:f>
      </x:c>
      <x:c r="AC104" s="167" t="str">
        <x:f>IF(AND(AC$6&lt;=$H104,AC$6+6&gt;=$G104),1,"")</x:f>
      </x:c>
      <x:c r="AD104" s="167" t="str">
        <x:f>IF(AND(AD$6&lt;=$H104,AD$6+6&gt;=$G104),1,"")</x:f>
      </x:c>
      <x:c r="AE104" s="167" t="str">
        <x:f>IF(AND(AE$6&lt;=$H104,AE$6+6&gt;=$G104),1,"")</x:f>
      </x:c>
      <x:c r="AF104" s="167" t="str">
        <x:f>IF(AND(AF$6&lt;=$H104,AF$6+6&gt;=$G104),1,"")</x:f>
      </x:c>
      <x:c r="AG104" s="167" t="str">
        <x:f>IF(AND(AG$6&lt;=$H104,AG$6+6&gt;=$G104),1,"")</x:f>
      </x:c>
      <x:c r="AH104" s="167" t="str">
        <x:f>IF(AND(AH$6&lt;=$H104,AH$6+6&gt;=$G104),1,"")</x:f>
      </x:c>
      <x:c r="AI104" s="167" t="str">
        <x:f>IF(AND(AI$6&lt;=$H104,AI$6+6&gt;=$G104),1,"")</x:f>
      </x:c>
      <x:c r="AJ104" s="167" t="str">
        <x:f>IF(AND(AJ$6&lt;=$H104,AJ$6+6&gt;=$G104),1,"")</x:f>
      </x:c>
      <x:c r="AK104" s="167" t="str">
        <x:f>IF(AND(AK$6&lt;=$H104,AK$6+6&gt;=$G104),1,"")</x:f>
      </x:c>
      <x:c r="AL104" s="167" t="str">
        <x:f>IF(AND(AL$6&lt;=$H104,AL$6+6&gt;=$G104),1,"")</x:f>
      </x:c>
      <x:c r="AM104" s="167" t="str">
        <x:f>IF(AND(AM$6&lt;=$H104,AM$6+6&gt;=$G104),1,"")</x:f>
      </x:c>
      <x:c r="AN104" s="167" t="str">
        <x:f>IF(AND(AN$6&lt;=$H104,AN$6+6&gt;=$G104),1,"")</x:f>
      </x:c>
      <x:c r="AO104" s="167" t="str">
        <x:f>IF(AND(AO$6&lt;=$H104,AO$6+6&gt;=$G104),1,"")</x:f>
      </x:c>
      <x:c r="AP104" s="167" t="str">
        <x:f>IF(AND(AP$6&lt;=$H104,AP$6+6&gt;=$G104),1,"")</x:f>
      </x:c>
      <x:c r="AQ104" s="167" t="str">
        <x:f>IF(AND(AQ$6&lt;=$H104,AQ$6+6&gt;=$G104),1,"")</x:f>
      </x:c>
      <x:c r="AR104" s="167" t="str">
        <x:f>IF(AND(AR$6&lt;=$H104,AR$6+6&gt;=$G104),1,"")</x:f>
      </x:c>
      <x:c r="AS104" s="167" t="str">
        <x:f>IF(AND(AS$6&lt;=$H104,AS$6+6&gt;=$G104),1,"")</x:f>
      </x:c>
      <x:c r="AT104" s="167" t="str">
        <x:f>IF(AND(AT$6&lt;=$H104,AT$6+6&gt;=$G104),1,"")</x:f>
      </x:c>
      <x:c r="AU104" s="167" t="str">
        <x:f>IF(AND(AU$6&lt;=$H104,AU$6+6&gt;=$G104),1,"")</x:f>
      </x:c>
      <x:c r="AV104" s="167" t="str">
        <x:f>IF(AND(AV$6&lt;=$H104,AV$6+6&gt;=$G104),1,"")</x:f>
      </x:c>
      <x:c r="AW104" s="167" t="str">
        <x:f>IF(AND(AW$6&lt;=$H104,AW$6+6&gt;=$G104),1,"")</x:f>
      </x:c>
      <x:c r="AX104" s="167" t="str">
        <x:f>IF(AND(AX$6&lt;=$H104,AX$6+6&gt;=$G104),1,"")</x:f>
      </x:c>
      <x:c r="AY104" s="167" t="str">
        <x:f>IF(AND(AY$6&lt;=$H104,AY$6+6&gt;=$G104),1,"")</x:f>
      </x:c>
      <x:c r="AZ104" s="167" t="str">
        <x:f>IF(AND(AZ$6&lt;=$H104,AZ$6+6&gt;=$G104),1,"")</x:f>
      </x:c>
      <x:c r="BA104" s="167" t="str">
        <x:f>IF(AND(BA$6&lt;=$H104,BA$6+6&gt;=$G104),1,"")</x:f>
      </x:c>
      <x:c r="BB104" s="167" t="str">
        <x:f>IF(AND(BB$6&lt;=$H104,BB$6+6&gt;=$G104),1,"")</x:f>
      </x:c>
      <x:c r="BC104" s="167" t="str">
        <x:f>IF(AND(BC$6&lt;=$H104,BC$6+6&gt;=$G104),1,"")</x:f>
      </x:c>
      <x:c r="BD104" s="167" t="str">
        <x:f>IF(AND(BD$6&lt;=$H104,BD$6+6&gt;=$G104),1,"")</x:f>
      </x:c>
      <x:c r="BE104" s="167" t="str">
        <x:f>IF(AND(BE$6&lt;=$H104,BE$6+6&gt;=$G104),1,"")</x:f>
      </x:c>
      <x:c r="BF104" s="167" t="str">
        <x:f>IF(AND(BF$6&lt;=$H104,BF$6+6&gt;=$G104),1,"")</x:f>
      </x:c>
      <x:c r="BG104" s="167" t="str">
        <x:f>IF(AND(BG$6&lt;=$H104,BG$6+6&gt;=$G104),1,"")</x:f>
      </x:c>
      <x:c r="BH104" s="167" t="str">
        <x:f>IF(AND(BH$6&lt;=$H104,BH$6+6&gt;=$G104),1,"")</x:f>
      </x:c>
      <x:c r="BI104" s="167" t="str">
        <x:f>IF(AND(BI$6&lt;=$H104,BI$6+6&gt;=$G104),1,"")</x:f>
      </x:c>
      <x:c r="BJ104" s="167" t="str">
        <x:f>IF(AND(BJ$6&lt;=$H104,BJ$6+6&gt;=$G104),1,"")</x:f>
      </x:c>
      <x:c r="BK104" s="167" t="str">
        <x:f>IF(AND(BK$6&lt;=$H104,BK$6+6&gt;=$G104),1,"")</x:f>
      </x:c>
      <x:c r="BL104" s="167" t="str">
        <x:f>IF(AND(BL$6&lt;=$H104,BL$6+6&gt;=$G104),1,"")</x:f>
      </x:c>
      <x:c r="BM104" s="167" t="str">
        <x:f>IF(AND(BM$6&lt;=$H104,BM$6+6&gt;=$G104),1,"")</x:f>
      </x:c>
      <x:c r="BN104" s="167" t="str">
        <x:f>IF(AND(BN$6&lt;=$H104,BN$6+6&gt;=$G104),1,"")</x:f>
      </x:c>
      <x:c r="BO104" s="168" t="str">
        <x:f>IF(AND(BO$6&lt;=$H104,BO$6+6&gt;=$G104),1,"")</x:f>
      </x:c>
    </x:row>
    <x:row r="105" ht="24" customHeight="1">
      <x:c r="A105" s="68" t="str">
        <x:f>'Task Register'!A103</x:f>
        <x:v>T-303</x:v>
      </x:c>
      <x:c r="B105" s="68" t="str">
        <x:f>'Task Register'!B103</x:f>
        <x:v>S2</x:v>
      </x:c>
      <x:c r="C105" s="68" t="str">
        <x:f>'Task Register'!C103</x:f>
        <x:v>MuJoCo</x:v>
      </x:c>
      <x:c r="D105" s="68" t="str">
        <x:f>'Task Register'!D103</x:f>
        <x:v>Read MuJoCo state into existing pose/contact structures</x:v>
      </x:c>
      <x:c r="E105" s="68" t="str">
        <x:f>'Task Register'!E103</x:f>
        <x:v>T-301, T-302</x:v>
      </x:c>
      <x:c r="F105" s="68" t="str">
        <x:f>'Task Register'!F103</x:f>
        <x:v>Done</x:v>
      </x:c>
      <x:c r="G105" s="94" t="n">
        <x:f>'Task Register'!I103</x:f>
        <x:v>46281</x:v>
      </x:c>
      <x:c r="H105" s="94" t="n">
        <x:f>'Task Register'!J103</x:f>
        <x:v>46281</x:v>
      </x:c>
      <x:c r="I105" s="166" t="str">
        <x:f>IF(AND(I$6&lt;=$H105,I$6+6&gt;=$G105),1,"")</x:f>
      </x:c>
      <x:c r="J105" s="167" t="str">
        <x:f>IF(AND(J$6&lt;=$H105,J$6+6&gt;=$G105),1,"")</x:f>
      </x:c>
      <x:c r="K105" s="167" t="str">
        <x:f>IF(AND(K$6&lt;=$H105,K$6+6&gt;=$G105),1,"")</x:f>
      </x:c>
      <x:c r="L105" s="167" t="str">
        <x:f>IF(AND(L$6&lt;=$H105,L$6+6&gt;=$G105),1,"")</x:f>
      </x:c>
      <x:c r="M105" s="167" t="str">
        <x:f>IF(AND(M$6&lt;=$H105,M$6+6&gt;=$G105),1,"")</x:f>
      </x:c>
      <x:c r="N105" s="167" t="str">
        <x:f>IF(AND(N$6&lt;=$H105,N$6+6&gt;=$G105),1,"")</x:f>
      </x:c>
      <x:c r="O105" s="167" t="n">
        <x:f>IF(AND(O$6&lt;=$H105,O$6+6&gt;=$G105),1,"")</x:f>
        <x:v>1</x:v>
      </x:c>
      <x:c r="P105" s="167" t="str">
        <x:f>IF(AND(P$6&lt;=$H105,P$6+6&gt;=$G105),1,"")</x:f>
      </x:c>
      <x:c r="Q105" s="167" t="str">
        <x:f>IF(AND(Q$6&lt;=$H105,Q$6+6&gt;=$G105),1,"")</x:f>
      </x:c>
      <x:c r="R105" s="167" t="str">
        <x:f>IF(AND(R$6&lt;=$H105,R$6+6&gt;=$G105),1,"")</x:f>
      </x:c>
      <x:c r="S105" s="167" t="str">
        <x:f>IF(AND(S$6&lt;=$H105,S$6+6&gt;=$G105),1,"")</x:f>
      </x:c>
      <x:c r="T105" s="167" t="str">
        <x:f>IF(AND(T$6&lt;=$H105,T$6+6&gt;=$G105),1,"")</x:f>
      </x:c>
      <x:c r="U105" s="167" t="str">
        <x:f>IF(AND(U$6&lt;=$H105,U$6+6&gt;=$G105),1,"")</x:f>
      </x:c>
      <x:c r="V105" s="167" t="str">
        <x:f>IF(AND(V$6&lt;=$H105,V$6+6&gt;=$G105),1,"")</x:f>
      </x:c>
      <x:c r="W105" s="167" t="str">
        <x:f>IF(AND(W$6&lt;=$H105,W$6+6&gt;=$G105),1,"")</x:f>
      </x:c>
      <x:c r="X105" s="167" t="str">
        <x:f>IF(AND(X$6&lt;=$H105,X$6+6&gt;=$G105),1,"")</x:f>
      </x:c>
      <x:c r="Y105" s="167" t="str">
        <x:f>IF(AND(Y$6&lt;=$H105,Y$6+6&gt;=$G105),1,"")</x:f>
      </x:c>
      <x:c r="Z105" s="167" t="str">
        <x:f>IF(AND(Z$6&lt;=$H105,Z$6+6&gt;=$G105),1,"")</x:f>
      </x:c>
      <x:c r="AA105" s="167" t="str">
        <x:f>IF(AND(AA$6&lt;=$H105,AA$6+6&gt;=$G105),1,"")</x:f>
      </x:c>
      <x:c r="AB105" s="167" t="str">
        <x:f>IF(AND(AB$6&lt;=$H105,AB$6+6&gt;=$G105),1,"")</x:f>
      </x:c>
      <x:c r="AC105" s="167" t="str">
        <x:f>IF(AND(AC$6&lt;=$H105,AC$6+6&gt;=$G105),1,"")</x:f>
      </x:c>
      <x:c r="AD105" s="167" t="str">
        <x:f>IF(AND(AD$6&lt;=$H105,AD$6+6&gt;=$G105),1,"")</x:f>
      </x:c>
      <x:c r="AE105" s="167" t="str">
        <x:f>IF(AND(AE$6&lt;=$H105,AE$6+6&gt;=$G105),1,"")</x:f>
      </x:c>
      <x:c r="AF105" s="167" t="str">
        <x:f>IF(AND(AF$6&lt;=$H105,AF$6+6&gt;=$G105),1,"")</x:f>
      </x:c>
      <x:c r="AG105" s="167" t="str">
        <x:f>IF(AND(AG$6&lt;=$H105,AG$6+6&gt;=$G105),1,"")</x:f>
      </x:c>
      <x:c r="AH105" s="167" t="str">
        <x:f>IF(AND(AH$6&lt;=$H105,AH$6+6&gt;=$G105),1,"")</x:f>
      </x:c>
      <x:c r="AI105" s="167" t="str">
        <x:f>IF(AND(AI$6&lt;=$H105,AI$6+6&gt;=$G105),1,"")</x:f>
      </x:c>
      <x:c r="AJ105" s="167" t="str">
        <x:f>IF(AND(AJ$6&lt;=$H105,AJ$6+6&gt;=$G105),1,"")</x:f>
      </x:c>
      <x:c r="AK105" s="167" t="str">
        <x:f>IF(AND(AK$6&lt;=$H105,AK$6+6&gt;=$G105),1,"")</x:f>
      </x:c>
      <x:c r="AL105" s="167" t="str">
        <x:f>IF(AND(AL$6&lt;=$H105,AL$6+6&gt;=$G105),1,"")</x:f>
      </x:c>
      <x:c r="AM105" s="167" t="str">
        <x:f>IF(AND(AM$6&lt;=$H105,AM$6+6&gt;=$G105),1,"")</x:f>
      </x:c>
      <x:c r="AN105" s="167" t="str">
        <x:f>IF(AND(AN$6&lt;=$H105,AN$6+6&gt;=$G105),1,"")</x:f>
      </x:c>
      <x:c r="AO105" s="167" t="str">
        <x:f>IF(AND(AO$6&lt;=$H105,AO$6+6&gt;=$G105),1,"")</x:f>
      </x:c>
      <x:c r="AP105" s="167" t="str">
        <x:f>IF(AND(AP$6&lt;=$H105,AP$6+6&gt;=$G105),1,"")</x:f>
      </x:c>
      <x:c r="AQ105" s="167" t="str">
        <x:f>IF(AND(AQ$6&lt;=$H105,AQ$6+6&gt;=$G105),1,"")</x:f>
      </x:c>
      <x:c r="AR105" s="167" t="str">
        <x:f>IF(AND(AR$6&lt;=$H105,AR$6+6&gt;=$G105),1,"")</x:f>
      </x:c>
      <x:c r="AS105" s="167" t="str">
        <x:f>IF(AND(AS$6&lt;=$H105,AS$6+6&gt;=$G105),1,"")</x:f>
      </x:c>
      <x:c r="AT105" s="167" t="str">
        <x:f>IF(AND(AT$6&lt;=$H105,AT$6+6&gt;=$G105),1,"")</x:f>
      </x:c>
      <x:c r="AU105" s="167" t="str">
        <x:f>IF(AND(AU$6&lt;=$H105,AU$6+6&gt;=$G105),1,"")</x:f>
      </x:c>
      <x:c r="AV105" s="167" t="str">
        <x:f>IF(AND(AV$6&lt;=$H105,AV$6+6&gt;=$G105),1,"")</x:f>
      </x:c>
      <x:c r="AW105" s="167" t="str">
        <x:f>IF(AND(AW$6&lt;=$H105,AW$6+6&gt;=$G105),1,"")</x:f>
      </x:c>
      <x:c r="AX105" s="167" t="str">
        <x:f>IF(AND(AX$6&lt;=$H105,AX$6+6&gt;=$G105),1,"")</x:f>
      </x:c>
      <x:c r="AY105" s="167" t="str">
        <x:f>IF(AND(AY$6&lt;=$H105,AY$6+6&gt;=$G105),1,"")</x:f>
      </x:c>
      <x:c r="AZ105" s="167" t="str">
        <x:f>IF(AND(AZ$6&lt;=$H105,AZ$6+6&gt;=$G105),1,"")</x:f>
      </x:c>
      <x:c r="BA105" s="167" t="str">
        <x:f>IF(AND(BA$6&lt;=$H105,BA$6+6&gt;=$G105),1,"")</x:f>
      </x:c>
      <x:c r="BB105" s="167" t="str">
        <x:f>IF(AND(BB$6&lt;=$H105,BB$6+6&gt;=$G105),1,"")</x:f>
      </x:c>
      <x:c r="BC105" s="167" t="str">
        <x:f>IF(AND(BC$6&lt;=$H105,BC$6+6&gt;=$G105),1,"")</x:f>
      </x:c>
      <x:c r="BD105" s="167" t="str">
        <x:f>IF(AND(BD$6&lt;=$H105,BD$6+6&gt;=$G105),1,"")</x:f>
      </x:c>
      <x:c r="BE105" s="167" t="str">
        <x:f>IF(AND(BE$6&lt;=$H105,BE$6+6&gt;=$G105),1,"")</x:f>
      </x:c>
      <x:c r="BF105" s="167" t="str">
        <x:f>IF(AND(BF$6&lt;=$H105,BF$6+6&gt;=$G105),1,"")</x:f>
      </x:c>
      <x:c r="BG105" s="167" t="str">
        <x:f>IF(AND(BG$6&lt;=$H105,BG$6+6&gt;=$G105),1,"")</x:f>
      </x:c>
      <x:c r="BH105" s="167" t="str">
        <x:f>IF(AND(BH$6&lt;=$H105,BH$6+6&gt;=$G105),1,"")</x:f>
      </x:c>
      <x:c r="BI105" s="167" t="str">
        <x:f>IF(AND(BI$6&lt;=$H105,BI$6+6&gt;=$G105),1,"")</x:f>
      </x:c>
      <x:c r="BJ105" s="167" t="str">
        <x:f>IF(AND(BJ$6&lt;=$H105,BJ$6+6&gt;=$G105),1,"")</x:f>
      </x:c>
      <x:c r="BK105" s="167" t="str">
        <x:f>IF(AND(BK$6&lt;=$H105,BK$6+6&gt;=$G105),1,"")</x:f>
      </x:c>
      <x:c r="BL105" s="167" t="str">
        <x:f>IF(AND(BL$6&lt;=$H105,BL$6+6&gt;=$G105),1,"")</x:f>
      </x:c>
      <x:c r="BM105" s="167" t="str">
        <x:f>IF(AND(BM$6&lt;=$H105,BM$6+6&gt;=$G105),1,"")</x:f>
      </x:c>
      <x:c r="BN105" s="167" t="str">
        <x:f>IF(AND(BN$6&lt;=$H105,BN$6+6&gt;=$G105),1,"")</x:f>
      </x:c>
      <x:c r="BO105" s="168" t="str">
        <x:f>IF(AND(BO$6&lt;=$H105,BO$6+6&gt;=$G105),1,"")</x:f>
      </x:c>
    </x:row>
    <x:row r="106" ht="24" customHeight="1">
      <x:c r="A106" s="68" t="str">
        <x:f>'Task Register'!A104</x:f>
        <x:v>T-304</x:v>
      </x:c>
      <x:c r="B106" s="68" t="str">
        <x:f>'Task Register'!B104</x:f>
        <x:v>S2</x:v>
      </x:c>
      <x:c r="C106" s="68" t="str">
        <x:f>'Task Register'!C104</x:f>
        <x:v>Painting Model</x:v>
      </x:c>
      <x:c r="D106" s="68" t="str">
        <x:f>'Task Register'!D104</x:f>
        <x:v>Reuse VerticalCanvas for MuJoCo-driven paint</x:v>
      </x:c>
      <x:c r="E106" s="68" t="str">
        <x:f>'Task Register'!E104</x:f>
        <x:v>T-303</x:v>
      </x:c>
      <x:c r="F106" s="68" t="str">
        <x:f>'Task Register'!F104</x:f>
        <x:v>Done</x:v>
      </x:c>
      <x:c r="G106" s="94" t="n">
        <x:f>'Task Register'!I104</x:f>
        <x:v>46282</x:v>
      </x:c>
      <x:c r="H106" s="94" t="n">
        <x:f>'Task Register'!J104</x:f>
        <x:v>46282</x:v>
      </x:c>
      <x:c r="I106" s="166" t="str">
        <x:f>IF(AND(I$6&lt;=$H106,I$6+6&gt;=$G106),1,"")</x:f>
      </x:c>
      <x:c r="J106" s="167" t="str">
        <x:f>IF(AND(J$6&lt;=$H106,J$6+6&gt;=$G106),1,"")</x:f>
      </x:c>
      <x:c r="K106" s="167" t="str">
        <x:f>IF(AND(K$6&lt;=$H106,K$6+6&gt;=$G106),1,"")</x:f>
      </x:c>
      <x:c r="L106" s="167" t="str">
        <x:f>IF(AND(L$6&lt;=$H106,L$6+6&gt;=$G106),1,"")</x:f>
      </x:c>
      <x:c r="M106" s="167" t="str">
        <x:f>IF(AND(M$6&lt;=$H106,M$6+6&gt;=$G106),1,"")</x:f>
      </x:c>
      <x:c r="N106" s="167" t="str">
        <x:f>IF(AND(N$6&lt;=$H106,N$6+6&gt;=$G106),1,"")</x:f>
      </x:c>
      <x:c r="O106" s="167" t="n">
        <x:f>IF(AND(O$6&lt;=$H106,O$6+6&gt;=$G106),1,"")</x:f>
        <x:v>1</x:v>
      </x:c>
      <x:c r="P106" s="167" t="str">
        <x:f>IF(AND(P$6&lt;=$H106,P$6+6&gt;=$G106),1,"")</x:f>
      </x:c>
      <x:c r="Q106" s="167" t="str">
        <x:f>IF(AND(Q$6&lt;=$H106,Q$6+6&gt;=$G106),1,"")</x:f>
      </x:c>
      <x:c r="R106" s="167" t="str">
        <x:f>IF(AND(R$6&lt;=$H106,R$6+6&gt;=$G106),1,"")</x:f>
      </x:c>
      <x:c r="S106" s="167" t="str">
        <x:f>IF(AND(S$6&lt;=$H106,S$6+6&gt;=$G106),1,"")</x:f>
      </x:c>
      <x:c r="T106" s="167" t="str">
        <x:f>IF(AND(T$6&lt;=$H106,T$6+6&gt;=$G106),1,"")</x:f>
      </x:c>
      <x:c r="U106" s="167" t="str">
        <x:f>IF(AND(U$6&lt;=$H106,U$6+6&gt;=$G106),1,"")</x:f>
      </x:c>
      <x:c r="V106" s="167" t="str">
        <x:f>IF(AND(V$6&lt;=$H106,V$6+6&gt;=$G106),1,"")</x:f>
      </x:c>
      <x:c r="W106" s="167" t="str">
        <x:f>IF(AND(W$6&lt;=$H106,W$6+6&gt;=$G106),1,"")</x:f>
      </x:c>
      <x:c r="X106" s="167" t="str">
        <x:f>IF(AND(X$6&lt;=$H106,X$6+6&gt;=$G106),1,"")</x:f>
      </x:c>
      <x:c r="Y106" s="167" t="str">
        <x:f>IF(AND(Y$6&lt;=$H106,Y$6+6&gt;=$G106),1,"")</x:f>
      </x:c>
      <x:c r="Z106" s="167" t="str">
        <x:f>IF(AND(Z$6&lt;=$H106,Z$6+6&gt;=$G106),1,"")</x:f>
      </x:c>
      <x:c r="AA106" s="167" t="str">
        <x:f>IF(AND(AA$6&lt;=$H106,AA$6+6&gt;=$G106),1,"")</x:f>
      </x:c>
      <x:c r="AB106" s="167" t="str">
        <x:f>IF(AND(AB$6&lt;=$H106,AB$6+6&gt;=$G106),1,"")</x:f>
      </x:c>
      <x:c r="AC106" s="167" t="str">
        <x:f>IF(AND(AC$6&lt;=$H106,AC$6+6&gt;=$G106),1,"")</x:f>
      </x:c>
      <x:c r="AD106" s="167" t="str">
        <x:f>IF(AND(AD$6&lt;=$H106,AD$6+6&gt;=$G106),1,"")</x:f>
      </x:c>
      <x:c r="AE106" s="167" t="str">
        <x:f>IF(AND(AE$6&lt;=$H106,AE$6+6&gt;=$G106),1,"")</x:f>
      </x:c>
      <x:c r="AF106" s="167" t="str">
        <x:f>IF(AND(AF$6&lt;=$H106,AF$6+6&gt;=$G106),1,"")</x:f>
      </x:c>
      <x:c r="AG106" s="167" t="str">
        <x:f>IF(AND(AG$6&lt;=$H106,AG$6+6&gt;=$G106),1,"")</x:f>
      </x:c>
      <x:c r="AH106" s="167" t="str">
        <x:f>IF(AND(AH$6&lt;=$H106,AH$6+6&gt;=$G106),1,"")</x:f>
      </x:c>
      <x:c r="AI106" s="167" t="str">
        <x:f>IF(AND(AI$6&lt;=$H106,AI$6+6&gt;=$G106),1,"")</x:f>
      </x:c>
      <x:c r="AJ106" s="167" t="str">
        <x:f>IF(AND(AJ$6&lt;=$H106,AJ$6+6&gt;=$G106),1,"")</x:f>
      </x:c>
      <x:c r="AK106" s="167" t="str">
        <x:f>IF(AND(AK$6&lt;=$H106,AK$6+6&gt;=$G106),1,"")</x:f>
      </x:c>
      <x:c r="AL106" s="167" t="str">
        <x:f>IF(AND(AL$6&lt;=$H106,AL$6+6&gt;=$G106),1,"")</x:f>
      </x:c>
      <x:c r="AM106" s="167" t="str">
        <x:f>IF(AND(AM$6&lt;=$H106,AM$6+6&gt;=$G106),1,"")</x:f>
      </x:c>
      <x:c r="AN106" s="167" t="str">
        <x:f>IF(AND(AN$6&lt;=$H106,AN$6+6&gt;=$G106),1,"")</x:f>
      </x:c>
      <x:c r="AO106" s="167" t="str">
        <x:f>IF(AND(AO$6&lt;=$H106,AO$6+6&gt;=$G106),1,"")</x:f>
      </x:c>
      <x:c r="AP106" s="167" t="str">
        <x:f>IF(AND(AP$6&lt;=$H106,AP$6+6&gt;=$G106),1,"")</x:f>
      </x:c>
      <x:c r="AQ106" s="167" t="str">
        <x:f>IF(AND(AQ$6&lt;=$H106,AQ$6+6&gt;=$G106),1,"")</x:f>
      </x:c>
      <x:c r="AR106" s="167" t="str">
        <x:f>IF(AND(AR$6&lt;=$H106,AR$6+6&gt;=$G106),1,"")</x:f>
      </x:c>
      <x:c r="AS106" s="167" t="str">
        <x:f>IF(AND(AS$6&lt;=$H106,AS$6+6&gt;=$G106),1,"")</x:f>
      </x:c>
      <x:c r="AT106" s="167" t="str">
        <x:f>IF(AND(AT$6&lt;=$H106,AT$6+6&gt;=$G106),1,"")</x:f>
      </x:c>
      <x:c r="AU106" s="167" t="str">
        <x:f>IF(AND(AU$6&lt;=$H106,AU$6+6&gt;=$G106),1,"")</x:f>
      </x:c>
      <x:c r="AV106" s="167" t="str">
        <x:f>IF(AND(AV$6&lt;=$H106,AV$6+6&gt;=$G106),1,"")</x:f>
      </x:c>
      <x:c r="AW106" s="167" t="str">
        <x:f>IF(AND(AW$6&lt;=$H106,AW$6+6&gt;=$G106),1,"")</x:f>
      </x:c>
      <x:c r="AX106" s="167" t="str">
        <x:f>IF(AND(AX$6&lt;=$H106,AX$6+6&gt;=$G106),1,"")</x:f>
      </x:c>
      <x:c r="AY106" s="167" t="str">
        <x:f>IF(AND(AY$6&lt;=$H106,AY$6+6&gt;=$G106),1,"")</x:f>
      </x:c>
      <x:c r="AZ106" s="167" t="str">
        <x:f>IF(AND(AZ$6&lt;=$H106,AZ$6+6&gt;=$G106),1,"")</x:f>
      </x:c>
      <x:c r="BA106" s="167" t="str">
        <x:f>IF(AND(BA$6&lt;=$H106,BA$6+6&gt;=$G106),1,"")</x:f>
      </x:c>
      <x:c r="BB106" s="167" t="str">
        <x:f>IF(AND(BB$6&lt;=$H106,BB$6+6&gt;=$G106),1,"")</x:f>
      </x:c>
      <x:c r="BC106" s="167" t="str">
        <x:f>IF(AND(BC$6&lt;=$H106,BC$6+6&gt;=$G106),1,"")</x:f>
      </x:c>
      <x:c r="BD106" s="167" t="str">
        <x:f>IF(AND(BD$6&lt;=$H106,BD$6+6&gt;=$G106),1,"")</x:f>
      </x:c>
      <x:c r="BE106" s="167" t="str">
        <x:f>IF(AND(BE$6&lt;=$H106,BE$6+6&gt;=$G106),1,"")</x:f>
      </x:c>
      <x:c r="BF106" s="167" t="str">
        <x:f>IF(AND(BF$6&lt;=$H106,BF$6+6&gt;=$G106),1,"")</x:f>
      </x:c>
      <x:c r="BG106" s="167" t="str">
        <x:f>IF(AND(BG$6&lt;=$H106,BG$6+6&gt;=$G106),1,"")</x:f>
      </x:c>
      <x:c r="BH106" s="167" t="str">
        <x:f>IF(AND(BH$6&lt;=$H106,BH$6+6&gt;=$G106),1,"")</x:f>
      </x:c>
      <x:c r="BI106" s="167" t="str">
        <x:f>IF(AND(BI$6&lt;=$H106,BI$6+6&gt;=$G106),1,"")</x:f>
      </x:c>
      <x:c r="BJ106" s="167" t="str">
        <x:f>IF(AND(BJ$6&lt;=$H106,BJ$6+6&gt;=$G106),1,"")</x:f>
      </x:c>
      <x:c r="BK106" s="167" t="str">
        <x:f>IF(AND(BK$6&lt;=$H106,BK$6+6&gt;=$G106),1,"")</x:f>
      </x:c>
      <x:c r="BL106" s="167" t="str">
        <x:f>IF(AND(BL$6&lt;=$H106,BL$6+6&gt;=$G106),1,"")</x:f>
      </x:c>
      <x:c r="BM106" s="167" t="str">
        <x:f>IF(AND(BM$6&lt;=$H106,BM$6+6&gt;=$G106),1,"")</x:f>
      </x:c>
      <x:c r="BN106" s="167" t="str">
        <x:f>IF(AND(BN$6&lt;=$H106,BN$6+6&gt;=$G106),1,"")</x:f>
      </x:c>
      <x:c r="BO106" s="168" t="str">
        <x:f>IF(AND(BO$6&lt;=$H106,BO$6+6&gt;=$G106),1,"")</x:f>
      </x:c>
    </x:row>
    <x:row r="107" ht="24" customHeight="1">
      <x:c r="A107" s="68" t="str">
        <x:f>'Task Register'!A105</x:f>
        <x:v>T-305</x:v>
      </x:c>
      <x:c r="B107" s="68" t="str">
        <x:f>'Task Register'!B105</x:f>
        <x:v>S2</x:v>
      </x:c>
      <x:c r="C107" s="68" t="str">
        <x:f>'Task Register'!C105</x:f>
        <x:v>Validation</x:v>
      </x:c>
      <x:c r="D107" s="68" t="str">
        <x:f>'Task Register'!D105</x:f>
        <x:v>Add scripted-stroke smoke tests</x:v>
      </x:c>
      <x:c r="E107" s="68" t="str">
        <x:f>'Task Register'!E105</x:f>
        <x:v>T-302, T-303, T-304</x:v>
      </x:c>
      <x:c r="F107" s="68" t="str">
        <x:f>'Task Register'!F105</x:f>
        <x:v>Done</x:v>
      </x:c>
      <x:c r="G107" s="94" t="n">
        <x:f>'Task Register'!I105</x:f>
        <x:v>46283</x:v>
      </x:c>
      <x:c r="H107" s="94" t="n">
        <x:f>'Task Register'!J105</x:f>
        <x:v>46283</x:v>
      </x:c>
      <x:c r="I107" s="166" t="str">
        <x:f>IF(AND(I$6&lt;=$H107,I$6+6&gt;=$G107),1,"")</x:f>
      </x:c>
      <x:c r="J107" s="167" t="str">
        <x:f>IF(AND(J$6&lt;=$H107,J$6+6&gt;=$G107),1,"")</x:f>
      </x:c>
      <x:c r="K107" s="167" t="str">
        <x:f>IF(AND(K$6&lt;=$H107,K$6+6&gt;=$G107),1,"")</x:f>
      </x:c>
      <x:c r="L107" s="167" t="str">
        <x:f>IF(AND(L$6&lt;=$H107,L$6+6&gt;=$G107),1,"")</x:f>
      </x:c>
      <x:c r="M107" s="167" t="str">
        <x:f>IF(AND(M$6&lt;=$H107,M$6+6&gt;=$G107),1,"")</x:f>
      </x:c>
      <x:c r="N107" s="167" t="str">
        <x:f>IF(AND(N$6&lt;=$H107,N$6+6&gt;=$G107),1,"")</x:f>
      </x:c>
      <x:c r="O107" s="167" t="n">
        <x:f>IF(AND(O$6&lt;=$H107,O$6+6&gt;=$G107),1,"")</x:f>
        <x:v>1</x:v>
      </x:c>
      <x:c r="P107" s="167" t="str">
        <x:f>IF(AND(P$6&lt;=$H107,P$6+6&gt;=$G107),1,"")</x:f>
      </x:c>
      <x:c r="Q107" s="167" t="str">
        <x:f>IF(AND(Q$6&lt;=$H107,Q$6+6&gt;=$G107),1,"")</x:f>
      </x:c>
      <x:c r="R107" s="167" t="str">
        <x:f>IF(AND(R$6&lt;=$H107,R$6+6&gt;=$G107),1,"")</x:f>
      </x:c>
      <x:c r="S107" s="167" t="str">
        <x:f>IF(AND(S$6&lt;=$H107,S$6+6&gt;=$G107),1,"")</x:f>
      </x:c>
      <x:c r="T107" s="167" t="str">
        <x:f>IF(AND(T$6&lt;=$H107,T$6+6&gt;=$G107),1,"")</x:f>
      </x:c>
      <x:c r="U107" s="167" t="str">
        <x:f>IF(AND(U$6&lt;=$H107,U$6+6&gt;=$G107),1,"")</x:f>
      </x:c>
      <x:c r="V107" s="167" t="str">
        <x:f>IF(AND(V$6&lt;=$H107,V$6+6&gt;=$G107),1,"")</x:f>
      </x:c>
      <x:c r="W107" s="167" t="str">
        <x:f>IF(AND(W$6&lt;=$H107,W$6+6&gt;=$G107),1,"")</x:f>
      </x:c>
      <x:c r="X107" s="167" t="str">
        <x:f>IF(AND(X$6&lt;=$H107,X$6+6&gt;=$G107),1,"")</x:f>
      </x:c>
      <x:c r="Y107" s="167" t="str">
        <x:f>IF(AND(Y$6&lt;=$H107,Y$6+6&gt;=$G107),1,"")</x:f>
      </x:c>
      <x:c r="Z107" s="167" t="str">
        <x:f>IF(AND(Z$6&lt;=$H107,Z$6+6&gt;=$G107),1,"")</x:f>
      </x:c>
      <x:c r="AA107" s="167" t="str">
        <x:f>IF(AND(AA$6&lt;=$H107,AA$6+6&gt;=$G107),1,"")</x:f>
      </x:c>
      <x:c r="AB107" s="167" t="str">
        <x:f>IF(AND(AB$6&lt;=$H107,AB$6+6&gt;=$G107),1,"")</x:f>
      </x:c>
      <x:c r="AC107" s="167" t="str">
        <x:f>IF(AND(AC$6&lt;=$H107,AC$6+6&gt;=$G107),1,"")</x:f>
      </x:c>
      <x:c r="AD107" s="167" t="str">
        <x:f>IF(AND(AD$6&lt;=$H107,AD$6+6&gt;=$G107),1,"")</x:f>
      </x:c>
      <x:c r="AE107" s="167" t="str">
        <x:f>IF(AND(AE$6&lt;=$H107,AE$6+6&gt;=$G107),1,"")</x:f>
      </x:c>
      <x:c r="AF107" s="167" t="str">
        <x:f>IF(AND(AF$6&lt;=$H107,AF$6+6&gt;=$G107),1,"")</x:f>
      </x:c>
      <x:c r="AG107" s="167" t="str">
        <x:f>IF(AND(AG$6&lt;=$H107,AG$6+6&gt;=$G107),1,"")</x:f>
      </x:c>
      <x:c r="AH107" s="167" t="str">
        <x:f>IF(AND(AH$6&lt;=$H107,AH$6+6&gt;=$G107),1,"")</x:f>
      </x:c>
      <x:c r="AI107" s="167" t="str">
        <x:f>IF(AND(AI$6&lt;=$H107,AI$6+6&gt;=$G107),1,"")</x:f>
      </x:c>
      <x:c r="AJ107" s="167" t="str">
        <x:f>IF(AND(AJ$6&lt;=$H107,AJ$6+6&gt;=$G107),1,"")</x:f>
      </x:c>
      <x:c r="AK107" s="167" t="str">
        <x:f>IF(AND(AK$6&lt;=$H107,AK$6+6&gt;=$G107),1,"")</x:f>
      </x:c>
      <x:c r="AL107" s="167" t="str">
        <x:f>IF(AND(AL$6&lt;=$H107,AL$6+6&gt;=$G107),1,"")</x:f>
      </x:c>
      <x:c r="AM107" s="167" t="str">
        <x:f>IF(AND(AM$6&lt;=$H107,AM$6+6&gt;=$G107),1,"")</x:f>
      </x:c>
      <x:c r="AN107" s="167" t="str">
        <x:f>IF(AND(AN$6&lt;=$H107,AN$6+6&gt;=$G107),1,"")</x:f>
      </x:c>
      <x:c r="AO107" s="167" t="str">
        <x:f>IF(AND(AO$6&lt;=$H107,AO$6+6&gt;=$G107),1,"")</x:f>
      </x:c>
      <x:c r="AP107" s="167" t="str">
        <x:f>IF(AND(AP$6&lt;=$H107,AP$6+6&gt;=$G107),1,"")</x:f>
      </x:c>
      <x:c r="AQ107" s="167" t="str">
        <x:f>IF(AND(AQ$6&lt;=$H107,AQ$6+6&gt;=$G107),1,"")</x:f>
      </x:c>
      <x:c r="AR107" s="167" t="str">
        <x:f>IF(AND(AR$6&lt;=$H107,AR$6+6&gt;=$G107),1,"")</x:f>
      </x:c>
      <x:c r="AS107" s="167" t="str">
        <x:f>IF(AND(AS$6&lt;=$H107,AS$6+6&gt;=$G107),1,"")</x:f>
      </x:c>
      <x:c r="AT107" s="167" t="str">
        <x:f>IF(AND(AT$6&lt;=$H107,AT$6+6&gt;=$G107),1,"")</x:f>
      </x:c>
      <x:c r="AU107" s="167" t="str">
        <x:f>IF(AND(AU$6&lt;=$H107,AU$6+6&gt;=$G107),1,"")</x:f>
      </x:c>
      <x:c r="AV107" s="167" t="str">
        <x:f>IF(AND(AV$6&lt;=$H107,AV$6+6&gt;=$G107),1,"")</x:f>
      </x:c>
      <x:c r="AW107" s="167" t="str">
        <x:f>IF(AND(AW$6&lt;=$H107,AW$6+6&gt;=$G107),1,"")</x:f>
      </x:c>
      <x:c r="AX107" s="167" t="str">
        <x:f>IF(AND(AX$6&lt;=$H107,AX$6+6&gt;=$G107),1,"")</x:f>
      </x:c>
      <x:c r="AY107" s="167" t="str">
        <x:f>IF(AND(AY$6&lt;=$H107,AY$6+6&gt;=$G107),1,"")</x:f>
      </x:c>
      <x:c r="AZ107" s="167" t="str">
        <x:f>IF(AND(AZ$6&lt;=$H107,AZ$6+6&gt;=$G107),1,"")</x:f>
      </x:c>
      <x:c r="BA107" s="167" t="str">
        <x:f>IF(AND(BA$6&lt;=$H107,BA$6+6&gt;=$G107),1,"")</x:f>
      </x:c>
      <x:c r="BB107" s="167" t="str">
        <x:f>IF(AND(BB$6&lt;=$H107,BB$6+6&gt;=$G107),1,"")</x:f>
      </x:c>
      <x:c r="BC107" s="167" t="str">
        <x:f>IF(AND(BC$6&lt;=$H107,BC$6+6&gt;=$G107),1,"")</x:f>
      </x:c>
      <x:c r="BD107" s="167" t="str">
        <x:f>IF(AND(BD$6&lt;=$H107,BD$6+6&gt;=$G107),1,"")</x:f>
      </x:c>
      <x:c r="BE107" s="167" t="str">
        <x:f>IF(AND(BE$6&lt;=$H107,BE$6+6&gt;=$G107),1,"")</x:f>
      </x:c>
      <x:c r="BF107" s="167" t="str">
        <x:f>IF(AND(BF$6&lt;=$H107,BF$6+6&gt;=$G107),1,"")</x:f>
      </x:c>
      <x:c r="BG107" s="167" t="str">
        <x:f>IF(AND(BG$6&lt;=$H107,BG$6+6&gt;=$G107),1,"")</x:f>
      </x:c>
      <x:c r="BH107" s="167" t="str">
        <x:f>IF(AND(BH$6&lt;=$H107,BH$6+6&gt;=$G107),1,"")</x:f>
      </x:c>
      <x:c r="BI107" s="167" t="str">
        <x:f>IF(AND(BI$6&lt;=$H107,BI$6+6&gt;=$G107),1,"")</x:f>
      </x:c>
      <x:c r="BJ107" s="167" t="str">
        <x:f>IF(AND(BJ$6&lt;=$H107,BJ$6+6&gt;=$G107),1,"")</x:f>
      </x:c>
      <x:c r="BK107" s="167" t="str">
        <x:f>IF(AND(BK$6&lt;=$H107,BK$6+6&gt;=$G107),1,"")</x:f>
      </x:c>
      <x:c r="BL107" s="167" t="str">
        <x:f>IF(AND(BL$6&lt;=$H107,BL$6+6&gt;=$G107),1,"")</x:f>
      </x:c>
      <x:c r="BM107" s="167" t="str">
        <x:f>IF(AND(BM$6&lt;=$H107,BM$6+6&gt;=$G107),1,"")</x:f>
      </x:c>
      <x:c r="BN107" s="167" t="str">
        <x:f>IF(AND(BN$6&lt;=$H107,BN$6+6&gt;=$G107),1,"")</x:f>
      </x:c>
      <x:c r="BO107" s="168" t="str">
        <x:f>IF(AND(BO$6&lt;=$H107,BO$6+6&gt;=$G107),1,"")</x:f>
      </x:c>
    </x:row>
    <x:row r="108" ht="24" customHeight="1">
      <x:c r="A108" s="68" t="str">
        <x:f>'Task Register'!A106</x:f>
        <x:v>T-306</x:v>
      </x:c>
      <x:c r="B108" s="68" t="str">
        <x:f>'Task Register'!B106</x:f>
        <x:v>S2</x:v>
      </x:c>
      <x:c r="C108" s="68" t="str">
        <x:f>'Task Register'!C106</x:f>
        <x:v>Web/Runtime</x:v>
      </x:c>
      <x:c r="D108" s="68" t="str">
        <x:f>'Task Register'!D106</x:f>
        <x:v>Add backend selection to web runtime</x:v>
      </x:c>
      <x:c r="E108" s="68" t="str">
        <x:f>'Task Register'!E106</x:f>
        <x:v>T-301, T-304</x:v>
      </x:c>
      <x:c r="F108" s="68" t="str">
        <x:f>'Task Register'!F106</x:f>
        <x:v>Done</x:v>
      </x:c>
      <x:c r="G108" s="94" t="n">
        <x:f>'Task Register'!I106</x:f>
        <x:v>46286</x:v>
      </x:c>
      <x:c r="H108" s="94" t="n">
        <x:f>'Task Register'!J106</x:f>
        <x:v>46286</x:v>
      </x:c>
      <x:c r="I108" s="166" t="str">
        <x:f>IF(AND(I$6&lt;=$H108,I$6+6&gt;=$G108),1,"")</x:f>
      </x:c>
      <x:c r="J108" s="167" t="str">
        <x:f>IF(AND(J$6&lt;=$H108,J$6+6&gt;=$G108),1,"")</x:f>
      </x:c>
      <x:c r="K108" s="167" t="str">
        <x:f>IF(AND(K$6&lt;=$H108,K$6+6&gt;=$G108),1,"")</x:f>
      </x:c>
      <x:c r="L108" s="167" t="str">
        <x:f>IF(AND(L$6&lt;=$H108,L$6+6&gt;=$G108),1,"")</x:f>
      </x:c>
      <x:c r="M108" s="167" t="str">
        <x:f>IF(AND(M$6&lt;=$H108,M$6+6&gt;=$G108),1,"")</x:f>
      </x:c>
      <x:c r="N108" s="167" t="str">
        <x:f>IF(AND(N$6&lt;=$H108,N$6+6&gt;=$G108),1,"")</x:f>
      </x:c>
      <x:c r="O108" s="167" t="str">
        <x:f>IF(AND(O$6&lt;=$H108,O$6+6&gt;=$G108),1,"")</x:f>
      </x:c>
      <x:c r="P108" s="167" t="n">
        <x:f>IF(AND(P$6&lt;=$H108,P$6+6&gt;=$G108),1,"")</x:f>
        <x:v>1</x:v>
      </x:c>
      <x:c r="Q108" s="167" t="str">
        <x:f>IF(AND(Q$6&lt;=$H108,Q$6+6&gt;=$G108),1,"")</x:f>
      </x:c>
      <x:c r="R108" s="167" t="str">
        <x:f>IF(AND(R$6&lt;=$H108,R$6+6&gt;=$G108),1,"")</x:f>
      </x:c>
      <x:c r="S108" s="167" t="str">
        <x:f>IF(AND(S$6&lt;=$H108,S$6+6&gt;=$G108),1,"")</x:f>
      </x:c>
      <x:c r="T108" s="167" t="str">
        <x:f>IF(AND(T$6&lt;=$H108,T$6+6&gt;=$G108),1,"")</x:f>
      </x:c>
      <x:c r="U108" s="167" t="str">
        <x:f>IF(AND(U$6&lt;=$H108,U$6+6&gt;=$G108),1,"")</x:f>
      </x:c>
      <x:c r="V108" s="167" t="str">
        <x:f>IF(AND(V$6&lt;=$H108,V$6+6&gt;=$G108),1,"")</x:f>
      </x:c>
      <x:c r="W108" s="167" t="str">
        <x:f>IF(AND(W$6&lt;=$H108,W$6+6&gt;=$G108),1,"")</x:f>
      </x:c>
      <x:c r="X108" s="167" t="str">
        <x:f>IF(AND(X$6&lt;=$H108,X$6+6&gt;=$G108),1,"")</x:f>
      </x:c>
      <x:c r="Y108" s="167" t="str">
        <x:f>IF(AND(Y$6&lt;=$H108,Y$6+6&gt;=$G108),1,"")</x:f>
      </x:c>
      <x:c r="Z108" s="167" t="str">
        <x:f>IF(AND(Z$6&lt;=$H108,Z$6+6&gt;=$G108),1,"")</x:f>
      </x:c>
      <x:c r="AA108" s="167" t="str">
        <x:f>IF(AND(AA$6&lt;=$H108,AA$6+6&gt;=$G108),1,"")</x:f>
      </x:c>
      <x:c r="AB108" s="167" t="str">
        <x:f>IF(AND(AB$6&lt;=$H108,AB$6+6&gt;=$G108),1,"")</x:f>
      </x:c>
      <x:c r="AC108" s="167" t="str">
        <x:f>IF(AND(AC$6&lt;=$H108,AC$6+6&gt;=$G108),1,"")</x:f>
      </x:c>
      <x:c r="AD108" s="167" t="str">
        <x:f>IF(AND(AD$6&lt;=$H108,AD$6+6&gt;=$G108),1,"")</x:f>
      </x:c>
      <x:c r="AE108" s="167" t="str">
        <x:f>IF(AND(AE$6&lt;=$H108,AE$6+6&gt;=$G108),1,"")</x:f>
      </x:c>
      <x:c r="AF108" s="167" t="str">
        <x:f>IF(AND(AF$6&lt;=$H108,AF$6+6&gt;=$G108),1,"")</x:f>
      </x:c>
      <x:c r="AG108" s="167" t="str">
        <x:f>IF(AND(AG$6&lt;=$H108,AG$6+6&gt;=$G108),1,"")</x:f>
      </x:c>
      <x:c r="AH108" s="167" t="str">
        <x:f>IF(AND(AH$6&lt;=$H108,AH$6+6&gt;=$G108),1,"")</x:f>
      </x:c>
      <x:c r="AI108" s="167" t="str">
        <x:f>IF(AND(AI$6&lt;=$H108,AI$6+6&gt;=$G108),1,"")</x:f>
      </x:c>
      <x:c r="AJ108" s="167" t="str">
        <x:f>IF(AND(AJ$6&lt;=$H108,AJ$6+6&gt;=$G108),1,"")</x:f>
      </x:c>
      <x:c r="AK108" s="167" t="str">
        <x:f>IF(AND(AK$6&lt;=$H108,AK$6+6&gt;=$G108),1,"")</x:f>
      </x:c>
      <x:c r="AL108" s="167" t="str">
        <x:f>IF(AND(AL$6&lt;=$H108,AL$6+6&gt;=$G108),1,"")</x:f>
      </x:c>
      <x:c r="AM108" s="167" t="str">
        <x:f>IF(AND(AM$6&lt;=$H108,AM$6+6&gt;=$G108),1,"")</x:f>
      </x:c>
      <x:c r="AN108" s="167" t="str">
        <x:f>IF(AND(AN$6&lt;=$H108,AN$6+6&gt;=$G108),1,"")</x:f>
      </x:c>
      <x:c r="AO108" s="167" t="str">
        <x:f>IF(AND(AO$6&lt;=$H108,AO$6+6&gt;=$G108),1,"")</x:f>
      </x:c>
      <x:c r="AP108" s="167" t="str">
        <x:f>IF(AND(AP$6&lt;=$H108,AP$6+6&gt;=$G108),1,"")</x:f>
      </x:c>
      <x:c r="AQ108" s="167" t="str">
        <x:f>IF(AND(AQ$6&lt;=$H108,AQ$6+6&gt;=$G108),1,"")</x:f>
      </x:c>
      <x:c r="AR108" s="167" t="str">
        <x:f>IF(AND(AR$6&lt;=$H108,AR$6+6&gt;=$G108),1,"")</x:f>
      </x:c>
      <x:c r="AS108" s="167" t="str">
        <x:f>IF(AND(AS$6&lt;=$H108,AS$6+6&gt;=$G108),1,"")</x:f>
      </x:c>
      <x:c r="AT108" s="167" t="str">
        <x:f>IF(AND(AT$6&lt;=$H108,AT$6+6&gt;=$G108),1,"")</x:f>
      </x:c>
      <x:c r="AU108" s="167" t="str">
        <x:f>IF(AND(AU$6&lt;=$H108,AU$6+6&gt;=$G108),1,"")</x:f>
      </x:c>
      <x:c r="AV108" s="167" t="str">
        <x:f>IF(AND(AV$6&lt;=$H108,AV$6+6&gt;=$G108),1,"")</x:f>
      </x:c>
      <x:c r="AW108" s="167" t="str">
        <x:f>IF(AND(AW$6&lt;=$H108,AW$6+6&gt;=$G108),1,"")</x:f>
      </x:c>
      <x:c r="AX108" s="167" t="str">
        <x:f>IF(AND(AX$6&lt;=$H108,AX$6+6&gt;=$G108),1,"")</x:f>
      </x:c>
      <x:c r="AY108" s="167" t="str">
        <x:f>IF(AND(AY$6&lt;=$H108,AY$6+6&gt;=$G108),1,"")</x:f>
      </x:c>
      <x:c r="AZ108" s="167" t="str">
        <x:f>IF(AND(AZ$6&lt;=$H108,AZ$6+6&gt;=$G108),1,"")</x:f>
      </x:c>
      <x:c r="BA108" s="167" t="str">
        <x:f>IF(AND(BA$6&lt;=$H108,BA$6+6&gt;=$G108),1,"")</x:f>
      </x:c>
      <x:c r="BB108" s="167" t="str">
        <x:f>IF(AND(BB$6&lt;=$H108,BB$6+6&gt;=$G108),1,"")</x:f>
      </x:c>
      <x:c r="BC108" s="167" t="str">
        <x:f>IF(AND(BC$6&lt;=$H108,BC$6+6&gt;=$G108),1,"")</x:f>
      </x:c>
      <x:c r="BD108" s="167" t="str">
        <x:f>IF(AND(BD$6&lt;=$H108,BD$6+6&gt;=$G108),1,"")</x:f>
      </x:c>
      <x:c r="BE108" s="167" t="str">
        <x:f>IF(AND(BE$6&lt;=$H108,BE$6+6&gt;=$G108),1,"")</x:f>
      </x:c>
      <x:c r="BF108" s="167" t="str">
        <x:f>IF(AND(BF$6&lt;=$H108,BF$6+6&gt;=$G108),1,"")</x:f>
      </x:c>
      <x:c r="BG108" s="167" t="str">
        <x:f>IF(AND(BG$6&lt;=$H108,BG$6+6&gt;=$G108),1,"")</x:f>
      </x:c>
      <x:c r="BH108" s="167" t="str">
        <x:f>IF(AND(BH$6&lt;=$H108,BH$6+6&gt;=$G108),1,"")</x:f>
      </x:c>
      <x:c r="BI108" s="167" t="str">
        <x:f>IF(AND(BI$6&lt;=$H108,BI$6+6&gt;=$G108),1,"")</x:f>
      </x:c>
      <x:c r="BJ108" s="167" t="str">
        <x:f>IF(AND(BJ$6&lt;=$H108,BJ$6+6&gt;=$G108),1,"")</x:f>
      </x:c>
      <x:c r="BK108" s="167" t="str">
        <x:f>IF(AND(BK$6&lt;=$H108,BK$6+6&gt;=$G108),1,"")</x:f>
      </x:c>
      <x:c r="BL108" s="167" t="str">
        <x:f>IF(AND(BL$6&lt;=$H108,BL$6+6&gt;=$G108),1,"")</x:f>
      </x:c>
      <x:c r="BM108" s="167" t="str">
        <x:f>IF(AND(BM$6&lt;=$H108,BM$6+6&gt;=$G108),1,"")</x:f>
      </x:c>
      <x:c r="BN108" s="167" t="str">
        <x:f>IF(AND(BN$6&lt;=$H108,BN$6+6&gt;=$G108),1,"")</x:f>
      </x:c>
      <x:c r="BO108" s="168" t="str">
        <x:f>IF(AND(BO$6&lt;=$H108,BO$6+6&gt;=$G108),1,"")</x:f>
      </x:c>
    </x:row>
    <x:row r="109" ht="24" customHeight="1">
      <x:c r="A109" s="68" t="str">
        <x:f>'Task Register'!A107</x:f>
        <x:v>T-307</x:v>
      </x:c>
      <x:c r="B109" s="68" t="str">
        <x:f>'Task Register'!B107</x:f>
        <x:v>S2</x:v>
      </x:c>
      <x:c r="C109" s="68" t="str">
        <x:f>'Task Register'!C107</x:f>
        <x:v>Telemetry</x:v>
      </x:c>
      <x:c r="D109" s="68" t="str">
        <x:f>'Task Register'!D107</x:f>
        <x:v>Adapt telemetry for MuJoCo backend</x:v>
      </x:c>
      <x:c r="E109" s="68" t="str">
        <x:f>'Task Register'!E107</x:f>
        <x:v>T-303, T-306</x:v>
      </x:c>
      <x:c r="F109" s="68" t="str">
        <x:f>'Task Register'!F107</x:f>
        <x:v>Done</x:v>
      </x:c>
      <x:c r="G109" s="94" t="n">
        <x:f>'Task Register'!I107</x:f>
        <x:v>46287</x:v>
      </x:c>
      <x:c r="H109" s="94" t="n">
        <x:f>'Task Register'!J107</x:f>
        <x:v>46287</x:v>
      </x:c>
      <x:c r="I109" s="166" t="str">
        <x:f>IF(AND(I$6&lt;=$H109,I$6+6&gt;=$G109),1,"")</x:f>
      </x:c>
      <x:c r="J109" s="167" t="str">
        <x:f>IF(AND(J$6&lt;=$H109,J$6+6&gt;=$G109),1,"")</x:f>
      </x:c>
      <x:c r="K109" s="167" t="str">
        <x:f>IF(AND(K$6&lt;=$H109,K$6+6&gt;=$G109),1,"")</x:f>
      </x:c>
      <x:c r="L109" s="167" t="str">
        <x:f>IF(AND(L$6&lt;=$H109,L$6+6&gt;=$G109),1,"")</x:f>
      </x:c>
      <x:c r="M109" s="167" t="str">
        <x:f>IF(AND(M$6&lt;=$H109,M$6+6&gt;=$G109),1,"")</x:f>
      </x:c>
      <x:c r="N109" s="167" t="str">
        <x:f>IF(AND(N$6&lt;=$H109,N$6+6&gt;=$G109),1,"")</x:f>
      </x:c>
      <x:c r="O109" s="167" t="str">
        <x:f>IF(AND(O$6&lt;=$H109,O$6+6&gt;=$G109),1,"")</x:f>
      </x:c>
      <x:c r="P109" s="167" t="n">
        <x:f>IF(AND(P$6&lt;=$H109,P$6+6&gt;=$G109),1,"")</x:f>
        <x:v>1</x:v>
      </x:c>
      <x:c r="Q109" s="167" t="str">
        <x:f>IF(AND(Q$6&lt;=$H109,Q$6+6&gt;=$G109),1,"")</x:f>
      </x:c>
      <x:c r="R109" s="167" t="str">
        <x:f>IF(AND(R$6&lt;=$H109,R$6+6&gt;=$G109),1,"")</x:f>
      </x:c>
      <x:c r="S109" s="167" t="str">
        <x:f>IF(AND(S$6&lt;=$H109,S$6+6&gt;=$G109),1,"")</x:f>
      </x:c>
      <x:c r="T109" s="167" t="str">
        <x:f>IF(AND(T$6&lt;=$H109,T$6+6&gt;=$G109),1,"")</x:f>
      </x:c>
      <x:c r="U109" s="167" t="str">
        <x:f>IF(AND(U$6&lt;=$H109,U$6+6&gt;=$G109),1,"")</x:f>
      </x:c>
      <x:c r="V109" s="167" t="str">
        <x:f>IF(AND(V$6&lt;=$H109,V$6+6&gt;=$G109),1,"")</x:f>
      </x:c>
      <x:c r="W109" s="167" t="str">
        <x:f>IF(AND(W$6&lt;=$H109,W$6+6&gt;=$G109),1,"")</x:f>
      </x:c>
      <x:c r="X109" s="167" t="str">
        <x:f>IF(AND(X$6&lt;=$H109,X$6+6&gt;=$G109),1,"")</x:f>
      </x:c>
      <x:c r="Y109" s="167" t="str">
        <x:f>IF(AND(Y$6&lt;=$H109,Y$6+6&gt;=$G109),1,"")</x:f>
      </x:c>
      <x:c r="Z109" s="167" t="str">
        <x:f>IF(AND(Z$6&lt;=$H109,Z$6+6&gt;=$G109),1,"")</x:f>
      </x:c>
      <x:c r="AA109" s="167" t="str">
        <x:f>IF(AND(AA$6&lt;=$H109,AA$6+6&gt;=$G109),1,"")</x:f>
      </x:c>
      <x:c r="AB109" s="167" t="str">
        <x:f>IF(AND(AB$6&lt;=$H109,AB$6+6&gt;=$G109),1,"")</x:f>
      </x:c>
      <x:c r="AC109" s="167" t="str">
        <x:f>IF(AND(AC$6&lt;=$H109,AC$6+6&gt;=$G109),1,"")</x:f>
      </x:c>
      <x:c r="AD109" s="167" t="str">
        <x:f>IF(AND(AD$6&lt;=$H109,AD$6+6&gt;=$G109),1,"")</x:f>
      </x:c>
      <x:c r="AE109" s="167" t="str">
        <x:f>IF(AND(AE$6&lt;=$H109,AE$6+6&gt;=$G109),1,"")</x:f>
      </x:c>
      <x:c r="AF109" s="167" t="str">
        <x:f>IF(AND(AF$6&lt;=$H109,AF$6+6&gt;=$G109),1,"")</x:f>
      </x:c>
      <x:c r="AG109" s="167" t="str">
        <x:f>IF(AND(AG$6&lt;=$H109,AG$6+6&gt;=$G109),1,"")</x:f>
      </x:c>
      <x:c r="AH109" s="167" t="str">
        <x:f>IF(AND(AH$6&lt;=$H109,AH$6+6&gt;=$G109),1,"")</x:f>
      </x:c>
      <x:c r="AI109" s="167" t="str">
        <x:f>IF(AND(AI$6&lt;=$H109,AI$6+6&gt;=$G109),1,"")</x:f>
      </x:c>
      <x:c r="AJ109" s="167" t="str">
        <x:f>IF(AND(AJ$6&lt;=$H109,AJ$6+6&gt;=$G109),1,"")</x:f>
      </x:c>
      <x:c r="AK109" s="167" t="str">
        <x:f>IF(AND(AK$6&lt;=$H109,AK$6+6&gt;=$G109),1,"")</x:f>
      </x:c>
      <x:c r="AL109" s="167" t="str">
        <x:f>IF(AND(AL$6&lt;=$H109,AL$6+6&gt;=$G109),1,"")</x:f>
      </x:c>
      <x:c r="AM109" s="167" t="str">
        <x:f>IF(AND(AM$6&lt;=$H109,AM$6+6&gt;=$G109),1,"")</x:f>
      </x:c>
      <x:c r="AN109" s="167" t="str">
        <x:f>IF(AND(AN$6&lt;=$H109,AN$6+6&gt;=$G109),1,"")</x:f>
      </x:c>
      <x:c r="AO109" s="167" t="str">
        <x:f>IF(AND(AO$6&lt;=$H109,AO$6+6&gt;=$G109),1,"")</x:f>
      </x:c>
      <x:c r="AP109" s="167" t="str">
        <x:f>IF(AND(AP$6&lt;=$H109,AP$6+6&gt;=$G109),1,"")</x:f>
      </x:c>
      <x:c r="AQ109" s="167" t="str">
        <x:f>IF(AND(AQ$6&lt;=$H109,AQ$6+6&gt;=$G109),1,"")</x:f>
      </x:c>
      <x:c r="AR109" s="167" t="str">
        <x:f>IF(AND(AR$6&lt;=$H109,AR$6+6&gt;=$G109),1,"")</x:f>
      </x:c>
      <x:c r="AS109" s="167" t="str">
        <x:f>IF(AND(AS$6&lt;=$H109,AS$6+6&gt;=$G109),1,"")</x:f>
      </x:c>
      <x:c r="AT109" s="167" t="str">
        <x:f>IF(AND(AT$6&lt;=$H109,AT$6+6&gt;=$G109),1,"")</x:f>
      </x:c>
      <x:c r="AU109" s="167" t="str">
        <x:f>IF(AND(AU$6&lt;=$H109,AU$6+6&gt;=$G109),1,"")</x:f>
      </x:c>
      <x:c r="AV109" s="167" t="str">
        <x:f>IF(AND(AV$6&lt;=$H109,AV$6+6&gt;=$G109),1,"")</x:f>
      </x:c>
      <x:c r="AW109" s="167" t="str">
        <x:f>IF(AND(AW$6&lt;=$H109,AW$6+6&gt;=$G109),1,"")</x:f>
      </x:c>
      <x:c r="AX109" s="167" t="str">
        <x:f>IF(AND(AX$6&lt;=$H109,AX$6+6&gt;=$G109),1,"")</x:f>
      </x:c>
      <x:c r="AY109" s="167" t="str">
        <x:f>IF(AND(AY$6&lt;=$H109,AY$6+6&gt;=$G109),1,"")</x:f>
      </x:c>
      <x:c r="AZ109" s="167" t="str">
        <x:f>IF(AND(AZ$6&lt;=$H109,AZ$6+6&gt;=$G109),1,"")</x:f>
      </x:c>
      <x:c r="BA109" s="167" t="str">
        <x:f>IF(AND(BA$6&lt;=$H109,BA$6+6&gt;=$G109),1,"")</x:f>
      </x:c>
      <x:c r="BB109" s="167" t="str">
        <x:f>IF(AND(BB$6&lt;=$H109,BB$6+6&gt;=$G109),1,"")</x:f>
      </x:c>
      <x:c r="BC109" s="167" t="str">
        <x:f>IF(AND(BC$6&lt;=$H109,BC$6+6&gt;=$G109),1,"")</x:f>
      </x:c>
      <x:c r="BD109" s="167" t="str">
        <x:f>IF(AND(BD$6&lt;=$H109,BD$6+6&gt;=$G109),1,"")</x:f>
      </x:c>
      <x:c r="BE109" s="167" t="str">
        <x:f>IF(AND(BE$6&lt;=$H109,BE$6+6&gt;=$G109),1,"")</x:f>
      </x:c>
      <x:c r="BF109" s="167" t="str">
        <x:f>IF(AND(BF$6&lt;=$H109,BF$6+6&gt;=$G109),1,"")</x:f>
      </x:c>
      <x:c r="BG109" s="167" t="str">
        <x:f>IF(AND(BG$6&lt;=$H109,BG$6+6&gt;=$G109),1,"")</x:f>
      </x:c>
      <x:c r="BH109" s="167" t="str">
        <x:f>IF(AND(BH$6&lt;=$H109,BH$6+6&gt;=$G109),1,"")</x:f>
      </x:c>
      <x:c r="BI109" s="167" t="str">
        <x:f>IF(AND(BI$6&lt;=$H109,BI$6+6&gt;=$G109),1,"")</x:f>
      </x:c>
      <x:c r="BJ109" s="167" t="str">
        <x:f>IF(AND(BJ$6&lt;=$H109,BJ$6+6&gt;=$G109),1,"")</x:f>
      </x:c>
      <x:c r="BK109" s="167" t="str">
        <x:f>IF(AND(BK$6&lt;=$H109,BK$6+6&gt;=$G109),1,"")</x:f>
      </x:c>
      <x:c r="BL109" s="167" t="str">
        <x:f>IF(AND(BL$6&lt;=$H109,BL$6+6&gt;=$G109),1,"")</x:f>
      </x:c>
      <x:c r="BM109" s="167" t="str">
        <x:f>IF(AND(BM$6&lt;=$H109,BM$6+6&gt;=$G109),1,"")</x:f>
      </x:c>
      <x:c r="BN109" s="167" t="str">
        <x:f>IF(AND(BN$6&lt;=$H109,BN$6+6&gt;=$G109),1,"")</x:f>
      </x:c>
      <x:c r="BO109" s="168" t="str">
        <x:f>IF(AND(BO$6&lt;=$H109,BO$6+6&gt;=$G109),1,"")</x:f>
      </x:c>
    </x:row>
    <x:row r="110" ht="24" customHeight="1">
      <x:c r="A110" s="68" t="str">
        <x:f>'Task Register'!A108</x:f>
        <x:v>T-308</x:v>
      </x:c>
      <x:c r="B110" s="68" t="str">
        <x:f>'Task Register'!B108</x:f>
        <x:v>S2</x:v>
      </x:c>
      <x:c r="C110" s="68" t="str">
        <x:f>'Task Register'!C108</x:f>
        <x:v>Planning/Forecasting</x:v>
      </x:c>
      <x:c r="D110" s="68" t="str">
        <x:f>'Task Register'!D108</x:f>
        <x:v>Define MuJoCo forecast strategy</x:v>
      </x:c>
      <x:c r="E110" s="68" t="str">
        <x:f>'Task Register'!E108</x:f>
        <x:v>T-301, T-305</x:v>
      </x:c>
      <x:c r="F110" s="68" t="str">
        <x:f>'Task Register'!F108</x:f>
        <x:v>Done</x:v>
      </x:c>
      <x:c r="G110" s="94" t="n">
        <x:f>'Task Register'!I108</x:f>
        <x:v>46288</x:v>
      </x:c>
      <x:c r="H110" s="94" t="n">
        <x:f>'Task Register'!J108</x:f>
        <x:v>46288</x:v>
      </x:c>
      <x:c r="I110" s="166" t="str">
        <x:f>IF(AND(I$6&lt;=$H110,I$6+6&gt;=$G110),1,"")</x:f>
      </x:c>
      <x:c r="J110" s="167" t="str">
        <x:f>IF(AND(J$6&lt;=$H110,J$6+6&gt;=$G110),1,"")</x:f>
      </x:c>
      <x:c r="K110" s="167" t="str">
        <x:f>IF(AND(K$6&lt;=$H110,K$6+6&gt;=$G110),1,"")</x:f>
      </x:c>
      <x:c r="L110" s="167" t="str">
        <x:f>IF(AND(L$6&lt;=$H110,L$6+6&gt;=$G110),1,"")</x:f>
      </x:c>
      <x:c r="M110" s="167" t="str">
        <x:f>IF(AND(M$6&lt;=$H110,M$6+6&gt;=$G110),1,"")</x:f>
      </x:c>
      <x:c r="N110" s="167" t="str">
        <x:f>IF(AND(N$6&lt;=$H110,N$6+6&gt;=$G110),1,"")</x:f>
      </x:c>
      <x:c r="O110" s="167" t="str">
        <x:f>IF(AND(O$6&lt;=$H110,O$6+6&gt;=$G110),1,"")</x:f>
      </x:c>
      <x:c r="P110" s="167" t="n">
        <x:f>IF(AND(P$6&lt;=$H110,P$6+6&gt;=$G110),1,"")</x:f>
        <x:v>1</x:v>
      </x:c>
      <x:c r="Q110" s="167" t="str">
        <x:f>IF(AND(Q$6&lt;=$H110,Q$6+6&gt;=$G110),1,"")</x:f>
      </x:c>
      <x:c r="R110" s="167" t="str">
        <x:f>IF(AND(R$6&lt;=$H110,R$6+6&gt;=$G110),1,"")</x:f>
      </x:c>
      <x:c r="S110" s="167" t="str">
        <x:f>IF(AND(S$6&lt;=$H110,S$6+6&gt;=$G110),1,"")</x:f>
      </x:c>
      <x:c r="T110" s="167" t="str">
        <x:f>IF(AND(T$6&lt;=$H110,T$6+6&gt;=$G110),1,"")</x:f>
      </x:c>
      <x:c r="U110" s="167" t="str">
        <x:f>IF(AND(U$6&lt;=$H110,U$6+6&gt;=$G110),1,"")</x:f>
      </x:c>
      <x:c r="V110" s="167" t="str">
        <x:f>IF(AND(V$6&lt;=$H110,V$6+6&gt;=$G110),1,"")</x:f>
      </x:c>
      <x:c r="W110" s="167" t="str">
        <x:f>IF(AND(W$6&lt;=$H110,W$6+6&gt;=$G110),1,"")</x:f>
      </x:c>
      <x:c r="X110" s="167" t="str">
        <x:f>IF(AND(X$6&lt;=$H110,X$6+6&gt;=$G110),1,"")</x:f>
      </x:c>
      <x:c r="Y110" s="167" t="str">
        <x:f>IF(AND(Y$6&lt;=$H110,Y$6+6&gt;=$G110),1,"")</x:f>
      </x:c>
      <x:c r="Z110" s="167" t="str">
        <x:f>IF(AND(Z$6&lt;=$H110,Z$6+6&gt;=$G110),1,"")</x:f>
      </x:c>
      <x:c r="AA110" s="167" t="str">
        <x:f>IF(AND(AA$6&lt;=$H110,AA$6+6&gt;=$G110),1,"")</x:f>
      </x:c>
      <x:c r="AB110" s="167" t="str">
        <x:f>IF(AND(AB$6&lt;=$H110,AB$6+6&gt;=$G110),1,"")</x:f>
      </x:c>
      <x:c r="AC110" s="167" t="str">
        <x:f>IF(AND(AC$6&lt;=$H110,AC$6+6&gt;=$G110),1,"")</x:f>
      </x:c>
      <x:c r="AD110" s="167" t="str">
        <x:f>IF(AND(AD$6&lt;=$H110,AD$6+6&gt;=$G110),1,"")</x:f>
      </x:c>
      <x:c r="AE110" s="167" t="str">
        <x:f>IF(AND(AE$6&lt;=$H110,AE$6+6&gt;=$G110),1,"")</x:f>
      </x:c>
      <x:c r="AF110" s="167" t="str">
        <x:f>IF(AND(AF$6&lt;=$H110,AF$6+6&gt;=$G110),1,"")</x:f>
      </x:c>
      <x:c r="AG110" s="167" t="str">
        <x:f>IF(AND(AG$6&lt;=$H110,AG$6+6&gt;=$G110),1,"")</x:f>
      </x:c>
      <x:c r="AH110" s="167" t="str">
        <x:f>IF(AND(AH$6&lt;=$H110,AH$6+6&gt;=$G110),1,"")</x:f>
      </x:c>
      <x:c r="AI110" s="167" t="str">
        <x:f>IF(AND(AI$6&lt;=$H110,AI$6+6&gt;=$G110),1,"")</x:f>
      </x:c>
      <x:c r="AJ110" s="167" t="str">
        <x:f>IF(AND(AJ$6&lt;=$H110,AJ$6+6&gt;=$G110),1,"")</x:f>
      </x:c>
      <x:c r="AK110" s="167" t="str">
        <x:f>IF(AND(AK$6&lt;=$H110,AK$6+6&gt;=$G110),1,"")</x:f>
      </x:c>
      <x:c r="AL110" s="167" t="str">
        <x:f>IF(AND(AL$6&lt;=$H110,AL$6+6&gt;=$G110),1,"")</x:f>
      </x:c>
      <x:c r="AM110" s="167" t="str">
        <x:f>IF(AND(AM$6&lt;=$H110,AM$6+6&gt;=$G110),1,"")</x:f>
      </x:c>
      <x:c r="AN110" s="167" t="str">
        <x:f>IF(AND(AN$6&lt;=$H110,AN$6+6&gt;=$G110),1,"")</x:f>
      </x:c>
      <x:c r="AO110" s="167" t="str">
        <x:f>IF(AND(AO$6&lt;=$H110,AO$6+6&gt;=$G110),1,"")</x:f>
      </x:c>
      <x:c r="AP110" s="167" t="str">
        <x:f>IF(AND(AP$6&lt;=$H110,AP$6+6&gt;=$G110),1,"")</x:f>
      </x:c>
      <x:c r="AQ110" s="167" t="str">
        <x:f>IF(AND(AQ$6&lt;=$H110,AQ$6+6&gt;=$G110),1,"")</x:f>
      </x:c>
      <x:c r="AR110" s="167" t="str">
        <x:f>IF(AND(AR$6&lt;=$H110,AR$6+6&gt;=$G110),1,"")</x:f>
      </x:c>
      <x:c r="AS110" s="167" t="str">
        <x:f>IF(AND(AS$6&lt;=$H110,AS$6+6&gt;=$G110),1,"")</x:f>
      </x:c>
      <x:c r="AT110" s="167" t="str">
        <x:f>IF(AND(AT$6&lt;=$H110,AT$6+6&gt;=$G110),1,"")</x:f>
      </x:c>
      <x:c r="AU110" s="167" t="str">
        <x:f>IF(AND(AU$6&lt;=$H110,AU$6+6&gt;=$G110),1,"")</x:f>
      </x:c>
      <x:c r="AV110" s="167" t="str">
        <x:f>IF(AND(AV$6&lt;=$H110,AV$6+6&gt;=$G110),1,"")</x:f>
      </x:c>
      <x:c r="AW110" s="167" t="str">
        <x:f>IF(AND(AW$6&lt;=$H110,AW$6+6&gt;=$G110),1,"")</x:f>
      </x:c>
      <x:c r="AX110" s="167" t="str">
        <x:f>IF(AND(AX$6&lt;=$H110,AX$6+6&gt;=$G110),1,"")</x:f>
      </x:c>
      <x:c r="AY110" s="167" t="str">
        <x:f>IF(AND(AY$6&lt;=$H110,AY$6+6&gt;=$G110),1,"")</x:f>
      </x:c>
      <x:c r="AZ110" s="167" t="str">
        <x:f>IF(AND(AZ$6&lt;=$H110,AZ$6+6&gt;=$G110),1,"")</x:f>
      </x:c>
      <x:c r="BA110" s="167" t="str">
        <x:f>IF(AND(BA$6&lt;=$H110,BA$6+6&gt;=$G110),1,"")</x:f>
      </x:c>
      <x:c r="BB110" s="167" t="str">
        <x:f>IF(AND(BB$6&lt;=$H110,BB$6+6&gt;=$G110),1,"")</x:f>
      </x:c>
      <x:c r="BC110" s="167" t="str">
        <x:f>IF(AND(BC$6&lt;=$H110,BC$6+6&gt;=$G110),1,"")</x:f>
      </x:c>
      <x:c r="BD110" s="167" t="str">
        <x:f>IF(AND(BD$6&lt;=$H110,BD$6+6&gt;=$G110),1,"")</x:f>
      </x:c>
      <x:c r="BE110" s="167" t="str">
        <x:f>IF(AND(BE$6&lt;=$H110,BE$6+6&gt;=$G110),1,"")</x:f>
      </x:c>
      <x:c r="BF110" s="167" t="str">
        <x:f>IF(AND(BF$6&lt;=$H110,BF$6+6&gt;=$G110),1,"")</x:f>
      </x:c>
      <x:c r="BG110" s="167" t="str">
        <x:f>IF(AND(BG$6&lt;=$H110,BG$6+6&gt;=$G110),1,"")</x:f>
      </x:c>
      <x:c r="BH110" s="167" t="str">
        <x:f>IF(AND(BH$6&lt;=$H110,BH$6+6&gt;=$G110),1,"")</x:f>
      </x:c>
      <x:c r="BI110" s="167" t="str">
        <x:f>IF(AND(BI$6&lt;=$H110,BI$6+6&gt;=$G110),1,"")</x:f>
      </x:c>
      <x:c r="BJ110" s="167" t="str">
        <x:f>IF(AND(BJ$6&lt;=$H110,BJ$6+6&gt;=$G110),1,"")</x:f>
      </x:c>
      <x:c r="BK110" s="167" t="str">
        <x:f>IF(AND(BK$6&lt;=$H110,BK$6+6&gt;=$G110),1,"")</x:f>
      </x:c>
      <x:c r="BL110" s="167" t="str">
        <x:f>IF(AND(BL$6&lt;=$H110,BL$6+6&gt;=$G110),1,"")</x:f>
      </x:c>
      <x:c r="BM110" s="167" t="str">
        <x:f>IF(AND(BM$6&lt;=$H110,BM$6+6&gt;=$G110),1,"")</x:f>
      </x:c>
      <x:c r="BN110" s="167" t="str">
        <x:f>IF(AND(BN$6&lt;=$H110,BN$6+6&gt;=$G110),1,"")</x:f>
      </x:c>
      <x:c r="BO110" s="168" t="str">
        <x:f>IF(AND(BO$6&lt;=$H110,BO$6+6&gt;=$G110),1,"")</x:f>
      </x:c>
    </x:row>
    <x:row r="111" ht="24" customHeight="1">
      <x:c r="A111" s="68" t="str">
        <x:f>'Task Register'!A109</x:f>
        <x:v>T-309</x:v>
      </x:c>
      <x:c r="B111" s="68" t="str">
        <x:f>'Task Register'!B109</x:f>
        <x:v>S2</x:v>
      </x:c>
      <x:c r="C111" s="68" t="str">
        <x:f>'Task Register'!C109</x:f>
        <x:v>Validation</x:v>
      </x:c>
      <x:c r="D111" s="68" t="str">
        <x:f>'Task Register'!D109</x:f>
        <x:v>Add backend parity checks</x:v>
      </x:c>
      <x:c r="E111" s="68" t="str">
        <x:f>'Task Register'!E109</x:f>
        <x:v>T-305, T-306</x:v>
      </x:c>
      <x:c r="F111" s="68" t="str">
        <x:f>'Task Register'!F109</x:f>
        <x:v>Active</x:v>
      </x:c>
      <x:c r="G111" s="94" t="n">
        <x:f>'Task Register'!I109</x:f>
        <x:v>46289</x:v>
      </x:c>
      <x:c r="H111" s="94" t="n">
        <x:f>'Task Register'!J109</x:f>
        <x:v>46289</x:v>
      </x:c>
      <x:c r="I111" s="166" t="str">
        <x:f>IF(AND(I$6&lt;=$H111,I$6+6&gt;=$G111),1,"")</x:f>
      </x:c>
      <x:c r="J111" s="167" t="str">
        <x:f>IF(AND(J$6&lt;=$H111,J$6+6&gt;=$G111),1,"")</x:f>
      </x:c>
      <x:c r="K111" s="167" t="str">
        <x:f>IF(AND(K$6&lt;=$H111,K$6+6&gt;=$G111),1,"")</x:f>
      </x:c>
      <x:c r="L111" s="167" t="str">
        <x:f>IF(AND(L$6&lt;=$H111,L$6+6&gt;=$G111),1,"")</x:f>
      </x:c>
      <x:c r="M111" s="167" t="str">
        <x:f>IF(AND(M$6&lt;=$H111,M$6+6&gt;=$G111),1,"")</x:f>
      </x:c>
      <x:c r="N111" s="167" t="str">
        <x:f>IF(AND(N$6&lt;=$H111,N$6+6&gt;=$G111),1,"")</x:f>
      </x:c>
      <x:c r="O111" s="167" t="str">
        <x:f>IF(AND(O$6&lt;=$H111,O$6+6&gt;=$G111),1,"")</x:f>
      </x:c>
      <x:c r="P111" s="167" t="n">
        <x:f>IF(AND(P$6&lt;=$H111,P$6+6&gt;=$G111),1,"")</x:f>
        <x:v>1</x:v>
      </x:c>
      <x:c r="Q111" s="167" t="str">
        <x:f>IF(AND(Q$6&lt;=$H111,Q$6+6&gt;=$G111),1,"")</x:f>
      </x:c>
      <x:c r="R111" s="167" t="str">
        <x:f>IF(AND(R$6&lt;=$H111,R$6+6&gt;=$G111),1,"")</x:f>
      </x:c>
      <x:c r="S111" s="167" t="str">
        <x:f>IF(AND(S$6&lt;=$H111,S$6+6&gt;=$G111),1,"")</x:f>
      </x:c>
      <x:c r="T111" s="167" t="str">
        <x:f>IF(AND(T$6&lt;=$H111,T$6+6&gt;=$G111),1,"")</x:f>
      </x:c>
      <x:c r="U111" s="167" t="str">
        <x:f>IF(AND(U$6&lt;=$H111,U$6+6&gt;=$G111),1,"")</x:f>
      </x:c>
      <x:c r="V111" s="167" t="str">
        <x:f>IF(AND(V$6&lt;=$H111,V$6+6&gt;=$G111),1,"")</x:f>
      </x:c>
      <x:c r="W111" s="167" t="str">
        <x:f>IF(AND(W$6&lt;=$H111,W$6+6&gt;=$G111),1,"")</x:f>
      </x:c>
      <x:c r="X111" s="167" t="str">
        <x:f>IF(AND(X$6&lt;=$H111,X$6+6&gt;=$G111),1,"")</x:f>
      </x:c>
      <x:c r="Y111" s="167" t="str">
        <x:f>IF(AND(Y$6&lt;=$H111,Y$6+6&gt;=$G111),1,"")</x:f>
      </x:c>
      <x:c r="Z111" s="167" t="str">
        <x:f>IF(AND(Z$6&lt;=$H111,Z$6+6&gt;=$G111),1,"")</x:f>
      </x:c>
      <x:c r="AA111" s="167" t="str">
        <x:f>IF(AND(AA$6&lt;=$H111,AA$6+6&gt;=$G111),1,"")</x:f>
      </x:c>
      <x:c r="AB111" s="167" t="str">
        <x:f>IF(AND(AB$6&lt;=$H111,AB$6+6&gt;=$G111),1,"")</x:f>
      </x:c>
      <x:c r="AC111" s="167" t="str">
        <x:f>IF(AND(AC$6&lt;=$H111,AC$6+6&gt;=$G111),1,"")</x:f>
      </x:c>
      <x:c r="AD111" s="167" t="str">
        <x:f>IF(AND(AD$6&lt;=$H111,AD$6+6&gt;=$G111),1,"")</x:f>
      </x:c>
      <x:c r="AE111" s="167" t="str">
        <x:f>IF(AND(AE$6&lt;=$H111,AE$6+6&gt;=$G111),1,"")</x:f>
      </x:c>
      <x:c r="AF111" s="167" t="str">
        <x:f>IF(AND(AF$6&lt;=$H111,AF$6+6&gt;=$G111),1,"")</x:f>
      </x:c>
      <x:c r="AG111" s="167" t="str">
        <x:f>IF(AND(AG$6&lt;=$H111,AG$6+6&gt;=$G111),1,"")</x:f>
      </x:c>
      <x:c r="AH111" s="167" t="str">
        <x:f>IF(AND(AH$6&lt;=$H111,AH$6+6&gt;=$G111),1,"")</x:f>
      </x:c>
      <x:c r="AI111" s="167" t="str">
        <x:f>IF(AND(AI$6&lt;=$H111,AI$6+6&gt;=$G111),1,"")</x:f>
      </x:c>
      <x:c r="AJ111" s="167" t="str">
        <x:f>IF(AND(AJ$6&lt;=$H111,AJ$6+6&gt;=$G111),1,"")</x:f>
      </x:c>
      <x:c r="AK111" s="167" t="str">
        <x:f>IF(AND(AK$6&lt;=$H111,AK$6+6&gt;=$G111),1,"")</x:f>
      </x:c>
      <x:c r="AL111" s="167" t="str">
        <x:f>IF(AND(AL$6&lt;=$H111,AL$6+6&gt;=$G111),1,"")</x:f>
      </x:c>
      <x:c r="AM111" s="167" t="str">
        <x:f>IF(AND(AM$6&lt;=$H111,AM$6+6&gt;=$G111),1,"")</x:f>
      </x:c>
      <x:c r="AN111" s="167" t="str">
        <x:f>IF(AND(AN$6&lt;=$H111,AN$6+6&gt;=$G111),1,"")</x:f>
      </x:c>
      <x:c r="AO111" s="167" t="str">
        <x:f>IF(AND(AO$6&lt;=$H111,AO$6+6&gt;=$G111),1,"")</x:f>
      </x:c>
      <x:c r="AP111" s="167" t="str">
        <x:f>IF(AND(AP$6&lt;=$H111,AP$6+6&gt;=$G111),1,"")</x:f>
      </x:c>
      <x:c r="AQ111" s="167" t="str">
        <x:f>IF(AND(AQ$6&lt;=$H111,AQ$6+6&gt;=$G111),1,"")</x:f>
      </x:c>
      <x:c r="AR111" s="167" t="str">
        <x:f>IF(AND(AR$6&lt;=$H111,AR$6+6&gt;=$G111),1,"")</x:f>
      </x:c>
      <x:c r="AS111" s="167" t="str">
        <x:f>IF(AND(AS$6&lt;=$H111,AS$6+6&gt;=$G111),1,"")</x:f>
      </x:c>
      <x:c r="AT111" s="167" t="str">
        <x:f>IF(AND(AT$6&lt;=$H111,AT$6+6&gt;=$G111),1,"")</x:f>
      </x:c>
      <x:c r="AU111" s="167" t="str">
        <x:f>IF(AND(AU$6&lt;=$H111,AU$6+6&gt;=$G111),1,"")</x:f>
      </x:c>
      <x:c r="AV111" s="167" t="str">
        <x:f>IF(AND(AV$6&lt;=$H111,AV$6+6&gt;=$G111),1,"")</x:f>
      </x:c>
      <x:c r="AW111" s="167" t="str">
        <x:f>IF(AND(AW$6&lt;=$H111,AW$6+6&gt;=$G111),1,"")</x:f>
      </x:c>
      <x:c r="AX111" s="167" t="str">
        <x:f>IF(AND(AX$6&lt;=$H111,AX$6+6&gt;=$G111),1,"")</x:f>
      </x:c>
      <x:c r="AY111" s="167" t="str">
        <x:f>IF(AND(AY$6&lt;=$H111,AY$6+6&gt;=$G111),1,"")</x:f>
      </x:c>
      <x:c r="AZ111" s="167" t="str">
        <x:f>IF(AND(AZ$6&lt;=$H111,AZ$6+6&gt;=$G111),1,"")</x:f>
      </x:c>
      <x:c r="BA111" s="167" t="str">
        <x:f>IF(AND(BA$6&lt;=$H111,BA$6+6&gt;=$G111),1,"")</x:f>
      </x:c>
      <x:c r="BB111" s="167" t="str">
        <x:f>IF(AND(BB$6&lt;=$H111,BB$6+6&gt;=$G111),1,"")</x:f>
      </x:c>
      <x:c r="BC111" s="167" t="str">
        <x:f>IF(AND(BC$6&lt;=$H111,BC$6+6&gt;=$G111),1,"")</x:f>
      </x:c>
      <x:c r="BD111" s="167" t="str">
        <x:f>IF(AND(BD$6&lt;=$H111,BD$6+6&gt;=$G111),1,"")</x:f>
      </x:c>
      <x:c r="BE111" s="167" t="str">
        <x:f>IF(AND(BE$6&lt;=$H111,BE$6+6&gt;=$G111),1,"")</x:f>
      </x:c>
      <x:c r="BF111" s="167" t="str">
        <x:f>IF(AND(BF$6&lt;=$H111,BF$6+6&gt;=$G111),1,"")</x:f>
      </x:c>
      <x:c r="BG111" s="167" t="str">
        <x:f>IF(AND(BG$6&lt;=$H111,BG$6+6&gt;=$G111),1,"")</x:f>
      </x:c>
      <x:c r="BH111" s="167" t="str">
        <x:f>IF(AND(BH$6&lt;=$H111,BH$6+6&gt;=$G111),1,"")</x:f>
      </x:c>
      <x:c r="BI111" s="167" t="str">
        <x:f>IF(AND(BI$6&lt;=$H111,BI$6+6&gt;=$G111),1,"")</x:f>
      </x:c>
      <x:c r="BJ111" s="167" t="str">
        <x:f>IF(AND(BJ$6&lt;=$H111,BJ$6+6&gt;=$G111),1,"")</x:f>
      </x:c>
      <x:c r="BK111" s="167" t="str">
        <x:f>IF(AND(BK$6&lt;=$H111,BK$6+6&gt;=$G111),1,"")</x:f>
      </x:c>
      <x:c r="BL111" s="167" t="str">
        <x:f>IF(AND(BL$6&lt;=$H111,BL$6+6&gt;=$G111),1,"")</x:f>
      </x:c>
      <x:c r="BM111" s="167" t="str">
        <x:f>IF(AND(BM$6&lt;=$H111,BM$6+6&gt;=$G111),1,"")</x:f>
      </x:c>
      <x:c r="BN111" s="167" t="str">
        <x:f>IF(AND(BN$6&lt;=$H111,BN$6+6&gt;=$G111),1,"")</x:f>
      </x:c>
      <x:c r="BO111" s="168" t="str">
        <x:f>IF(AND(BO$6&lt;=$H111,BO$6+6&gt;=$G111),1,"")</x:f>
      </x:c>
    </x:row>
    <x:row r="112" ht="24" customHeight="1">
      <x:c r="A112" s="68" t="str">
        <x:f>'Task Register'!A110</x:f>
        <x:v>T-310</x:v>
      </x:c>
      <x:c r="B112" s="68" t="str">
        <x:f>'Task Register'!B110</x:f>
        <x:v>S2</x:v>
      </x:c>
      <x:c r="C112" s="68" t="str">
        <x:f>'Task Register'!C110</x:f>
        <x:v>Validation</x:v>
      </x:c>
      <x:c r="D112" s="68" t="str">
        <x:f>'Task Register'!D110</x:f>
        <x:v>S2 lock decision</x:v>
      </x:c>
      <x:c r="E112" s="68" t="str">
        <x:f>'Task Register'!E110</x:f>
        <x:v>T-305, T-306, T-307, T-308, T-309</x:v>
      </x:c>
      <x:c r="F112" s="68" t="str">
        <x:f>'Task Register'!F110</x:f>
        <x:v>Blocked</x:v>
      </x:c>
      <x:c r="G112" s="94" t="n">
        <x:f>'Task Register'!I110</x:f>
        <x:v>46290</x:v>
      </x:c>
      <x:c r="H112" s="94" t="n">
        <x:f>'Task Register'!J110</x:f>
        <x:v>46290</x:v>
      </x:c>
      <x:c r="I112" s="166" t="str">
        <x:f>IF(AND(I$6&lt;=$H112,I$6+6&gt;=$G112),1,"")</x:f>
      </x:c>
      <x:c r="J112" s="167" t="str">
        <x:f>IF(AND(J$6&lt;=$H112,J$6+6&gt;=$G112),1,"")</x:f>
      </x:c>
      <x:c r="K112" s="167" t="str">
        <x:f>IF(AND(K$6&lt;=$H112,K$6+6&gt;=$G112),1,"")</x:f>
      </x:c>
      <x:c r="L112" s="167" t="str">
        <x:f>IF(AND(L$6&lt;=$H112,L$6+6&gt;=$G112),1,"")</x:f>
      </x:c>
      <x:c r="M112" s="167" t="str">
        <x:f>IF(AND(M$6&lt;=$H112,M$6+6&gt;=$G112),1,"")</x:f>
      </x:c>
      <x:c r="N112" s="167" t="str">
        <x:f>IF(AND(N$6&lt;=$H112,N$6+6&gt;=$G112),1,"")</x:f>
      </x:c>
      <x:c r="O112" s="167" t="str">
        <x:f>IF(AND(O$6&lt;=$H112,O$6+6&gt;=$G112),1,"")</x:f>
      </x:c>
      <x:c r="P112" s="167" t="n">
        <x:f>IF(AND(P$6&lt;=$H112,P$6+6&gt;=$G112),1,"")</x:f>
        <x:v>1</x:v>
      </x:c>
      <x:c r="Q112" s="167" t="str">
        <x:f>IF(AND(Q$6&lt;=$H112,Q$6+6&gt;=$G112),1,"")</x:f>
      </x:c>
      <x:c r="R112" s="167" t="str">
        <x:f>IF(AND(R$6&lt;=$H112,R$6+6&gt;=$G112),1,"")</x:f>
      </x:c>
      <x:c r="S112" s="167" t="str">
        <x:f>IF(AND(S$6&lt;=$H112,S$6+6&gt;=$G112),1,"")</x:f>
      </x:c>
      <x:c r="T112" s="167" t="str">
        <x:f>IF(AND(T$6&lt;=$H112,T$6+6&gt;=$G112),1,"")</x:f>
      </x:c>
      <x:c r="U112" s="167" t="str">
        <x:f>IF(AND(U$6&lt;=$H112,U$6+6&gt;=$G112),1,"")</x:f>
      </x:c>
      <x:c r="V112" s="167" t="str">
        <x:f>IF(AND(V$6&lt;=$H112,V$6+6&gt;=$G112),1,"")</x:f>
      </x:c>
      <x:c r="W112" s="167" t="str">
        <x:f>IF(AND(W$6&lt;=$H112,W$6+6&gt;=$G112),1,"")</x:f>
      </x:c>
      <x:c r="X112" s="167" t="str">
        <x:f>IF(AND(X$6&lt;=$H112,X$6+6&gt;=$G112),1,"")</x:f>
      </x:c>
      <x:c r="Y112" s="167" t="str">
        <x:f>IF(AND(Y$6&lt;=$H112,Y$6+6&gt;=$G112),1,"")</x:f>
      </x:c>
      <x:c r="Z112" s="167" t="str">
        <x:f>IF(AND(Z$6&lt;=$H112,Z$6+6&gt;=$G112),1,"")</x:f>
      </x:c>
      <x:c r="AA112" s="167" t="str">
        <x:f>IF(AND(AA$6&lt;=$H112,AA$6+6&gt;=$G112),1,"")</x:f>
      </x:c>
      <x:c r="AB112" s="167" t="str">
        <x:f>IF(AND(AB$6&lt;=$H112,AB$6+6&gt;=$G112),1,"")</x:f>
      </x:c>
      <x:c r="AC112" s="167" t="str">
        <x:f>IF(AND(AC$6&lt;=$H112,AC$6+6&gt;=$G112),1,"")</x:f>
      </x:c>
      <x:c r="AD112" s="167" t="str">
        <x:f>IF(AND(AD$6&lt;=$H112,AD$6+6&gt;=$G112),1,"")</x:f>
      </x:c>
      <x:c r="AE112" s="167" t="str">
        <x:f>IF(AND(AE$6&lt;=$H112,AE$6+6&gt;=$G112),1,"")</x:f>
      </x:c>
      <x:c r="AF112" s="167" t="str">
        <x:f>IF(AND(AF$6&lt;=$H112,AF$6+6&gt;=$G112),1,"")</x:f>
      </x:c>
      <x:c r="AG112" s="167" t="str">
        <x:f>IF(AND(AG$6&lt;=$H112,AG$6+6&gt;=$G112),1,"")</x:f>
      </x:c>
      <x:c r="AH112" s="167" t="str">
        <x:f>IF(AND(AH$6&lt;=$H112,AH$6+6&gt;=$G112),1,"")</x:f>
      </x:c>
      <x:c r="AI112" s="167" t="str">
        <x:f>IF(AND(AI$6&lt;=$H112,AI$6+6&gt;=$G112),1,"")</x:f>
      </x:c>
      <x:c r="AJ112" s="167" t="str">
        <x:f>IF(AND(AJ$6&lt;=$H112,AJ$6+6&gt;=$G112),1,"")</x:f>
      </x:c>
      <x:c r="AK112" s="167" t="str">
        <x:f>IF(AND(AK$6&lt;=$H112,AK$6+6&gt;=$G112),1,"")</x:f>
      </x:c>
      <x:c r="AL112" s="167" t="str">
        <x:f>IF(AND(AL$6&lt;=$H112,AL$6+6&gt;=$G112),1,"")</x:f>
      </x:c>
      <x:c r="AM112" s="167" t="str">
        <x:f>IF(AND(AM$6&lt;=$H112,AM$6+6&gt;=$G112),1,"")</x:f>
      </x:c>
      <x:c r="AN112" s="167" t="str">
        <x:f>IF(AND(AN$6&lt;=$H112,AN$6+6&gt;=$G112),1,"")</x:f>
      </x:c>
      <x:c r="AO112" s="167" t="str">
        <x:f>IF(AND(AO$6&lt;=$H112,AO$6+6&gt;=$G112),1,"")</x:f>
      </x:c>
      <x:c r="AP112" s="167" t="str">
        <x:f>IF(AND(AP$6&lt;=$H112,AP$6+6&gt;=$G112),1,"")</x:f>
      </x:c>
      <x:c r="AQ112" s="167" t="str">
        <x:f>IF(AND(AQ$6&lt;=$H112,AQ$6+6&gt;=$G112),1,"")</x:f>
      </x:c>
      <x:c r="AR112" s="167" t="str">
        <x:f>IF(AND(AR$6&lt;=$H112,AR$6+6&gt;=$G112),1,"")</x:f>
      </x:c>
      <x:c r="AS112" s="167" t="str">
        <x:f>IF(AND(AS$6&lt;=$H112,AS$6+6&gt;=$G112),1,"")</x:f>
      </x:c>
      <x:c r="AT112" s="167" t="str">
        <x:f>IF(AND(AT$6&lt;=$H112,AT$6+6&gt;=$G112),1,"")</x:f>
      </x:c>
      <x:c r="AU112" s="167" t="str">
        <x:f>IF(AND(AU$6&lt;=$H112,AU$6+6&gt;=$G112),1,"")</x:f>
      </x:c>
      <x:c r="AV112" s="167" t="str">
        <x:f>IF(AND(AV$6&lt;=$H112,AV$6+6&gt;=$G112),1,"")</x:f>
      </x:c>
      <x:c r="AW112" s="167" t="str">
        <x:f>IF(AND(AW$6&lt;=$H112,AW$6+6&gt;=$G112),1,"")</x:f>
      </x:c>
      <x:c r="AX112" s="167" t="str">
        <x:f>IF(AND(AX$6&lt;=$H112,AX$6+6&gt;=$G112),1,"")</x:f>
      </x:c>
      <x:c r="AY112" s="167" t="str">
        <x:f>IF(AND(AY$6&lt;=$H112,AY$6+6&gt;=$G112),1,"")</x:f>
      </x:c>
      <x:c r="AZ112" s="167" t="str">
        <x:f>IF(AND(AZ$6&lt;=$H112,AZ$6+6&gt;=$G112),1,"")</x:f>
      </x:c>
      <x:c r="BA112" s="167" t="str">
        <x:f>IF(AND(BA$6&lt;=$H112,BA$6+6&gt;=$G112),1,"")</x:f>
      </x:c>
      <x:c r="BB112" s="167" t="str">
        <x:f>IF(AND(BB$6&lt;=$H112,BB$6+6&gt;=$G112),1,"")</x:f>
      </x:c>
      <x:c r="BC112" s="167" t="str">
        <x:f>IF(AND(BC$6&lt;=$H112,BC$6+6&gt;=$G112),1,"")</x:f>
      </x:c>
      <x:c r="BD112" s="167" t="str">
        <x:f>IF(AND(BD$6&lt;=$H112,BD$6+6&gt;=$G112),1,"")</x:f>
      </x:c>
      <x:c r="BE112" s="167" t="str">
        <x:f>IF(AND(BE$6&lt;=$H112,BE$6+6&gt;=$G112),1,"")</x:f>
      </x:c>
      <x:c r="BF112" s="167" t="str">
        <x:f>IF(AND(BF$6&lt;=$H112,BF$6+6&gt;=$G112),1,"")</x:f>
      </x:c>
      <x:c r="BG112" s="167" t="str">
        <x:f>IF(AND(BG$6&lt;=$H112,BG$6+6&gt;=$G112),1,"")</x:f>
      </x:c>
      <x:c r="BH112" s="167" t="str">
        <x:f>IF(AND(BH$6&lt;=$H112,BH$6+6&gt;=$G112),1,"")</x:f>
      </x:c>
      <x:c r="BI112" s="167" t="str">
        <x:f>IF(AND(BI$6&lt;=$H112,BI$6+6&gt;=$G112),1,"")</x:f>
      </x:c>
      <x:c r="BJ112" s="167" t="str">
        <x:f>IF(AND(BJ$6&lt;=$H112,BJ$6+6&gt;=$G112),1,"")</x:f>
      </x:c>
      <x:c r="BK112" s="167" t="str">
        <x:f>IF(AND(BK$6&lt;=$H112,BK$6+6&gt;=$G112),1,"")</x:f>
      </x:c>
      <x:c r="BL112" s="167" t="str">
        <x:f>IF(AND(BL$6&lt;=$H112,BL$6+6&gt;=$G112),1,"")</x:f>
      </x:c>
      <x:c r="BM112" s="167" t="str">
        <x:f>IF(AND(BM$6&lt;=$H112,BM$6+6&gt;=$G112),1,"")</x:f>
      </x:c>
      <x:c r="BN112" s="167" t="str">
        <x:f>IF(AND(BN$6&lt;=$H112,BN$6+6&gt;=$G112),1,"")</x:f>
      </x:c>
      <x:c r="BO112" s="168" t="str">
        <x:f>IF(AND(BO$6&lt;=$H112,BO$6+6&gt;=$G112),1,"")</x:f>
      </x:c>
    </x:row>
    <x:row r="113" ht="24" customHeight="1">
      <x:c r="A113" s="68" t="str">
        <x:f>'Task Register'!A111</x:f>
        <x:v>T-601</x:v>
      </x:c>
      <x:c r="B113" s="68" t="str">
        <x:f>'Task Register'!B111</x:f>
        <x:v>M6</x:v>
      </x:c>
      <x:c r="C113" s="68" t="str">
        <x:f>'Task Register'!C111</x:f>
        <x:v>CAD/Research Ops</x:v>
      </x:c>
      <x:c r="D113" s="68" t="str">
        <x:f>'Task Register'!D111</x:f>
        <x:v>Define CAD traceability and revision policy</x:v>
      </x:c>
      <x:c r="E113" s="68" t="str">
        <x:f>'Task Register'!E111</x:f>
        <x:v>T-501, T-504, T-505</x:v>
      </x:c>
      <x:c r="F113" s="68" t="str">
        <x:f>'Task Register'!F111</x:f>
        <x:v>Blocked</x:v>
      </x:c>
      <x:c r="G113" s="94" t="n">
        <x:f>'Task Register'!I111</x:f>
        <x:v>46328</x:v>
      </x:c>
      <x:c r="H113" s="94" t="n">
        <x:f>'Task Register'!J111</x:f>
        <x:v>46328</x:v>
      </x:c>
      <x:c r="I113" s="166" t="str">
        <x:f>IF(AND(I$6&lt;=$H113,I$6+6&gt;=$G113),1,"")</x:f>
      </x:c>
      <x:c r="J113" s="167" t="str">
        <x:f>IF(AND(J$6&lt;=$H113,J$6+6&gt;=$G113),1,"")</x:f>
      </x:c>
      <x:c r="K113" s="167" t="str">
        <x:f>IF(AND(K$6&lt;=$H113,K$6+6&gt;=$G113),1,"")</x:f>
      </x:c>
      <x:c r="L113" s="167" t="str">
        <x:f>IF(AND(L$6&lt;=$H113,L$6+6&gt;=$G113),1,"")</x:f>
      </x:c>
      <x:c r="M113" s="167" t="str">
        <x:f>IF(AND(M$6&lt;=$H113,M$6+6&gt;=$G113),1,"")</x:f>
      </x:c>
      <x:c r="N113" s="167" t="str">
        <x:f>IF(AND(N$6&lt;=$H113,N$6+6&gt;=$G113),1,"")</x:f>
      </x:c>
      <x:c r="O113" s="167" t="str">
        <x:f>IF(AND(O$6&lt;=$H113,O$6+6&gt;=$G113),1,"")</x:f>
      </x:c>
      <x:c r="P113" s="167" t="str">
        <x:f>IF(AND(P$6&lt;=$H113,P$6+6&gt;=$G113),1,"")</x:f>
      </x:c>
      <x:c r="Q113" s="167" t="str">
        <x:f>IF(AND(Q$6&lt;=$H113,Q$6+6&gt;=$G113),1,"")</x:f>
      </x:c>
      <x:c r="R113" s="167" t="str">
        <x:f>IF(AND(R$6&lt;=$H113,R$6+6&gt;=$G113),1,"")</x:f>
      </x:c>
      <x:c r="S113" s="167" t="str">
        <x:f>IF(AND(S$6&lt;=$H113,S$6+6&gt;=$G113),1,"")</x:f>
      </x:c>
      <x:c r="T113" s="167" t="str">
        <x:f>IF(AND(T$6&lt;=$H113,T$6+6&gt;=$G113),1,"")</x:f>
      </x:c>
      <x:c r="U113" s="167" t="str">
        <x:f>IF(AND(U$6&lt;=$H113,U$6+6&gt;=$G113),1,"")</x:f>
      </x:c>
      <x:c r="V113" s="167" t="n">
        <x:f>IF(AND(V$6&lt;=$H113,V$6+6&gt;=$G113),1,"")</x:f>
        <x:v>1</x:v>
      </x:c>
      <x:c r="W113" s="167" t="str">
        <x:f>IF(AND(W$6&lt;=$H113,W$6+6&gt;=$G113),1,"")</x:f>
      </x:c>
      <x:c r="X113" s="167" t="str">
        <x:f>IF(AND(X$6&lt;=$H113,X$6+6&gt;=$G113),1,"")</x:f>
      </x:c>
      <x:c r="Y113" s="167" t="str">
        <x:f>IF(AND(Y$6&lt;=$H113,Y$6+6&gt;=$G113),1,"")</x:f>
      </x:c>
      <x:c r="Z113" s="167" t="str">
        <x:f>IF(AND(Z$6&lt;=$H113,Z$6+6&gt;=$G113),1,"")</x:f>
      </x:c>
      <x:c r="AA113" s="167" t="str">
        <x:f>IF(AND(AA$6&lt;=$H113,AA$6+6&gt;=$G113),1,"")</x:f>
      </x:c>
      <x:c r="AB113" s="167" t="str">
        <x:f>IF(AND(AB$6&lt;=$H113,AB$6+6&gt;=$G113),1,"")</x:f>
      </x:c>
      <x:c r="AC113" s="167" t="str">
        <x:f>IF(AND(AC$6&lt;=$H113,AC$6+6&gt;=$G113),1,"")</x:f>
      </x:c>
      <x:c r="AD113" s="167" t="str">
        <x:f>IF(AND(AD$6&lt;=$H113,AD$6+6&gt;=$G113),1,"")</x:f>
      </x:c>
      <x:c r="AE113" s="167" t="str">
        <x:f>IF(AND(AE$6&lt;=$H113,AE$6+6&gt;=$G113),1,"")</x:f>
      </x:c>
      <x:c r="AF113" s="167" t="str">
        <x:f>IF(AND(AF$6&lt;=$H113,AF$6+6&gt;=$G113),1,"")</x:f>
      </x:c>
      <x:c r="AG113" s="167" t="str">
        <x:f>IF(AND(AG$6&lt;=$H113,AG$6+6&gt;=$G113),1,"")</x:f>
      </x:c>
      <x:c r="AH113" s="167" t="str">
        <x:f>IF(AND(AH$6&lt;=$H113,AH$6+6&gt;=$G113),1,"")</x:f>
      </x:c>
      <x:c r="AI113" s="167" t="str">
        <x:f>IF(AND(AI$6&lt;=$H113,AI$6+6&gt;=$G113),1,"")</x:f>
      </x:c>
      <x:c r="AJ113" s="167" t="str">
        <x:f>IF(AND(AJ$6&lt;=$H113,AJ$6+6&gt;=$G113),1,"")</x:f>
      </x:c>
      <x:c r="AK113" s="167" t="str">
        <x:f>IF(AND(AK$6&lt;=$H113,AK$6+6&gt;=$G113),1,"")</x:f>
      </x:c>
      <x:c r="AL113" s="167" t="str">
        <x:f>IF(AND(AL$6&lt;=$H113,AL$6+6&gt;=$G113),1,"")</x:f>
      </x:c>
      <x:c r="AM113" s="167" t="str">
        <x:f>IF(AND(AM$6&lt;=$H113,AM$6+6&gt;=$G113),1,"")</x:f>
      </x:c>
      <x:c r="AN113" s="167" t="str">
        <x:f>IF(AND(AN$6&lt;=$H113,AN$6+6&gt;=$G113),1,"")</x:f>
      </x:c>
      <x:c r="AO113" s="167" t="str">
        <x:f>IF(AND(AO$6&lt;=$H113,AO$6+6&gt;=$G113),1,"")</x:f>
      </x:c>
      <x:c r="AP113" s="167" t="str">
        <x:f>IF(AND(AP$6&lt;=$H113,AP$6+6&gt;=$G113),1,"")</x:f>
      </x:c>
      <x:c r="AQ113" s="167" t="str">
        <x:f>IF(AND(AQ$6&lt;=$H113,AQ$6+6&gt;=$G113),1,"")</x:f>
      </x:c>
      <x:c r="AR113" s="167" t="str">
        <x:f>IF(AND(AR$6&lt;=$H113,AR$6+6&gt;=$G113),1,"")</x:f>
      </x:c>
      <x:c r="AS113" s="167" t="str">
        <x:f>IF(AND(AS$6&lt;=$H113,AS$6+6&gt;=$G113),1,"")</x:f>
      </x:c>
      <x:c r="AT113" s="167" t="str">
        <x:f>IF(AND(AT$6&lt;=$H113,AT$6+6&gt;=$G113),1,"")</x:f>
      </x:c>
      <x:c r="AU113" s="167" t="str">
        <x:f>IF(AND(AU$6&lt;=$H113,AU$6+6&gt;=$G113),1,"")</x:f>
      </x:c>
      <x:c r="AV113" s="167" t="str">
        <x:f>IF(AND(AV$6&lt;=$H113,AV$6+6&gt;=$G113),1,"")</x:f>
      </x:c>
      <x:c r="AW113" s="167" t="str">
        <x:f>IF(AND(AW$6&lt;=$H113,AW$6+6&gt;=$G113),1,"")</x:f>
      </x:c>
      <x:c r="AX113" s="167" t="str">
        <x:f>IF(AND(AX$6&lt;=$H113,AX$6+6&gt;=$G113),1,"")</x:f>
      </x:c>
      <x:c r="AY113" s="167" t="str">
        <x:f>IF(AND(AY$6&lt;=$H113,AY$6+6&gt;=$G113),1,"")</x:f>
      </x:c>
      <x:c r="AZ113" s="167" t="str">
        <x:f>IF(AND(AZ$6&lt;=$H113,AZ$6+6&gt;=$G113),1,"")</x:f>
      </x:c>
      <x:c r="BA113" s="167" t="str">
        <x:f>IF(AND(BA$6&lt;=$H113,BA$6+6&gt;=$G113),1,"")</x:f>
      </x:c>
      <x:c r="BB113" s="167" t="str">
        <x:f>IF(AND(BB$6&lt;=$H113,BB$6+6&gt;=$G113),1,"")</x:f>
      </x:c>
      <x:c r="BC113" s="167" t="str">
        <x:f>IF(AND(BC$6&lt;=$H113,BC$6+6&gt;=$G113),1,"")</x:f>
      </x:c>
      <x:c r="BD113" s="167" t="str">
        <x:f>IF(AND(BD$6&lt;=$H113,BD$6+6&gt;=$G113),1,"")</x:f>
      </x:c>
      <x:c r="BE113" s="167" t="str">
        <x:f>IF(AND(BE$6&lt;=$H113,BE$6+6&gt;=$G113),1,"")</x:f>
      </x:c>
      <x:c r="BF113" s="167" t="str">
        <x:f>IF(AND(BF$6&lt;=$H113,BF$6+6&gt;=$G113),1,"")</x:f>
      </x:c>
      <x:c r="BG113" s="167" t="str">
        <x:f>IF(AND(BG$6&lt;=$H113,BG$6+6&gt;=$G113),1,"")</x:f>
      </x:c>
      <x:c r="BH113" s="167" t="str">
        <x:f>IF(AND(BH$6&lt;=$H113,BH$6+6&gt;=$G113),1,"")</x:f>
      </x:c>
      <x:c r="BI113" s="167" t="str">
        <x:f>IF(AND(BI$6&lt;=$H113,BI$6+6&gt;=$G113),1,"")</x:f>
      </x:c>
      <x:c r="BJ113" s="167" t="str">
        <x:f>IF(AND(BJ$6&lt;=$H113,BJ$6+6&gt;=$G113),1,"")</x:f>
      </x:c>
      <x:c r="BK113" s="167" t="str">
        <x:f>IF(AND(BK$6&lt;=$H113,BK$6+6&gt;=$G113),1,"")</x:f>
      </x:c>
      <x:c r="BL113" s="167" t="str">
        <x:f>IF(AND(BL$6&lt;=$H113,BL$6+6&gt;=$G113),1,"")</x:f>
      </x:c>
      <x:c r="BM113" s="167" t="str">
        <x:f>IF(AND(BM$6&lt;=$H113,BM$6+6&gt;=$G113),1,"")</x:f>
      </x:c>
      <x:c r="BN113" s="167" t="str">
        <x:f>IF(AND(BN$6&lt;=$H113,BN$6+6&gt;=$G113),1,"")</x:f>
      </x:c>
      <x:c r="BO113" s="168" t="str">
        <x:f>IF(AND(BO$6&lt;=$H113,BO$6+6&gt;=$G113),1,"")</x:f>
      </x:c>
    </x:row>
    <x:row r="114" ht="24" customHeight="1">
      <x:c r="A114" s="68" t="str">
        <x:f>'Task Register'!A112</x:f>
        <x:v>T-602</x:v>
      </x:c>
      <x:c r="B114" s="68" t="str">
        <x:f>'Task Register'!B112</x:f>
        <x:v>M6</x:v>
      </x:c>
      <x:c r="C114" s="68" t="str">
        <x:f>'Task Register'!C112</x:f>
        <x:v>CAD/Geometry</x:v>
      </x:c>
      <x:c r="D114" s="68" t="str">
        <x:f>'Task Register'!D112</x:f>
        <x:v>Build the parametric CAD skeleton and frame map</x:v>
      </x:c>
      <x:c r="E114" s="68" t="str">
        <x:f>'Task Register'!E112</x:f>
        <x:v>T-502, T-505, T-601</x:v>
      </x:c>
      <x:c r="F114" s="68" t="str">
        <x:f>'Task Register'!F112</x:f>
        <x:v>Blocked</x:v>
      </x:c>
      <x:c r="G114" s="94" t="n">
        <x:f>'Task Register'!I112</x:f>
        <x:v>46329</x:v>
      </x:c>
      <x:c r="H114" s="94" t="n">
        <x:f>'Task Register'!J112</x:f>
        <x:v>46332</x:v>
      </x:c>
      <x:c r="I114" s="166" t="str">
        <x:f>IF(AND(I$6&lt;=$H114,I$6+6&gt;=$G114),1,"")</x:f>
      </x:c>
      <x:c r="J114" s="167" t="str">
        <x:f>IF(AND(J$6&lt;=$H114,J$6+6&gt;=$G114),1,"")</x:f>
      </x:c>
      <x:c r="K114" s="167" t="str">
        <x:f>IF(AND(K$6&lt;=$H114,K$6+6&gt;=$G114),1,"")</x:f>
      </x:c>
      <x:c r="L114" s="167" t="str">
        <x:f>IF(AND(L$6&lt;=$H114,L$6+6&gt;=$G114),1,"")</x:f>
      </x:c>
      <x:c r="M114" s="167" t="str">
        <x:f>IF(AND(M$6&lt;=$H114,M$6+6&gt;=$G114),1,"")</x:f>
      </x:c>
      <x:c r="N114" s="167" t="str">
        <x:f>IF(AND(N$6&lt;=$H114,N$6+6&gt;=$G114),1,"")</x:f>
      </x:c>
      <x:c r="O114" s="167" t="str">
        <x:f>IF(AND(O$6&lt;=$H114,O$6+6&gt;=$G114),1,"")</x:f>
      </x:c>
      <x:c r="P114" s="167" t="str">
        <x:f>IF(AND(P$6&lt;=$H114,P$6+6&gt;=$G114),1,"")</x:f>
      </x:c>
      <x:c r="Q114" s="167" t="str">
        <x:f>IF(AND(Q$6&lt;=$H114,Q$6+6&gt;=$G114),1,"")</x:f>
      </x:c>
      <x:c r="R114" s="167" t="str">
        <x:f>IF(AND(R$6&lt;=$H114,R$6+6&gt;=$G114),1,"")</x:f>
      </x:c>
      <x:c r="S114" s="167" t="str">
        <x:f>IF(AND(S$6&lt;=$H114,S$6+6&gt;=$G114),1,"")</x:f>
      </x:c>
      <x:c r="T114" s="167" t="str">
        <x:f>IF(AND(T$6&lt;=$H114,T$6+6&gt;=$G114),1,"")</x:f>
      </x:c>
      <x:c r="U114" s="167" t="str">
        <x:f>IF(AND(U$6&lt;=$H114,U$6+6&gt;=$G114),1,"")</x:f>
      </x:c>
      <x:c r="V114" s="167" t="n">
        <x:f>IF(AND(V$6&lt;=$H114,V$6+6&gt;=$G114),1,"")</x:f>
        <x:v>1</x:v>
      </x:c>
      <x:c r="W114" s="167" t="str">
        <x:f>IF(AND(W$6&lt;=$H114,W$6+6&gt;=$G114),1,"")</x:f>
      </x:c>
      <x:c r="X114" s="167" t="str">
        <x:f>IF(AND(X$6&lt;=$H114,X$6+6&gt;=$G114),1,"")</x:f>
      </x:c>
      <x:c r="Y114" s="167" t="str">
        <x:f>IF(AND(Y$6&lt;=$H114,Y$6+6&gt;=$G114),1,"")</x:f>
      </x:c>
      <x:c r="Z114" s="167" t="str">
        <x:f>IF(AND(Z$6&lt;=$H114,Z$6+6&gt;=$G114),1,"")</x:f>
      </x:c>
      <x:c r="AA114" s="167" t="str">
        <x:f>IF(AND(AA$6&lt;=$H114,AA$6+6&gt;=$G114),1,"")</x:f>
      </x:c>
      <x:c r="AB114" s="167" t="str">
        <x:f>IF(AND(AB$6&lt;=$H114,AB$6+6&gt;=$G114),1,"")</x:f>
      </x:c>
      <x:c r="AC114" s="167" t="str">
        <x:f>IF(AND(AC$6&lt;=$H114,AC$6+6&gt;=$G114),1,"")</x:f>
      </x:c>
      <x:c r="AD114" s="167" t="str">
        <x:f>IF(AND(AD$6&lt;=$H114,AD$6+6&gt;=$G114),1,"")</x:f>
      </x:c>
      <x:c r="AE114" s="167" t="str">
        <x:f>IF(AND(AE$6&lt;=$H114,AE$6+6&gt;=$G114),1,"")</x:f>
      </x:c>
      <x:c r="AF114" s="167" t="str">
        <x:f>IF(AND(AF$6&lt;=$H114,AF$6+6&gt;=$G114),1,"")</x:f>
      </x:c>
      <x:c r="AG114" s="167" t="str">
        <x:f>IF(AND(AG$6&lt;=$H114,AG$6+6&gt;=$G114),1,"")</x:f>
      </x:c>
      <x:c r="AH114" s="167" t="str">
        <x:f>IF(AND(AH$6&lt;=$H114,AH$6+6&gt;=$G114),1,"")</x:f>
      </x:c>
      <x:c r="AI114" s="167" t="str">
        <x:f>IF(AND(AI$6&lt;=$H114,AI$6+6&gt;=$G114),1,"")</x:f>
      </x:c>
      <x:c r="AJ114" s="167" t="str">
        <x:f>IF(AND(AJ$6&lt;=$H114,AJ$6+6&gt;=$G114),1,"")</x:f>
      </x:c>
      <x:c r="AK114" s="167" t="str">
        <x:f>IF(AND(AK$6&lt;=$H114,AK$6+6&gt;=$G114),1,"")</x:f>
      </x:c>
      <x:c r="AL114" s="167" t="str">
        <x:f>IF(AND(AL$6&lt;=$H114,AL$6+6&gt;=$G114),1,"")</x:f>
      </x:c>
      <x:c r="AM114" s="167" t="str">
        <x:f>IF(AND(AM$6&lt;=$H114,AM$6+6&gt;=$G114),1,"")</x:f>
      </x:c>
      <x:c r="AN114" s="167" t="str">
        <x:f>IF(AND(AN$6&lt;=$H114,AN$6+6&gt;=$G114),1,"")</x:f>
      </x:c>
      <x:c r="AO114" s="167" t="str">
        <x:f>IF(AND(AO$6&lt;=$H114,AO$6+6&gt;=$G114),1,"")</x:f>
      </x:c>
      <x:c r="AP114" s="167" t="str">
        <x:f>IF(AND(AP$6&lt;=$H114,AP$6+6&gt;=$G114),1,"")</x:f>
      </x:c>
      <x:c r="AQ114" s="167" t="str">
        <x:f>IF(AND(AQ$6&lt;=$H114,AQ$6+6&gt;=$G114),1,"")</x:f>
      </x:c>
      <x:c r="AR114" s="167" t="str">
        <x:f>IF(AND(AR$6&lt;=$H114,AR$6+6&gt;=$G114),1,"")</x:f>
      </x:c>
      <x:c r="AS114" s="167" t="str">
        <x:f>IF(AND(AS$6&lt;=$H114,AS$6+6&gt;=$G114),1,"")</x:f>
      </x:c>
      <x:c r="AT114" s="167" t="str">
        <x:f>IF(AND(AT$6&lt;=$H114,AT$6+6&gt;=$G114),1,"")</x:f>
      </x:c>
      <x:c r="AU114" s="167" t="str">
        <x:f>IF(AND(AU$6&lt;=$H114,AU$6+6&gt;=$G114),1,"")</x:f>
      </x:c>
      <x:c r="AV114" s="167" t="str">
        <x:f>IF(AND(AV$6&lt;=$H114,AV$6+6&gt;=$G114),1,"")</x:f>
      </x:c>
      <x:c r="AW114" s="167" t="str">
        <x:f>IF(AND(AW$6&lt;=$H114,AW$6+6&gt;=$G114),1,"")</x:f>
      </x:c>
      <x:c r="AX114" s="167" t="str">
        <x:f>IF(AND(AX$6&lt;=$H114,AX$6+6&gt;=$G114),1,"")</x:f>
      </x:c>
      <x:c r="AY114" s="167" t="str">
        <x:f>IF(AND(AY$6&lt;=$H114,AY$6+6&gt;=$G114),1,"")</x:f>
      </x:c>
      <x:c r="AZ114" s="167" t="str">
        <x:f>IF(AND(AZ$6&lt;=$H114,AZ$6+6&gt;=$G114),1,"")</x:f>
      </x:c>
      <x:c r="BA114" s="167" t="str">
        <x:f>IF(AND(BA$6&lt;=$H114,BA$6+6&gt;=$G114),1,"")</x:f>
      </x:c>
      <x:c r="BB114" s="167" t="str">
        <x:f>IF(AND(BB$6&lt;=$H114,BB$6+6&gt;=$G114),1,"")</x:f>
      </x:c>
      <x:c r="BC114" s="167" t="str">
        <x:f>IF(AND(BC$6&lt;=$H114,BC$6+6&gt;=$G114),1,"")</x:f>
      </x:c>
      <x:c r="BD114" s="167" t="str">
        <x:f>IF(AND(BD$6&lt;=$H114,BD$6+6&gt;=$G114),1,"")</x:f>
      </x:c>
      <x:c r="BE114" s="167" t="str">
        <x:f>IF(AND(BE$6&lt;=$H114,BE$6+6&gt;=$G114),1,"")</x:f>
      </x:c>
      <x:c r="BF114" s="167" t="str">
        <x:f>IF(AND(BF$6&lt;=$H114,BF$6+6&gt;=$G114),1,"")</x:f>
      </x:c>
      <x:c r="BG114" s="167" t="str">
        <x:f>IF(AND(BG$6&lt;=$H114,BG$6+6&gt;=$G114),1,"")</x:f>
      </x:c>
      <x:c r="BH114" s="167" t="str">
        <x:f>IF(AND(BH$6&lt;=$H114,BH$6+6&gt;=$G114),1,"")</x:f>
      </x:c>
      <x:c r="BI114" s="167" t="str">
        <x:f>IF(AND(BI$6&lt;=$H114,BI$6+6&gt;=$G114),1,"")</x:f>
      </x:c>
      <x:c r="BJ114" s="167" t="str">
        <x:f>IF(AND(BJ$6&lt;=$H114,BJ$6+6&gt;=$G114),1,"")</x:f>
      </x:c>
      <x:c r="BK114" s="167" t="str">
        <x:f>IF(AND(BK$6&lt;=$H114,BK$6+6&gt;=$G114),1,"")</x:f>
      </x:c>
      <x:c r="BL114" s="167" t="str">
        <x:f>IF(AND(BL$6&lt;=$H114,BL$6+6&gt;=$G114),1,"")</x:f>
      </x:c>
      <x:c r="BM114" s="167" t="str">
        <x:f>IF(AND(BM$6&lt;=$H114,BM$6+6&gt;=$G114),1,"")</x:f>
      </x:c>
      <x:c r="BN114" s="167" t="str">
        <x:f>IF(AND(BN$6&lt;=$H114,BN$6+6&gt;=$G114),1,"")</x:f>
      </x:c>
      <x:c r="BO114" s="168" t="str">
        <x:f>IF(AND(BO$6&lt;=$H114,BO$6+6&gt;=$G114),1,"")</x:f>
      </x:c>
    </x:row>
    <x:row r="115" ht="24" customHeight="1">
      <x:c r="A115" s="68" t="str">
        <x:f>'Task Register'!A113</x:f>
        <x:v>T-603</x:v>
      </x:c>
      <x:c r="B115" s="68" t="str">
        <x:f>'Task Register'!B113</x:f>
        <x:v>M6</x:v>
      </x:c>
      <x:c r="C115" s="68" t="str">
        <x:f>'Task Register'!C113</x:f>
        <x:v>Mechanical Analysis</x:v>
      </x:c>
      <x:c r="D115" s="68" t="str">
        <x:f>'Task Register'!D113</x:f>
        <x:v>Analyze structural load paths and stiffness</x:v>
      </x:c>
      <x:c r="E115" s="68" t="str">
        <x:f>'Task Register'!E113</x:f>
        <x:v>T-508, T-602</x:v>
      </x:c>
      <x:c r="F115" s="68" t="str">
        <x:f>'Task Register'!F113</x:f>
        <x:v>Blocked</x:v>
      </x:c>
      <x:c r="G115" s="94" t="n">
        <x:f>'Task Register'!I113</x:f>
        <x:v>46335</x:v>
      </x:c>
      <x:c r="H115" s="94" t="n">
        <x:f>'Task Register'!J113</x:f>
        <x:v>46338</x:v>
      </x:c>
      <x:c r="I115" s="166" t="str">
        <x:f>IF(AND(I$6&lt;=$H115,I$6+6&gt;=$G115),1,"")</x:f>
      </x:c>
      <x:c r="J115" s="167" t="str">
        <x:f>IF(AND(J$6&lt;=$H115,J$6+6&gt;=$G115),1,"")</x:f>
      </x:c>
      <x:c r="K115" s="167" t="str">
        <x:f>IF(AND(K$6&lt;=$H115,K$6+6&gt;=$G115),1,"")</x:f>
      </x:c>
      <x:c r="L115" s="167" t="str">
        <x:f>IF(AND(L$6&lt;=$H115,L$6+6&gt;=$G115),1,"")</x:f>
      </x:c>
      <x:c r="M115" s="167" t="str">
        <x:f>IF(AND(M$6&lt;=$H115,M$6+6&gt;=$G115),1,"")</x:f>
      </x:c>
      <x:c r="N115" s="167" t="str">
        <x:f>IF(AND(N$6&lt;=$H115,N$6+6&gt;=$G115),1,"")</x:f>
      </x:c>
      <x:c r="O115" s="167" t="str">
        <x:f>IF(AND(O$6&lt;=$H115,O$6+6&gt;=$G115),1,"")</x:f>
      </x:c>
      <x:c r="P115" s="167" t="str">
        <x:f>IF(AND(P$6&lt;=$H115,P$6+6&gt;=$G115),1,"")</x:f>
      </x:c>
      <x:c r="Q115" s="167" t="str">
        <x:f>IF(AND(Q$6&lt;=$H115,Q$6+6&gt;=$G115),1,"")</x:f>
      </x:c>
      <x:c r="R115" s="167" t="str">
        <x:f>IF(AND(R$6&lt;=$H115,R$6+6&gt;=$G115),1,"")</x:f>
      </x:c>
      <x:c r="S115" s="167" t="str">
        <x:f>IF(AND(S$6&lt;=$H115,S$6+6&gt;=$G115),1,"")</x:f>
      </x:c>
      <x:c r="T115" s="167" t="str">
        <x:f>IF(AND(T$6&lt;=$H115,T$6+6&gt;=$G115),1,"")</x:f>
      </x:c>
      <x:c r="U115" s="167" t="str">
        <x:f>IF(AND(U$6&lt;=$H115,U$6+6&gt;=$G115),1,"")</x:f>
      </x:c>
      <x:c r="V115" s="167" t="str">
        <x:f>IF(AND(V$6&lt;=$H115,V$6+6&gt;=$G115),1,"")</x:f>
      </x:c>
      <x:c r="W115" s="167" t="n">
        <x:f>IF(AND(W$6&lt;=$H115,W$6+6&gt;=$G115),1,"")</x:f>
        <x:v>1</x:v>
      </x:c>
      <x:c r="X115" s="167" t="str">
        <x:f>IF(AND(X$6&lt;=$H115,X$6+6&gt;=$G115),1,"")</x:f>
      </x:c>
      <x:c r="Y115" s="167" t="str">
        <x:f>IF(AND(Y$6&lt;=$H115,Y$6+6&gt;=$G115),1,"")</x:f>
      </x:c>
      <x:c r="Z115" s="167" t="str">
        <x:f>IF(AND(Z$6&lt;=$H115,Z$6+6&gt;=$G115),1,"")</x:f>
      </x:c>
      <x:c r="AA115" s="167" t="str">
        <x:f>IF(AND(AA$6&lt;=$H115,AA$6+6&gt;=$G115),1,"")</x:f>
      </x:c>
      <x:c r="AB115" s="167" t="str">
        <x:f>IF(AND(AB$6&lt;=$H115,AB$6+6&gt;=$G115),1,"")</x:f>
      </x:c>
      <x:c r="AC115" s="167" t="str">
        <x:f>IF(AND(AC$6&lt;=$H115,AC$6+6&gt;=$G115),1,"")</x:f>
      </x:c>
      <x:c r="AD115" s="167" t="str">
        <x:f>IF(AND(AD$6&lt;=$H115,AD$6+6&gt;=$G115),1,"")</x:f>
      </x:c>
      <x:c r="AE115" s="167" t="str">
        <x:f>IF(AND(AE$6&lt;=$H115,AE$6+6&gt;=$G115),1,"")</x:f>
      </x:c>
      <x:c r="AF115" s="167" t="str">
        <x:f>IF(AND(AF$6&lt;=$H115,AF$6+6&gt;=$G115),1,"")</x:f>
      </x:c>
      <x:c r="AG115" s="167" t="str">
        <x:f>IF(AND(AG$6&lt;=$H115,AG$6+6&gt;=$G115),1,"")</x:f>
      </x:c>
      <x:c r="AH115" s="167" t="str">
        <x:f>IF(AND(AH$6&lt;=$H115,AH$6+6&gt;=$G115),1,"")</x:f>
      </x:c>
      <x:c r="AI115" s="167" t="str">
        <x:f>IF(AND(AI$6&lt;=$H115,AI$6+6&gt;=$G115),1,"")</x:f>
      </x:c>
      <x:c r="AJ115" s="167" t="str">
        <x:f>IF(AND(AJ$6&lt;=$H115,AJ$6+6&gt;=$G115),1,"")</x:f>
      </x:c>
      <x:c r="AK115" s="167" t="str">
        <x:f>IF(AND(AK$6&lt;=$H115,AK$6+6&gt;=$G115),1,"")</x:f>
      </x:c>
      <x:c r="AL115" s="167" t="str">
        <x:f>IF(AND(AL$6&lt;=$H115,AL$6+6&gt;=$G115),1,"")</x:f>
      </x:c>
      <x:c r="AM115" s="167" t="str">
        <x:f>IF(AND(AM$6&lt;=$H115,AM$6+6&gt;=$G115),1,"")</x:f>
      </x:c>
      <x:c r="AN115" s="167" t="str">
        <x:f>IF(AND(AN$6&lt;=$H115,AN$6+6&gt;=$G115),1,"")</x:f>
      </x:c>
      <x:c r="AO115" s="167" t="str">
        <x:f>IF(AND(AO$6&lt;=$H115,AO$6+6&gt;=$G115),1,"")</x:f>
      </x:c>
      <x:c r="AP115" s="167" t="str">
        <x:f>IF(AND(AP$6&lt;=$H115,AP$6+6&gt;=$G115),1,"")</x:f>
      </x:c>
      <x:c r="AQ115" s="167" t="str">
        <x:f>IF(AND(AQ$6&lt;=$H115,AQ$6+6&gt;=$G115),1,"")</x:f>
      </x:c>
      <x:c r="AR115" s="167" t="str">
        <x:f>IF(AND(AR$6&lt;=$H115,AR$6+6&gt;=$G115),1,"")</x:f>
      </x:c>
      <x:c r="AS115" s="167" t="str">
        <x:f>IF(AND(AS$6&lt;=$H115,AS$6+6&gt;=$G115),1,"")</x:f>
      </x:c>
      <x:c r="AT115" s="167" t="str">
        <x:f>IF(AND(AT$6&lt;=$H115,AT$6+6&gt;=$G115),1,"")</x:f>
      </x:c>
      <x:c r="AU115" s="167" t="str">
        <x:f>IF(AND(AU$6&lt;=$H115,AU$6+6&gt;=$G115),1,"")</x:f>
      </x:c>
      <x:c r="AV115" s="167" t="str">
        <x:f>IF(AND(AV$6&lt;=$H115,AV$6+6&gt;=$G115),1,"")</x:f>
      </x:c>
      <x:c r="AW115" s="167" t="str">
        <x:f>IF(AND(AW$6&lt;=$H115,AW$6+6&gt;=$G115),1,"")</x:f>
      </x:c>
      <x:c r="AX115" s="167" t="str">
        <x:f>IF(AND(AX$6&lt;=$H115,AX$6+6&gt;=$G115),1,"")</x:f>
      </x:c>
      <x:c r="AY115" s="167" t="str">
        <x:f>IF(AND(AY$6&lt;=$H115,AY$6+6&gt;=$G115),1,"")</x:f>
      </x:c>
      <x:c r="AZ115" s="167" t="str">
        <x:f>IF(AND(AZ$6&lt;=$H115,AZ$6+6&gt;=$G115),1,"")</x:f>
      </x:c>
      <x:c r="BA115" s="167" t="str">
        <x:f>IF(AND(BA$6&lt;=$H115,BA$6+6&gt;=$G115),1,"")</x:f>
      </x:c>
      <x:c r="BB115" s="167" t="str">
        <x:f>IF(AND(BB$6&lt;=$H115,BB$6+6&gt;=$G115),1,"")</x:f>
      </x:c>
      <x:c r="BC115" s="167" t="str">
        <x:f>IF(AND(BC$6&lt;=$H115,BC$6+6&gt;=$G115),1,"")</x:f>
      </x:c>
      <x:c r="BD115" s="167" t="str">
        <x:f>IF(AND(BD$6&lt;=$H115,BD$6+6&gt;=$G115),1,"")</x:f>
      </x:c>
      <x:c r="BE115" s="167" t="str">
        <x:f>IF(AND(BE$6&lt;=$H115,BE$6+6&gt;=$G115),1,"")</x:f>
      </x:c>
      <x:c r="BF115" s="167" t="str">
        <x:f>IF(AND(BF$6&lt;=$H115,BF$6+6&gt;=$G115),1,"")</x:f>
      </x:c>
      <x:c r="BG115" s="167" t="str">
        <x:f>IF(AND(BG$6&lt;=$H115,BG$6+6&gt;=$G115),1,"")</x:f>
      </x:c>
      <x:c r="BH115" s="167" t="str">
        <x:f>IF(AND(BH$6&lt;=$H115,BH$6+6&gt;=$G115),1,"")</x:f>
      </x:c>
      <x:c r="BI115" s="167" t="str">
        <x:f>IF(AND(BI$6&lt;=$H115,BI$6+6&gt;=$G115),1,"")</x:f>
      </x:c>
      <x:c r="BJ115" s="167" t="str">
        <x:f>IF(AND(BJ$6&lt;=$H115,BJ$6+6&gt;=$G115),1,"")</x:f>
      </x:c>
      <x:c r="BK115" s="167" t="str">
        <x:f>IF(AND(BK$6&lt;=$H115,BK$6+6&gt;=$G115),1,"")</x:f>
      </x:c>
      <x:c r="BL115" s="167" t="str">
        <x:f>IF(AND(BL$6&lt;=$H115,BL$6+6&gt;=$G115),1,"")</x:f>
      </x:c>
      <x:c r="BM115" s="167" t="str">
        <x:f>IF(AND(BM$6&lt;=$H115,BM$6+6&gt;=$G115),1,"")</x:f>
      </x:c>
      <x:c r="BN115" s="167" t="str">
        <x:f>IF(AND(BN$6&lt;=$H115,BN$6+6&gt;=$G115),1,"")</x:f>
      </x:c>
      <x:c r="BO115" s="168" t="str">
        <x:f>IF(AND(BO$6&lt;=$H115,BO$6+6&gt;=$G115),1,"")</x:f>
      </x:c>
    </x:row>
    <x:row r="116" ht="24" customHeight="1">
      <x:c r="A116" s="68" t="str">
        <x:f>'Task Register'!A114</x:f>
        <x:v>T-604</x:v>
      </x:c>
      <x:c r="B116" s="68" t="str">
        <x:f>'Task Register'!B114</x:f>
        <x:v>M6</x:v>
      </x:c>
      <x:c r="C116" s="68" t="str">
        <x:f>'Task Register'!C114</x:f>
        <x:v>Mechanical/Actuation</x:v>
      </x:c>
      <x:c r="D116" s="68" t="str">
        <x:f>'Task Register'!D114</x:f>
        <x:v>Design modular joint and transmission concepts</x:v>
      </x:c>
      <x:c r="E116" s="68" t="str">
        <x:f>'Task Register'!E114</x:f>
        <x:v>T-507, T-603</x:v>
      </x:c>
      <x:c r="F116" s="68" t="str">
        <x:f>'Task Register'!F114</x:f>
        <x:v>Blocked</x:v>
      </x:c>
      <x:c r="G116" s="94" t="n">
        <x:f>'Task Register'!I114</x:f>
        <x:v>46339</x:v>
      </x:c>
      <x:c r="H116" s="94" t="n">
        <x:f>'Task Register'!J114</x:f>
        <x:v>46346</x:v>
      </x:c>
      <x:c r="I116" s="166" t="str">
        <x:f>IF(AND(I$6&lt;=$H116,I$6+6&gt;=$G116),1,"")</x:f>
      </x:c>
      <x:c r="J116" s="167" t="str">
        <x:f>IF(AND(J$6&lt;=$H116,J$6+6&gt;=$G116),1,"")</x:f>
      </x:c>
      <x:c r="K116" s="167" t="str">
        <x:f>IF(AND(K$6&lt;=$H116,K$6+6&gt;=$G116),1,"")</x:f>
      </x:c>
      <x:c r="L116" s="167" t="str">
        <x:f>IF(AND(L$6&lt;=$H116,L$6+6&gt;=$G116),1,"")</x:f>
      </x:c>
      <x:c r="M116" s="167" t="str">
        <x:f>IF(AND(M$6&lt;=$H116,M$6+6&gt;=$G116),1,"")</x:f>
      </x:c>
      <x:c r="N116" s="167" t="str">
        <x:f>IF(AND(N$6&lt;=$H116,N$6+6&gt;=$G116),1,"")</x:f>
      </x:c>
      <x:c r="O116" s="167" t="str">
        <x:f>IF(AND(O$6&lt;=$H116,O$6+6&gt;=$G116),1,"")</x:f>
      </x:c>
      <x:c r="P116" s="167" t="str">
        <x:f>IF(AND(P$6&lt;=$H116,P$6+6&gt;=$G116),1,"")</x:f>
      </x:c>
      <x:c r="Q116" s="167" t="str">
        <x:f>IF(AND(Q$6&lt;=$H116,Q$6+6&gt;=$G116),1,"")</x:f>
      </x:c>
      <x:c r="R116" s="167" t="str">
        <x:f>IF(AND(R$6&lt;=$H116,R$6+6&gt;=$G116),1,"")</x:f>
      </x:c>
      <x:c r="S116" s="167" t="str">
        <x:f>IF(AND(S$6&lt;=$H116,S$6+6&gt;=$G116),1,"")</x:f>
      </x:c>
      <x:c r="T116" s="167" t="str">
        <x:f>IF(AND(T$6&lt;=$H116,T$6+6&gt;=$G116),1,"")</x:f>
      </x:c>
      <x:c r="U116" s="167" t="str">
        <x:f>IF(AND(U$6&lt;=$H116,U$6+6&gt;=$G116),1,"")</x:f>
      </x:c>
      <x:c r="V116" s="167" t="str">
        <x:f>IF(AND(V$6&lt;=$H116,V$6+6&gt;=$G116),1,"")</x:f>
      </x:c>
      <x:c r="W116" s="167" t="n">
        <x:f>IF(AND(W$6&lt;=$H116,W$6+6&gt;=$G116),1,"")</x:f>
        <x:v>1</x:v>
      </x:c>
      <x:c r="X116" s="167" t="n">
        <x:f>IF(AND(X$6&lt;=$H116,X$6+6&gt;=$G116),1,"")</x:f>
        <x:v>1</x:v>
      </x:c>
      <x:c r="Y116" s="167" t="str">
        <x:f>IF(AND(Y$6&lt;=$H116,Y$6+6&gt;=$G116),1,"")</x:f>
      </x:c>
      <x:c r="Z116" s="167" t="str">
        <x:f>IF(AND(Z$6&lt;=$H116,Z$6+6&gt;=$G116),1,"")</x:f>
      </x:c>
      <x:c r="AA116" s="167" t="str">
        <x:f>IF(AND(AA$6&lt;=$H116,AA$6+6&gt;=$G116),1,"")</x:f>
      </x:c>
      <x:c r="AB116" s="167" t="str">
        <x:f>IF(AND(AB$6&lt;=$H116,AB$6+6&gt;=$G116),1,"")</x:f>
      </x:c>
      <x:c r="AC116" s="167" t="str">
        <x:f>IF(AND(AC$6&lt;=$H116,AC$6+6&gt;=$G116),1,"")</x:f>
      </x:c>
      <x:c r="AD116" s="167" t="str">
        <x:f>IF(AND(AD$6&lt;=$H116,AD$6+6&gt;=$G116),1,"")</x:f>
      </x:c>
      <x:c r="AE116" s="167" t="str">
        <x:f>IF(AND(AE$6&lt;=$H116,AE$6+6&gt;=$G116),1,"")</x:f>
      </x:c>
      <x:c r="AF116" s="167" t="str">
        <x:f>IF(AND(AF$6&lt;=$H116,AF$6+6&gt;=$G116),1,"")</x:f>
      </x:c>
      <x:c r="AG116" s="167" t="str">
        <x:f>IF(AND(AG$6&lt;=$H116,AG$6+6&gt;=$G116),1,"")</x:f>
      </x:c>
      <x:c r="AH116" s="167" t="str">
        <x:f>IF(AND(AH$6&lt;=$H116,AH$6+6&gt;=$G116),1,"")</x:f>
      </x:c>
      <x:c r="AI116" s="167" t="str">
        <x:f>IF(AND(AI$6&lt;=$H116,AI$6+6&gt;=$G116),1,"")</x:f>
      </x:c>
      <x:c r="AJ116" s="167" t="str">
        <x:f>IF(AND(AJ$6&lt;=$H116,AJ$6+6&gt;=$G116),1,"")</x:f>
      </x:c>
      <x:c r="AK116" s="167" t="str">
        <x:f>IF(AND(AK$6&lt;=$H116,AK$6+6&gt;=$G116),1,"")</x:f>
      </x:c>
      <x:c r="AL116" s="167" t="str">
        <x:f>IF(AND(AL$6&lt;=$H116,AL$6+6&gt;=$G116),1,"")</x:f>
      </x:c>
      <x:c r="AM116" s="167" t="str">
        <x:f>IF(AND(AM$6&lt;=$H116,AM$6+6&gt;=$G116),1,"")</x:f>
      </x:c>
      <x:c r="AN116" s="167" t="str">
        <x:f>IF(AND(AN$6&lt;=$H116,AN$6+6&gt;=$G116),1,"")</x:f>
      </x:c>
      <x:c r="AO116" s="167" t="str">
        <x:f>IF(AND(AO$6&lt;=$H116,AO$6+6&gt;=$G116),1,"")</x:f>
      </x:c>
      <x:c r="AP116" s="167" t="str">
        <x:f>IF(AND(AP$6&lt;=$H116,AP$6+6&gt;=$G116),1,"")</x:f>
      </x:c>
      <x:c r="AQ116" s="167" t="str">
        <x:f>IF(AND(AQ$6&lt;=$H116,AQ$6+6&gt;=$G116),1,"")</x:f>
      </x:c>
      <x:c r="AR116" s="167" t="str">
        <x:f>IF(AND(AR$6&lt;=$H116,AR$6+6&gt;=$G116),1,"")</x:f>
      </x:c>
      <x:c r="AS116" s="167" t="str">
        <x:f>IF(AND(AS$6&lt;=$H116,AS$6+6&gt;=$G116),1,"")</x:f>
      </x:c>
      <x:c r="AT116" s="167" t="str">
        <x:f>IF(AND(AT$6&lt;=$H116,AT$6+6&gt;=$G116),1,"")</x:f>
      </x:c>
      <x:c r="AU116" s="167" t="str">
        <x:f>IF(AND(AU$6&lt;=$H116,AU$6+6&gt;=$G116),1,"")</x:f>
      </x:c>
      <x:c r="AV116" s="167" t="str">
        <x:f>IF(AND(AV$6&lt;=$H116,AV$6+6&gt;=$G116),1,"")</x:f>
      </x:c>
      <x:c r="AW116" s="167" t="str">
        <x:f>IF(AND(AW$6&lt;=$H116,AW$6+6&gt;=$G116),1,"")</x:f>
      </x:c>
      <x:c r="AX116" s="167" t="str">
        <x:f>IF(AND(AX$6&lt;=$H116,AX$6+6&gt;=$G116),1,"")</x:f>
      </x:c>
      <x:c r="AY116" s="167" t="str">
        <x:f>IF(AND(AY$6&lt;=$H116,AY$6+6&gt;=$G116),1,"")</x:f>
      </x:c>
      <x:c r="AZ116" s="167" t="str">
        <x:f>IF(AND(AZ$6&lt;=$H116,AZ$6+6&gt;=$G116),1,"")</x:f>
      </x:c>
      <x:c r="BA116" s="167" t="str">
        <x:f>IF(AND(BA$6&lt;=$H116,BA$6+6&gt;=$G116),1,"")</x:f>
      </x:c>
      <x:c r="BB116" s="167" t="str">
        <x:f>IF(AND(BB$6&lt;=$H116,BB$6+6&gt;=$G116),1,"")</x:f>
      </x:c>
      <x:c r="BC116" s="167" t="str">
        <x:f>IF(AND(BC$6&lt;=$H116,BC$6+6&gt;=$G116),1,"")</x:f>
      </x:c>
      <x:c r="BD116" s="167" t="str">
        <x:f>IF(AND(BD$6&lt;=$H116,BD$6+6&gt;=$G116),1,"")</x:f>
      </x:c>
      <x:c r="BE116" s="167" t="str">
        <x:f>IF(AND(BE$6&lt;=$H116,BE$6+6&gt;=$G116),1,"")</x:f>
      </x:c>
      <x:c r="BF116" s="167" t="str">
        <x:f>IF(AND(BF$6&lt;=$H116,BF$6+6&gt;=$G116),1,"")</x:f>
      </x:c>
      <x:c r="BG116" s="167" t="str">
        <x:f>IF(AND(BG$6&lt;=$H116,BG$6+6&gt;=$G116),1,"")</x:f>
      </x:c>
      <x:c r="BH116" s="167" t="str">
        <x:f>IF(AND(BH$6&lt;=$H116,BH$6+6&gt;=$G116),1,"")</x:f>
      </x:c>
      <x:c r="BI116" s="167" t="str">
        <x:f>IF(AND(BI$6&lt;=$H116,BI$6+6&gt;=$G116),1,"")</x:f>
      </x:c>
      <x:c r="BJ116" s="167" t="str">
        <x:f>IF(AND(BJ$6&lt;=$H116,BJ$6+6&gt;=$G116),1,"")</x:f>
      </x:c>
      <x:c r="BK116" s="167" t="str">
        <x:f>IF(AND(BK$6&lt;=$H116,BK$6+6&gt;=$G116),1,"")</x:f>
      </x:c>
      <x:c r="BL116" s="167" t="str">
        <x:f>IF(AND(BL$6&lt;=$H116,BL$6+6&gt;=$G116),1,"")</x:f>
      </x:c>
      <x:c r="BM116" s="167" t="str">
        <x:f>IF(AND(BM$6&lt;=$H116,BM$6+6&gt;=$G116),1,"")</x:f>
      </x:c>
      <x:c r="BN116" s="167" t="str">
        <x:f>IF(AND(BN$6&lt;=$H116,BN$6+6&gt;=$G116),1,"")</x:f>
      </x:c>
      <x:c r="BO116" s="168" t="str">
        <x:f>IF(AND(BO$6&lt;=$H116,BO$6+6&gt;=$G116),1,"")</x:f>
      </x:c>
    </x:row>
    <x:row r="117" ht="24" customHeight="1">
      <x:c r="A117" s="68" t="str">
        <x:f>'Task Register'!A115</x:f>
        <x:v>T-605</x:v>
      </x:c>
      <x:c r="B117" s="68" t="str">
        <x:f>'Task Register'!B115</x:f>
        <x:v>M6</x:v>
      </x:c>
      <x:c r="C117" s="68" t="str">
        <x:f>'Task Register'!C115</x:f>
        <x:v>Mechatronics</x:v>
      </x:c>
      <x:c r="D117" s="68" t="str">
        <x:f>'Task Register'!D115</x:f>
        <x:v>Integrate actuators, encoders, and drivers mechanically</x:v>
      </x:c>
      <x:c r="E117" s="68" t="str">
        <x:f>'Task Register'!E115</x:f>
        <x:v>T-503, T-604</x:v>
      </x:c>
      <x:c r="F117" s="68" t="str">
        <x:f>'Task Register'!F115</x:f>
        <x:v>Blocked</x:v>
      </x:c>
      <x:c r="G117" s="94" t="n">
        <x:f>'Task Register'!I115</x:f>
        <x:v>46349</x:v>
      </x:c>
      <x:c r="H117" s="94" t="n">
        <x:f>'Task Register'!J115</x:f>
        <x:v>46352</x:v>
      </x:c>
      <x:c r="I117" s="166" t="str">
        <x:f>IF(AND(I$6&lt;=$H117,I$6+6&gt;=$G117),1,"")</x:f>
      </x:c>
      <x:c r="J117" s="167" t="str">
        <x:f>IF(AND(J$6&lt;=$H117,J$6+6&gt;=$G117),1,"")</x:f>
      </x:c>
      <x:c r="K117" s="167" t="str">
        <x:f>IF(AND(K$6&lt;=$H117,K$6+6&gt;=$G117),1,"")</x:f>
      </x:c>
      <x:c r="L117" s="167" t="str">
        <x:f>IF(AND(L$6&lt;=$H117,L$6+6&gt;=$G117),1,"")</x:f>
      </x:c>
      <x:c r="M117" s="167" t="str">
        <x:f>IF(AND(M$6&lt;=$H117,M$6+6&gt;=$G117),1,"")</x:f>
      </x:c>
      <x:c r="N117" s="167" t="str">
        <x:f>IF(AND(N$6&lt;=$H117,N$6+6&gt;=$G117),1,"")</x:f>
      </x:c>
      <x:c r="O117" s="167" t="str">
        <x:f>IF(AND(O$6&lt;=$H117,O$6+6&gt;=$G117),1,"")</x:f>
      </x:c>
      <x:c r="P117" s="167" t="str">
        <x:f>IF(AND(P$6&lt;=$H117,P$6+6&gt;=$G117),1,"")</x:f>
      </x:c>
      <x:c r="Q117" s="167" t="str">
        <x:f>IF(AND(Q$6&lt;=$H117,Q$6+6&gt;=$G117),1,"")</x:f>
      </x:c>
      <x:c r="R117" s="167" t="str">
        <x:f>IF(AND(R$6&lt;=$H117,R$6+6&gt;=$G117),1,"")</x:f>
      </x:c>
      <x:c r="S117" s="167" t="str">
        <x:f>IF(AND(S$6&lt;=$H117,S$6+6&gt;=$G117),1,"")</x:f>
      </x:c>
      <x:c r="T117" s="167" t="str">
        <x:f>IF(AND(T$6&lt;=$H117,T$6+6&gt;=$G117),1,"")</x:f>
      </x:c>
      <x:c r="U117" s="167" t="str">
        <x:f>IF(AND(U$6&lt;=$H117,U$6+6&gt;=$G117),1,"")</x:f>
      </x:c>
      <x:c r="V117" s="167" t="str">
        <x:f>IF(AND(V$6&lt;=$H117,V$6+6&gt;=$G117),1,"")</x:f>
      </x:c>
      <x:c r="W117" s="167" t="str">
        <x:f>IF(AND(W$6&lt;=$H117,W$6+6&gt;=$G117),1,"")</x:f>
      </x:c>
      <x:c r="X117" s="167" t="str">
        <x:f>IF(AND(X$6&lt;=$H117,X$6+6&gt;=$G117),1,"")</x:f>
      </x:c>
      <x:c r="Y117" s="167" t="n">
        <x:f>IF(AND(Y$6&lt;=$H117,Y$6+6&gt;=$G117),1,"")</x:f>
        <x:v>1</x:v>
      </x:c>
      <x:c r="Z117" s="167" t="str">
        <x:f>IF(AND(Z$6&lt;=$H117,Z$6+6&gt;=$G117),1,"")</x:f>
      </x:c>
      <x:c r="AA117" s="167" t="str">
        <x:f>IF(AND(AA$6&lt;=$H117,AA$6+6&gt;=$G117),1,"")</x:f>
      </x:c>
      <x:c r="AB117" s="167" t="str">
        <x:f>IF(AND(AB$6&lt;=$H117,AB$6+6&gt;=$G117),1,"")</x:f>
      </x:c>
      <x:c r="AC117" s="167" t="str">
        <x:f>IF(AND(AC$6&lt;=$H117,AC$6+6&gt;=$G117),1,"")</x:f>
      </x:c>
      <x:c r="AD117" s="167" t="str">
        <x:f>IF(AND(AD$6&lt;=$H117,AD$6+6&gt;=$G117),1,"")</x:f>
      </x:c>
      <x:c r="AE117" s="167" t="str">
        <x:f>IF(AND(AE$6&lt;=$H117,AE$6+6&gt;=$G117),1,"")</x:f>
      </x:c>
      <x:c r="AF117" s="167" t="str">
        <x:f>IF(AND(AF$6&lt;=$H117,AF$6+6&gt;=$G117),1,"")</x:f>
      </x:c>
      <x:c r="AG117" s="167" t="str">
        <x:f>IF(AND(AG$6&lt;=$H117,AG$6+6&gt;=$G117),1,"")</x:f>
      </x:c>
      <x:c r="AH117" s="167" t="str">
        <x:f>IF(AND(AH$6&lt;=$H117,AH$6+6&gt;=$G117),1,"")</x:f>
      </x:c>
      <x:c r="AI117" s="167" t="str">
        <x:f>IF(AND(AI$6&lt;=$H117,AI$6+6&gt;=$G117),1,"")</x:f>
      </x:c>
      <x:c r="AJ117" s="167" t="str">
        <x:f>IF(AND(AJ$6&lt;=$H117,AJ$6+6&gt;=$G117),1,"")</x:f>
      </x:c>
      <x:c r="AK117" s="167" t="str">
        <x:f>IF(AND(AK$6&lt;=$H117,AK$6+6&gt;=$G117),1,"")</x:f>
      </x:c>
      <x:c r="AL117" s="167" t="str">
        <x:f>IF(AND(AL$6&lt;=$H117,AL$6+6&gt;=$G117),1,"")</x:f>
      </x:c>
      <x:c r="AM117" s="167" t="str">
        <x:f>IF(AND(AM$6&lt;=$H117,AM$6+6&gt;=$G117),1,"")</x:f>
      </x:c>
      <x:c r="AN117" s="167" t="str">
        <x:f>IF(AND(AN$6&lt;=$H117,AN$6+6&gt;=$G117),1,"")</x:f>
      </x:c>
      <x:c r="AO117" s="167" t="str">
        <x:f>IF(AND(AO$6&lt;=$H117,AO$6+6&gt;=$G117),1,"")</x:f>
      </x:c>
      <x:c r="AP117" s="167" t="str">
        <x:f>IF(AND(AP$6&lt;=$H117,AP$6+6&gt;=$G117),1,"")</x:f>
      </x:c>
      <x:c r="AQ117" s="167" t="str">
        <x:f>IF(AND(AQ$6&lt;=$H117,AQ$6+6&gt;=$G117),1,"")</x:f>
      </x:c>
      <x:c r="AR117" s="167" t="str">
        <x:f>IF(AND(AR$6&lt;=$H117,AR$6+6&gt;=$G117),1,"")</x:f>
      </x:c>
      <x:c r="AS117" s="167" t="str">
        <x:f>IF(AND(AS$6&lt;=$H117,AS$6+6&gt;=$G117),1,"")</x:f>
      </x:c>
      <x:c r="AT117" s="167" t="str">
        <x:f>IF(AND(AT$6&lt;=$H117,AT$6+6&gt;=$G117),1,"")</x:f>
      </x:c>
      <x:c r="AU117" s="167" t="str">
        <x:f>IF(AND(AU$6&lt;=$H117,AU$6+6&gt;=$G117),1,"")</x:f>
      </x:c>
      <x:c r="AV117" s="167" t="str">
        <x:f>IF(AND(AV$6&lt;=$H117,AV$6+6&gt;=$G117),1,"")</x:f>
      </x:c>
      <x:c r="AW117" s="167" t="str">
        <x:f>IF(AND(AW$6&lt;=$H117,AW$6+6&gt;=$G117),1,"")</x:f>
      </x:c>
      <x:c r="AX117" s="167" t="str">
        <x:f>IF(AND(AX$6&lt;=$H117,AX$6+6&gt;=$G117),1,"")</x:f>
      </x:c>
      <x:c r="AY117" s="167" t="str">
        <x:f>IF(AND(AY$6&lt;=$H117,AY$6+6&gt;=$G117),1,"")</x:f>
      </x:c>
      <x:c r="AZ117" s="167" t="str">
        <x:f>IF(AND(AZ$6&lt;=$H117,AZ$6+6&gt;=$G117),1,"")</x:f>
      </x:c>
      <x:c r="BA117" s="167" t="str">
        <x:f>IF(AND(BA$6&lt;=$H117,BA$6+6&gt;=$G117),1,"")</x:f>
      </x:c>
      <x:c r="BB117" s="167" t="str">
        <x:f>IF(AND(BB$6&lt;=$H117,BB$6+6&gt;=$G117),1,"")</x:f>
      </x:c>
      <x:c r="BC117" s="167" t="str">
        <x:f>IF(AND(BC$6&lt;=$H117,BC$6+6&gt;=$G117),1,"")</x:f>
      </x:c>
      <x:c r="BD117" s="167" t="str">
        <x:f>IF(AND(BD$6&lt;=$H117,BD$6+6&gt;=$G117),1,"")</x:f>
      </x:c>
      <x:c r="BE117" s="167" t="str">
        <x:f>IF(AND(BE$6&lt;=$H117,BE$6+6&gt;=$G117),1,"")</x:f>
      </x:c>
      <x:c r="BF117" s="167" t="str">
        <x:f>IF(AND(BF$6&lt;=$H117,BF$6+6&gt;=$G117),1,"")</x:f>
      </x:c>
      <x:c r="BG117" s="167" t="str">
        <x:f>IF(AND(BG$6&lt;=$H117,BG$6+6&gt;=$G117),1,"")</x:f>
      </x:c>
      <x:c r="BH117" s="167" t="str">
        <x:f>IF(AND(BH$6&lt;=$H117,BH$6+6&gt;=$G117),1,"")</x:f>
      </x:c>
      <x:c r="BI117" s="167" t="str">
        <x:f>IF(AND(BI$6&lt;=$H117,BI$6+6&gt;=$G117),1,"")</x:f>
      </x:c>
      <x:c r="BJ117" s="167" t="str">
        <x:f>IF(AND(BJ$6&lt;=$H117,BJ$6+6&gt;=$G117),1,"")</x:f>
      </x:c>
      <x:c r="BK117" s="167" t="str">
        <x:f>IF(AND(BK$6&lt;=$H117,BK$6+6&gt;=$G117),1,"")</x:f>
      </x:c>
      <x:c r="BL117" s="167" t="str">
        <x:f>IF(AND(BL$6&lt;=$H117,BL$6+6&gt;=$G117),1,"")</x:f>
      </x:c>
      <x:c r="BM117" s="167" t="str">
        <x:f>IF(AND(BM$6&lt;=$H117,BM$6+6&gt;=$G117),1,"")</x:f>
      </x:c>
      <x:c r="BN117" s="167" t="str">
        <x:f>IF(AND(BN$6&lt;=$H117,BN$6+6&gt;=$G117),1,"")</x:f>
      </x:c>
      <x:c r="BO117" s="168" t="str">
        <x:f>IF(AND(BO$6&lt;=$H117,BO$6+6&gt;=$G117),1,"")</x:f>
      </x:c>
    </x:row>
    <x:row r="118" ht="24" customHeight="1">
      <x:c r="A118" s="68" t="str">
        <x:f>'Task Register'!A116</x:f>
        <x:v>T-606</x:v>
      </x:c>
      <x:c r="B118" s="68" t="str">
        <x:f>'Task Register'!B116</x:f>
        <x:v>M6</x:v>
      </x:c>
      <x:c r="C118" s="68" t="str">
        <x:f>'Task Register'!C116</x:f>
        <x:v>Mechanical/Safety</x:v>
      </x:c>
      <x:c r="D118" s="68" t="str">
        <x:f>'Task Register'!D116</x:f>
        <x:v>Design cable routing, stops, covers, and service access</x:v>
      </x:c>
      <x:c r="E118" s="68" t="str">
        <x:f>'Task Register'!E116</x:f>
        <x:v>T-604, T-605</x:v>
      </x:c>
      <x:c r="F118" s="68" t="str">
        <x:f>'Task Register'!F116</x:f>
        <x:v>Blocked</x:v>
      </x:c>
      <x:c r="G118" s="94" t="n">
        <x:f>'Task Register'!I116</x:f>
        <x:v>46353</x:v>
      </x:c>
      <x:c r="H118" s="94" t="n">
        <x:f>'Task Register'!J116</x:f>
        <x:v>46357</x:v>
      </x:c>
      <x:c r="I118" s="166" t="str">
        <x:f>IF(AND(I$6&lt;=$H118,I$6+6&gt;=$G118),1,"")</x:f>
      </x:c>
      <x:c r="J118" s="167" t="str">
        <x:f>IF(AND(J$6&lt;=$H118,J$6+6&gt;=$G118),1,"")</x:f>
      </x:c>
      <x:c r="K118" s="167" t="str">
        <x:f>IF(AND(K$6&lt;=$H118,K$6+6&gt;=$G118),1,"")</x:f>
      </x:c>
      <x:c r="L118" s="167" t="str">
        <x:f>IF(AND(L$6&lt;=$H118,L$6+6&gt;=$G118),1,"")</x:f>
      </x:c>
      <x:c r="M118" s="167" t="str">
        <x:f>IF(AND(M$6&lt;=$H118,M$6+6&gt;=$G118),1,"")</x:f>
      </x:c>
      <x:c r="N118" s="167" t="str">
        <x:f>IF(AND(N$6&lt;=$H118,N$6+6&gt;=$G118),1,"")</x:f>
      </x:c>
      <x:c r="O118" s="167" t="str">
        <x:f>IF(AND(O$6&lt;=$H118,O$6+6&gt;=$G118),1,"")</x:f>
      </x:c>
      <x:c r="P118" s="167" t="str">
        <x:f>IF(AND(P$6&lt;=$H118,P$6+6&gt;=$G118),1,"")</x:f>
      </x:c>
      <x:c r="Q118" s="167" t="str">
        <x:f>IF(AND(Q$6&lt;=$H118,Q$6+6&gt;=$G118),1,"")</x:f>
      </x:c>
      <x:c r="R118" s="167" t="str">
        <x:f>IF(AND(R$6&lt;=$H118,R$6+6&gt;=$G118),1,"")</x:f>
      </x:c>
      <x:c r="S118" s="167" t="str">
        <x:f>IF(AND(S$6&lt;=$H118,S$6+6&gt;=$G118),1,"")</x:f>
      </x:c>
      <x:c r="T118" s="167" t="str">
        <x:f>IF(AND(T$6&lt;=$H118,T$6+6&gt;=$G118),1,"")</x:f>
      </x:c>
      <x:c r="U118" s="167" t="str">
        <x:f>IF(AND(U$6&lt;=$H118,U$6+6&gt;=$G118),1,"")</x:f>
      </x:c>
      <x:c r="V118" s="167" t="str">
        <x:f>IF(AND(V$6&lt;=$H118,V$6+6&gt;=$G118),1,"")</x:f>
      </x:c>
      <x:c r="W118" s="167" t="str">
        <x:f>IF(AND(W$6&lt;=$H118,W$6+6&gt;=$G118),1,"")</x:f>
      </x:c>
      <x:c r="X118" s="167" t="str">
        <x:f>IF(AND(X$6&lt;=$H118,X$6+6&gt;=$G118),1,"")</x:f>
      </x:c>
      <x:c r="Y118" s="167" t="n">
        <x:f>IF(AND(Y$6&lt;=$H118,Y$6+6&gt;=$G118),1,"")</x:f>
        <x:v>1</x:v>
      </x:c>
      <x:c r="Z118" s="167" t="n">
        <x:f>IF(AND(Z$6&lt;=$H118,Z$6+6&gt;=$G118),1,"")</x:f>
        <x:v>1</x:v>
      </x:c>
      <x:c r="AA118" s="167" t="str">
        <x:f>IF(AND(AA$6&lt;=$H118,AA$6+6&gt;=$G118),1,"")</x:f>
      </x:c>
      <x:c r="AB118" s="167" t="str">
        <x:f>IF(AND(AB$6&lt;=$H118,AB$6+6&gt;=$G118),1,"")</x:f>
      </x:c>
      <x:c r="AC118" s="167" t="str">
        <x:f>IF(AND(AC$6&lt;=$H118,AC$6+6&gt;=$G118),1,"")</x:f>
      </x:c>
      <x:c r="AD118" s="167" t="str">
        <x:f>IF(AND(AD$6&lt;=$H118,AD$6+6&gt;=$G118),1,"")</x:f>
      </x:c>
      <x:c r="AE118" s="167" t="str">
        <x:f>IF(AND(AE$6&lt;=$H118,AE$6+6&gt;=$G118),1,"")</x:f>
      </x:c>
      <x:c r="AF118" s="167" t="str">
        <x:f>IF(AND(AF$6&lt;=$H118,AF$6+6&gt;=$G118),1,"")</x:f>
      </x:c>
      <x:c r="AG118" s="167" t="str">
        <x:f>IF(AND(AG$6&lt;=$H118,AG$6+6&gt;=$G118),1,"")</x:f>
      </x:c>
      <x:c r="AH118" s="167" t="str">
        <x:f>IF(AND(AH$6&lt;=$H118,AH$6+6&gt;=$G118),1,"")</x:f>
      </x:c>
      <x:c r="AI118" s="167" t="str">
        <x:f>IF(AND(AI$6&lt;=$H118,AI$6+6&gt;=$G118),1,"")</x:f>
      </x:c>
      <x:c r="AJ118" s="167" t="str">
        <x:f>IF(AND(AJ$6&lt;=$H118,AJ$6+6&gt;=$G118),1,"")</x:f>
      </x:c>
      <x:c r="AK118" s="167" t="str">
        <x:f>IF(AND(AK$6&lt;=$H118,AK$6+6&gt;=$G118),1,"")</x:f>
      </x:c>
      <x:c r="AL118" s="167" t="str">
        <x:f>IF(AND(AL$6&lt;=$H118,AL$6+6&gt;=$G118),1,"")</x:f>
      </x:c>
      <x:c r="AM118" s="167" t="str">
        <x:f>IF(AND(AM$6&lt;=$H118,AM$6+6&gt;=$G118),1,"")</x:f>
      </x:c>
      <x:c r="AN118" s="167" t="str">
        <x:f>IF(AND(AN$6&lt;=$H118,AN$6+6&gt;=$G118),1,"")</x:f>
      </x:c>
      <x:c r="AO118" s="167" t="str">
        <x:f>IF(AND(AO$6&lt;=$H118,AO$6+6&gt;=$G118),1,"")</x:f>
      </x:c>
      <x:c r="AP118" s="167" t="str">
        <x:f>IF(AND(AP$6&lt;=$H118,AP$6+6&gt;=$G118),1,"")</x:f>
      </x:c>
      <x:c r="AQ118" s="167" t="str">
        <x:f>IF(AND(AQ$6&lt;=$H118,AQ$6+6&gt;=$G118),1,"")</x:f>
      </x:c>
      <x:c r="AR118" s="167" t="str">
        <x:f>IF(AND(AR$6&lt;=$H118,AR$6+6&gt;=$G118),1,"")</x:f>
      </x:c>
      <x:c r="AS118" s="167" t="str">
        <x:f>IF(AND(AS$6&lt;=$H118,AS$6+6&gt;=$G118),1,"")</x:f>
      </x:c>
      <x:c r="AT118" s="167" t="str">
        <x:f>IF(AND(AT$6&lt;=$H118,AT$6+6&gt;=$G118),1,"")</x:f>
      </x:c>
      <x:c r="AU118" s="167" t="str">
        <x:f>IF(AND(AU$6&lt;=$H118,AU$6+6&gt;=$G118),1,"")</x:f>
      </x:c>
      <x:c r="AV118" s="167" t="str">
        <x:f>IF(AND(AV$6&lt;=$H118,AV$6+6&gt;=$G118),1,"")</x:f>
      </x:c>
      <x:c r="AW118" s="167" t="str">
        <x:f>IF(AND(AW$6&lt;=$H118,AW$6+6&gt;=$G118),1,"")</x:f>
      </x:c>
      <x:c r="AX118" s="167" t="str">
        <x:f>IF(AND(AX$6&lt;=$H118,AX$6+6&gt;=$G118),1,"")</x:f>
      </x:c>
      <x:c r="AY118" s="167" t="str">
        <x:f>IF(AND(AY$6&lt;=$H118,AY$6+6&gt;=$G118),1,"")</x:f>
      </x:c>
      <x:c r="AZ118" s="167" t="str">
        <x:f>IF(AND(AZ$6&lt;=$H118,AZ$6+6&gt;=$G118),1,"")</x:f>
      </x:c>
      <x:c r="BA118" s="167" t="str">
        <x:f>IF(AND(BA$6&lt;=$H118,BA$6+6&gt;=$G118),1,"")</x:f>
      </x:c>
      <x:c r="BB118" s="167" t="str">
        <x:f>IF(AND(BB$6&lt;=$H118,BB$6+6&gt;=$G118),1,"")</x:f>
      </x:c>
      <x:c r="BC118" s="167" t="str">
        <x:f>IF(AND(BC$6&lt;=$H118,BC$6+6&gt;=$G118),1,"")</x:f>
      </x:c>
      <x:c r="BD118" s="167" t="str">
        <x:f>IF(AND(BD$6&lt;=$H118,BD$6+6&gt;=$G118),1,"")</x:f>
      </x:c>
      <x:c r="BE118" s="167" t="str">
        <x:f>IF(AND(BE$6&lt;=$H118,BE$6+6&gt;=$G118),1,"")</x:f>
      </x:c>
      <x:c r="BF118" s="167" t="str">
        <x:f>IF(AND(BF$6&lt;=$H118,BF$6+6&gt;=$G118),1,"")</x:f>
      </x:c>
      <x:c r="BG118" s="167" t="str">
        <x:f>IF(AND(BG$6&lt;=$H118,BG$6+6&gt;=$G118),1,"")</x:f>
      </x:c>
      <x:c r="BH118" s="167" t="str">
        <x:f>IF(AND(BH$6&lt;=$H118,BH$6+6&gt;=$G118),1,"")</x:f>
      </x:c>
      <x:c r="BI118" s="167" t="str">
        <x:f>IF(AND(BI$6&lt;=$H118,BI$6+6&gt;=$G118),1,"")</x:f>
      </x:c>
      <x:c r="BJ118" s="167" t="str">
        <x:f>IF(AND(BJ$6&lt;=$H118,BJ$6+6&gt;=$G118),1,"")</x:f>
      </x:c>
      <x:c r="BK118" s="167" t="str">
        <x:f>IF(AND(BK$6&lt;=$H118,BK$6+6&gt;=$G118),1,"")</x:f>
      </x:c>
      <x:c r="BL118" s="167" t="str">
        <x:f>IF(AND(BL$6&lt;=$H118,BL$6+6&gt;=$G118),1,"")</x:f>
      </x:c>
      <x:c r="BM118" s="167" t="str">
        <x:f>IF(AND(BM$6&lt;=$H118,BM$6+6&gt;=$G118),1,"")</x:f>
      </x:c>
      <x:c r="BN118" s="167" t="str">
        <x:f>IF(AND(BN$6&lt;=$H118,BN$6+6&gt;=$G118),1,"")</x:f>
      </x:c>
      <x:c r="BO118" s="168" t="str">
        <x:f>IF(AND(BO$6&lt;=$H118,BO$6+6&gt;=$G118),1,"")</x:f>
      </x:c>
    </x:row>
    <x:row r="119" ht="24" customHeight="1">
      <x:c r="A119" s="68" t="str">
        <x:f>'Task Register'!A117</x:f>
        <x:v>T-607</x:v>
      </x:c>
      <x:c r="B119" s="68" t="str">
        <x:f>'Task Register'!B117</x:f>
        <x:v>M6</x:v>
      </x:c>
      <x:c r="C119" s="68" t="str">
        <x:f>'Task Register'!C117</x:f>
        <x:v>End Effector</x:v>
      </x:c>
      <x:c r="D119" s="68" t="str">
        <x:f>'Task Register'!D117</x:f>
        <x:v>Design the brush mount and contact-compliance module</x:v>
      </x:c>
      <x:c r="E119" s="68" t="str">
        <x:f>'Task Register'!E117</x:f>
        <x:v>T-509, T-602, T-603</x:v>
      </x:c>
      <x:c r="F119" s="68" t="str">
        <x:f>'Task Register'!F117</x:f>
        <x:v>Blocked</x:v>
      </x:c>
      <x:c r="G119" s="94" t="n">
        <x:f>'Task Register'!I117</x:f>
        <x:v>46358</x:v>
      </x:c>
      <x:c r="H119" s="94" t="n">
        <x:f>'Task Register'!J117</x:f>
        <x:v>46363</x:v>
      </x:c>
      <x:c r="I119" s="166" t="str">
        <x:f>IF(AND(I$6&lt;=$H119,I$6+6&gt;=$G119),1,"")</x:f>
      </x:c>
      <x:c r="J119" s="167" t="str">
        <x:f>IF(AND(J$6&lt;=$H119,J$6+6&gt;=$G119),1,"")</x:f>
      </x:c>
      <x:c r="K119" s="167" t="str">
        <x:f>IF(AND(K$6&lt;=$H119,K$6+6&gt;=$G119),1,"")</x:f>
      </x:c>
      <x:c r="L119" s="167" t="str">
        <x:f>IF(AND(L$6&lt;=$H119,L$6+6&gt;=$G119),1,"")</x:f>
      </x:c>
      <x:c r="M119" s="167" t="str">
        <x:f>IF(AND(M$6&lt;=$H119,M$6+6&gt;=$G119),1,"")</x:f>
      </x:c>
      <x:c r="N119" s="167" t="str">
        <x:f>IF(AND(N$6&lt;=$H119,N$6+6&gt;=$G119),1,"")</x:f>
      </x:c>
      <x:c r="O119" s="167" t="str">
        <x:f>IF(AND(O$6&lt;=$H119,O$6+6&gt;=$G119),1,"")</x:f>
      </x:c>
      <x:c r="P119" s="167" t="str">
        <x:f>IF(AND(P$6&lt;=$H119,P$6+6&gt;=$G119),1,"")</x:f>
      </x:c>
      <x:c r="Q119" s="167" t="str">
        <x:f>IF(AND(Q$6&lt;=$H119,Q$6+6&gt;=$G119),1,"")</x:f>
      </x:c>
      <x:c r="R119" s="167" t="str">
        <x:f>IF(AND(R$6&lt;=$H119,R$6+6&gt;=$G119),1,"")</x:f>
      </x:c>
      <x:c r="S119" s="167" t="str">
        <x:f>IF(AND(S$6&lt;=$H119,S$6+6&gt;=$G119),1,"")</x:f>
      </x:c>
      <x:c r="T119" s="167" t="str">
        <x:f>IF(AND(T$6&lt;=$H119,T$6+6&gt;=$G119),1,"")</x:f>
      </x:c>
      <x:c r="U119" s="167" t="str">
        <x:f>IF(AND(U$6&lt;=$H119,U$6+6&gt;=$G119),1,"")</x:f>
      </x:c>
      <x:c r="V119" s="167" t="str">
        <x:f>IF(AND(V$6&lt;=$H119,V$6+6&gt;=$G119),1,"")</x:f>
      </x:c>
      <x:c r="W119" s="167" t="str">
        <x:f>IF(AND(W$6&lt;=$H119,W$6+6&gt;=$G119),1,"")</x:f>
      </x:c>
      <x:c r="X119" s="167" t="str">
        <x:f>IF(AND(X$6&lt;=$H119,X$6+6&gt;=$G119),1,"")</x:f>
      </x:c>
      <x:c r="Y119" s="167" t="str">
        <x:f>IF(AND(Y$6&lt;=$H119,Y$6+6&gt;=$G119),1,"")</x:f>
      </x:c>
      <x:c r="Z119" s="167" t="n">
        <x:f>IF(AND(Z$6&lt;=$H119,Z$6+6&gt;=$G119),1,"")</x:f>
        <x:v>1</x:v>
      </x:c>
      <x:c r="AA119" s="167" t="n">
        <x:f>IF(AND(AA$6&lt;=$H119,AA$6+6&gt;=$G119),1,"")</x:f>
        <x:v>1</x:v>
      </x:c>
      <x:c r="AB119" s="167" t="str">
        <x:f>IF(AND(AB$6&lt;=$H119,AB$6+6&gt;=$G119),1,"")</x:f>
      </x:c>
      <x:c r="AC119" s="167" t="str">
        <x:f>IF(AND(AC$6&lt;=$H119,AC$6+6&gt;=$G119),1,"")</x:f>
      </x:c>
      <x:c r="AD119" s="167" t="str">
        <x:f>IF(AND(AD$6&lt;=$H119,AD$6+6&gt;=$G119),1,"")</x:f>
      </x:c>
      <x:c r="AE119" s="167" t="str">
        <x:f>IF(AND(AE$6&lt;=$H119,AE$6+6&gt;=$G119),1,"")</x:f>
      </x:c>
      <x:c r="AF119" s="167" t="str">
        <x:f>IF(AND(AF$6&lt;=$H119,AF$6+6&gt;=$G119),1,"")</x:f>
      </x:c>
      <x:c r="AG119" s="167" t="str">
        <x:f>IF(AND(AG$6&lt;=$H119,AG$6+6&gt;=$G119),1,"")</x:f>
      </x:c>
      <x:c r="AH119" s="167" t="str">
        <x:f>IF(AND(AH$6&lt;=$H119,AH$6+6&gt;=$G119),1,"")</x:f>
      </x:c>
      <x:c r="AI119" s="167" t="str">
        <x:f>IF(AND(AI$6&lt;=$H119,AI$6+6&gt;=$G119),1,"")</x:f>
      </x:c>
      <x:c r="AJ119" s="167" t="str">
        <x:f>IF(AND(AJ$6&lt;=$H119,AJ$6+6&gt;=$G119),1,"")</x:f>
      </x:c>
      <x:c r="AK119" s="167" t="str">
        <x:f>IF(AND(AK$6&lt;=$H119,AK$6+6&gt;=$G119),1,"")</x:f>
      </x:c>
      <x:c r="AL119" s="167" t="str">
        <x:f>IF(AND(AL$6&lt;=$H119,AL$6+6&gt;=$G119),1,"")</x:f>
      </x:c>
      <x:c r="AM119" s="167" t="str">
        <x:f>IF(AND(AM$6&lt;=$H119,AM$6+6&gt;=$G119),1,"")</x:f>
      </x:c>
      <x:c r="AN119" s="167" t="str">
        <x:f>IF(AND(AN$6&lt;=$H119,AN$6+6&gt;=$G119),1,"")</x:f>
      </x:c>
      <x:c r="AO119" s="167" t="str">
        <x:f>IF(AND(AO$6&lt;=$H119,AO$6+6&gt;=$G119),1,"")</x:f>
      </x:c>
      <x:c r="AP119" s="167" t="str">
        <x:f>IF(AND(AP$6&lt;=$H119,AP$6+6&gt;=$G119),1,"")</x:f>
      </x:c>
      <x:c r="AQ119" s="167" t="str">
        <x:f>IF(AND(AQ$6&lt;=$H119,AQ$6+6&gt;=$G119),1,"")</x:f>
      </x:c>
      <x:c r="AR119" s="167" t="str">
        <x:f>IF(AND(AR$6&lt;=$H119,AR$6+6&gt;=$G119),1,"")</x:f>
      </x:c>
      <x:c r="AS119" s="167" t="str">
        <x:f>IF(AND(AS$6&lt;=$H119,AS$6+6&gt;=$G119),1,"")</x:f>
      </x:c>
      <x:c r="AT119" s="167" t="str">
        <x:f>IF(AND(AT$6&lt;=$H119,AT$6+6&gt;=$G119),1,"")</x:f>
      </x:c>
      <x:c r="AU119" s="167" t="str">
        <x:f>IF(AND(AU$6&lt;=$H119,AU$6+6&gt;=$G119),1,"")</x:f>
      </x:c>
      <x:c r="AV119" s="167" t="str">
        <x:f>IF(AND(AV$6&lt;=$H119,AV$6+6&gt;=$G119),1,"")</x:f>
      </x:c>
      <x:c r="AW119" s="167" t="str">
        <x:f>IF(AND(AW$6&lt;=$H119,AW$6+6&gt;=$G119),1,"")</x:f>
      </x:c>
      <x:c r="AX119" s="167" t="str">
        <x:f>IF(AND(AX$6&lt;=$H119,AX$6+6&gt;=$G119),1,"")</x:f>
      </x:c>
      <x:c r="AY119" s="167" t="str">
        <x:f>IF(AND(AY$6&lt;=$H119,AY$6+6&gt;=$G119),1,"")</x:f>
      </x:c>
      <x:c r="AZ119" s="167" t="str">
        <x:f>IF(AND(AZ$6&lt;=$H119,AZ$6+6&gt;=$G119),1,"")</x:f>
      </x:c>
      <x:c r="BA119" s="167" t="str">
        <x:f>IF(AND(BA$6&lt;=$H119,BA$6+6&gt;=$G119),1,"")</x:f>
      </x:c>
      <x:c r="BB119" s="167" t="str">
        <x:f>IF(AND(BB$6&lt;=$H119,BB$6+6&gt;=$G119),1,"")</x:f>
      </x:c>
      <x:c r="BC119" s="167" t="str">
        <x:f>IF(AND(BC$6&lt;=$H119,BC$6+6&gt;=$G119),1,"")</x:f>
      </x:c>
      <x:c r="BD119" s="167" t="str">
        <x:f>IF(AND(BD$6&lt;=$H119,BD$6+6&gt;=$G119),1,"")</x:f>
      </x:c>
      <x:c r="BE119" s="167" t="str">
        <x:f>IF(AND(BE$6&lt;=$H119,BE$6+6&gt;=$G119),1,"")</x:f>
      </x:c>
      <x:c r="BF119" s="167" t="str">
        <x:f>IF(AND(BF$6&lt;=$H119,BF$6+6&gt;=$G119),1,"")</x:f>
      </x:c>
      <x:c r="BG119" s="167" t="str">
        <x:f>IF(AND(BG$6&lt;=$H119,BG$6+6&gt;=$G119),1,"")</x:f>
      </x:c>
      <x:c r="BH119" s="167" t="str">
        <x:f>IF(AND(BH$6&lt;=$H119,BH$6+6&gt;=$G119),1,"")</x:f>
      </x:c>
      <x:c r="BI119" s="167" t="str">
        <x:f>IF(AND(BI$6&lt;=$H119,BI$6+6&gt;=$G119),1,"")</x:f>
      </x:c>
      <x:c r="BJ119" s="167" t="str">
        <x:f>IF(AND(BJ$6&lt;=$H119,BJ$6+6&gt;=$G119),1,"")</x:f>
      </x:c>
      <x:c r="BK119" s="167" t="str">
        <x:f>IF(AND(BK$6&lt;=$H119,BK$6+6&gt;=$G119),1,"")</x:f>
      </x:c>
      <x:c r="BL119" s="167" t="str">
        <x:f>IF(AND(BL$6&lt;=$H119,BL$6+6&gt;=$G119),1,"")</x:f>
      </x:c>
      <x:c r="BM119" s="167" t="str">
        <x:f>IF(AND(BM$6&lt;=$H119,BM$6+6&gt;=$G119),1,"")</x:f>
      </x:c>
      <x:c r="BN119" s="167" t="str">
        <x:f>IF(AND(BN$6&lt;=$H119,BN$6+6&gt;=$G119),1,"")</x:f>
      </x:c>
      <x:c r="BO119" s="168" t="str">
        <x:f>IF(AND(BO$6&lt;=$H119,BO$6+6&gt;=$G119),1,"")</x:f>
      </x:c>
    </x:row>
    <x:row r="120" ht="24" customHeight="1">
      <x:c r="A120" s="68" t="str">
        <x:f>'Task Register'!A118</x:f>
        <x:v>T-608</x:v>
      </x:c>
      <x:c r="B120" s="68" t="str">
        <x:f>'Task Register'!B118</x:f>
        <x:v>M6</x:v>
      </x:c>
      <x:c r="C120" s="68" t="str">
        <x:f>'Task Register'!C118</x:f>
        <x:v>Workcell</x:v>
      </x:c>
      <x:c r="D120" s="68" t="str">
        <x:f>'Task Register'!D118</x:f>
        <x:v>Design the base, easel, camera, paint, and cleaning fixtures</x:v>
      </x:c>
      <x:c r="E120" s="68" t="str">
        <x:f>'Task Register'!E118</x:f>
        <x:v>T-509, T-602, T-603</x:v>
      </x:c>
      <x:c r="F120" s="68" t="str">
        <x:f>'Task Register'!F118</x:f>
        <x:v>Blocked</x:v>
      </x:c>
      <x:c r="G120" s="94" t="n">
        <x:f>'Task Register'!I118</x:f>
        <x:v>46364</x:v>
      </x:c>
      <x:c r="H120" s="94" t="n">
        <x:f>'Task Register'!J118</x:f>
        <x:v>46367</x:v>
      </x:c>
      <x:c r="I120" s="166" t="str">
        <x:f>IF(AND(I$6&lt;=$H120,I$6+6&gt;=$G120),1,"")</x:f>
      </x:c>
      <x:c r="J120" s="167" t="str">
        <x:f>IF(AND(J$6&lt;=$H120,J$6+6&gt;=$G120),1,"")</x:f>
      </x:c>
      <x:c r="K120" s="167" t="str">
        <x:f>IF(AND(K$6&lt;=$H120,K$6+6&gt;=$G120),1,"")</x:f>
      </x:c>
      <x:c r="L120" s="167" t="str">
        <x:f>IF(AND(L$6&lt;=$H120,L$6+6&gt;=$G120),1,"")</x:f>
      </x:c>
      <x:c r="M120" s="167" t="str">
        <x:f>IF(AND(M$6&lt;=$H120,M$6+6&gt;=$G120),1,"")</x:f>
      </x:c>
      <x:c r="N120" s="167" t="str">
        <x:f>IF(AND(N$6&lt;=$H120,N$6+6&gt;=$G120),1,"")</x:f>
      </x:c>
      <x:c r="O120" s="167" t="str">
        <x:f>IF(AND(O$6&lt;=$H120,O$6+6&gt;=$G120),1,"")</x:f>
      </x:c>
      <x:c r="P120" s="167" t="str">
        <x:f>IF(AND(P$6&lt;=$H120,P$6+6&gt;=$G120),1,"")</x:f>
      </x:c>
      <x:c r="Q120" s="167" t="str">
        <x:f>IF(AND(Q$6&lt;=$H120,Q$6+6&gt;=$G120),1,"")</x:f>
      </x:c>
      <x:c r="R120" s="167" t="str">
        <x:f>IF(AND(R$6&lt;=$H120,R$6+6&gt;=$G120),1,"")</x:f>
      </x:c>
      <x:c r="S120" s="167" t="str">
        <x:f>IF(AND(S$6&lt;=$H120,S$6+6&gt;=$G120),1,"")</x:f>
      </x:c>
      <x:c r="T120" s="167" t="str">
        <x:f>IF(AND(T$6&lt;=$H120,T$6+6&gt;=$G120),1,"")</x:f>
      </x:c>
      <x:c r="U120" s="167" t="str">
        <x:f>IF(AND(U$6&lt;=$H120,U$6+6&gt;=$G120),1,"")</x:f>
      </x:c>
      <x:c r="V120" s="167" t="str">
        <x:f>IF(AND(V$6&lt;=$H120,V$6+6&gt;=$G120),1,"")</x:f>
      </x:c>
      <x:c r="W120" s="167" t="str">
        <x:f>IF(AND(W$6&lt;=$H120,W$6+6&gt;=$G120),1,"")</x:f>
      </x:c>
      <x:c r="X120" s="167" t="str">
        <x:f>IF(AND(X$6&lt;=$H120,X$6+6&gt;=$G120),1,"")</x:f>
      </x:c>
      <x:c r="Y120" s="167" t="str">
        <x:f>IF(AND(Y$6&lt;=$H120,Y$6+6&gt;=$G120),1,"")</x:f>
      </x:c>
      <x:c r="Z120" s="167" t="str">
        <x:f>IF(AND(Z$6&lt;=$H120,Z$6+6&gt;=$G120),1,"")</x:f>
      </x:c>
      <x:c r="AA120" s="167" t="n">
        <x:f>IF(AND(AA$6&lt;=$H120,AA$6+6&gt;=$G120),1,"")</x:f>
        <x:v>1</x:v>
      </x:c>
      <x:c r="AB120" s="167" t="str">
        <x:f>IF(AND(AB$6&lt;=$H120,AB$6+6&gt;=$G120),1,"")</x:f>
      </x:c>
      <x:c r="AC120" s="167" t="str">
        <x:f>IF(AND(AC$6&lt;=$H120,AC$6+6&gt;=$G120),1,"")</x:f>
      </x:c>
      <x:c r="AD120" s="167" t="str">
        <x:f>IF(AND(AD$6&lt;=$H120,AD$6+6&gt;=$G120),1,"")</x:f>
      </x:c>
      <x:c r="AE120" s="167" t="str">
        <x:f>IF(AND(AE$6&lt;=$H120,AE$6+6&gt;=$G120),1,"")</x:f>
      </x:c>
      <x:c r="AF120" s="167" t="str">
        <x:f>IF(AND(AF$6&lt;=$H120,AF$6+6&gt;=$G120),1,"")</x:f>
      </x:c>
      <x:c r="AG120" s="167" t="str">
        <x:f>IF(AND(AG$6&lt;=$H120,AG$6+6&gt;=$G120),1,"")</x:f>
      </x:c>
      <x:c r="AH120" s="167" t="str">
        <x:f>IF(AND(AH$6&lt;=$H120,AH$6+6&gt;=$G120),1,"")</x:f>
      </x:c>
      <x:c r="AI120" s="167" t="str">
        <x:f>IF(AND(AI$6&lt;=$H120,AI$6+6&gt;=$G120),1,"")</x:f>
      </x:c>
      <x:c r="AJ120" s="167" t="str">
        <x:f>IF(AND(AJ$6&lt;=$H120,AJ$6+6&gt;=$G120),1,"")</x:f>
      </x:c>
      <x:c r="AK120" s="167" t="str">
        <x:f>IF(AND(AK$6&lt;=$H120,AK$6+6&gt;=$G120),1,"")</x:f>
      </x:c>
      <x:c r="AL120" s="167" t="str">
        <x:f>IF(AND(AL$6&lt;=$H120,AL$6+6&gt;=$G120),1,"")</x:f>
      </x:c>
      <x:c r="AM120" s="167" t="str">
        <x:f>IF(AND(AM$6&lt;=$H120,AM$6+6&gt;=$G120),1,"")</x:f>
      </x:c>
      <x:c r="AN120" s="167" t="str">
        <x:f>IF(AND(AN$6&lt;=$H120,AN$6+6&gt;=$G120),1,"")</x:f>
      </x:c>
      <x:c r="AO120" s="167" t="str">
        <x:f>IF(AND(AO$6&lt;=$H120,AO$6+6&gt;=$G120),1,"")</x:f>
      </x:c>
      <x:c r="AP120" s="167" t="str">
        <x:f>IF(AND(AP$6&lt;=$H120,AP$6+6&gt;=$G120),1,"")</x:f>
      </x:c>
      <x:c r="AQ120" s="167" t="str">
        <x:f>IF(AND(AQ$6&lt;=$H120,AQ$6+6&gt;=$G120),1,"")</x:f>
      </x:c>
      <x:c r="AR120" s="167" t="str">
        <x:f>IF(AND(AR$6&lt;=$H120,AR$6+6&gt;=$G120),1,"")</x:f>
      </x:c>
      <x:c r="AS120" s="167" t="str">
        <x:f>IF(AND(AS$6&lt;=$H120,AS$6+6&gt;=$G120),1,"")</x:f>
      </x:c>
      <x:c r="AT120" s="167" t="str">
        <x:f>IF(AND(AT$6&lt;=$H120,AT$6+6&gt;=$G120),1,"")</x:f>
      </x:c>
      <x:c r="AU120" s="167" t="str">
        <x:f>IF(AND(AU$6&lt;=$H120,AU$6+6&gt;=$G120),1,"")</x:f>
      </x:c>
      <x:c r="AV120" s="167" t="str">
        <x:f>IF(AND(AV$6&lt;=$H120,AV$6+6&gt;=$G120),1,"")</x:f>
      </x:c>
      <x:c r="AW120" s="167" t="str">
        <x:f>IF(AND(AW$6&lt;=$H120,AW$6+6&gt;=$G120),1,"")</x:f>
      </x:c>
      <x:c r="AX120" s="167" t="str">
        <x:f>IF(AND(AX$6&lt;=$H120,AX$6+6&gt;=$G120),1,"")</x:f>
      </x:c>
      <x:c r="AY120" s="167" t="str">
        <x:f>IF(AND(AY$6&lt;=$H120,AY$6+6&gt;=$G120),1,"")</x:f>
      </x:c>
      <x:c r="AZ120" s="167" t="str">
        <x:f>IF(AND(AZ$6&lt;=$H120,AZ$6+6&gt;=$G120),1,"")</x:f>
      </x:c>
      <x:c r="BA120" s="167" t="str">
        <x:f>IF(AND(BA$6&lt;=$H120,BA$6+6&gt;=$G120),1,"")</x:f>
      </x:c>
      <x:c r="BB120" s="167" t="str">
        <x:f>IF(AND(BB$6&lt;=$H120,BB$6+6&gt;=$G120),1,"")</x:f>
      </x:c>
      <x:c r="BC120" s="167" t="str">
        <x:f>IF(AND(BC$6&lt;=$H120,BC$6+6&gt;=$G120),1,"")</x:f>
      </x:c>
      <x:c r="BD120" s="167" t="str">
        <x:f>IF(AND(BD$6&lt;=$H120,BD$6+6&gt;=$G120),1,"")</x:f>
      </x:c>
      <x:c r="BE120" s="167" t="str">
        <x:f>IF(AND(BE$6&lt;=$H120,BE$6+6&gt;=$G120),1,"")</x:f>
      </x:c>
      <x:c r="BF120" s="167" t="str">
        <x:f>IF(AND(BF$6&lt;=$H120,BF$6+6&gt;=$G120),1,"")</x:f>
      </x:c>
      <x:c r="BG120" s="167" t="str">
        <x:f>IF(AND(BG$6&lt;=$H120,BG$6+6&gt;=$G120),1,"")</x:f>
      </x:c>
      <x:c r="BH120" s="167" t="str">
        <x:f>IF(AND(BH$6&lt;=$H120,BH$6+6&gt;=$G120),1,"")</x:f>
      </x:c>
      <x:c r="BI120" s="167" t="str">
        <x:f>IF(AND(BI$6&lt;=$H120,BI$6+6&gt;=$G120),1,"")</x:f>
      </x:c>
      <x:c r="BJ120" s="167" t="str">
        <x:f>IF(AND(BJ$6&lt;=$H120,BJ$6+6&gt;=$G120),1,"")</x:f>
      </x:c>
      <x:c r="BK120" s="167" t="str">
        <x:f>IF(AND(BK$6&lt;=$H120,BK$6+6&gt;=$G120),1,"")</x:f>
      </x:c>
      <x:c r="BL120" s="167" t="str">
        <x:f>IF(AND(BL$6&lt;=$H120,BL$6+6&gt;=$G120),1,"")</x:f>
      </x:c>
      <x:c r="BM120" s="167" t="str">
        <x:f>IF(AND(BM$6&lt;=$H120,BM$6+6&gt;=$G120),1,"")</x:f>
      </x:c>
      <x:c r="BN120" s="167" t="str">
        <x:f>IF(AND(BN$6&lt;=$H120,BN$6+6&gt;=$G120),1,"")</x:f>
      </x:c>
      <x:c r="BO120" s="168" t="str">
        <x:f>IF(AND(BO$6&lt;=$H120,BO$6+6&gt;=$G120),1,"")</x:f>
      </x:c>
    </x:row>
    <x:row r="121" ht="24" customHeight="1">
      <x:c r="A121" s="68" t="str">
        <x:f>'Task Register'!A119</x:f>
        <x:v>T-609</x:v>
      </x:c>
      <x:c r="B121" s="68" t="str">
        <x:f>'Task Register'!B119</x:f>
        <x:v>M6</x:v>
      </x:c>
      <x:c r="C121" s="68" t="str">
        <x:f>'Task Register'!C119</x:f>
        <x:v>Manufacturing</x:v>
      </x:c>
      <x:c r="D121" s="68" t="str">
        <x:f>'Task Register'!D119</x:f>
        <x:v>Define tolerances, manufacturing processes, and inspection</x:v>
      </x:c>
      <x:c r="E121" s="68" t="str">
        <x:f>'Task Register'!E119</x:f>
        <x:v>T-604, T-606, T-607, T-608</x:v>
      </x:c>
      <x:c r="F121" s="68" t="str">
        <x:f>'Task Register'!F119</x:f>
        <x:v>Blocked</x:v>
      </x:c>
      <x:c r="G121" s="94" t="n">
        <x:f>'Task Register'!I119</x:f>
        <x:v>46370</x:v>
      </x:c>
      <x:c r="H121" s="94" t="n">
        <x:f>'Task Register'!J119</x:f>
        <x:v>46373</x:v>
      </x:c>
      <x:c r="I121" s="166" t="str">
        <x:f>IF(AND(I$6&lt;=$H121,I$6+6&gt;=$G121),1,"")</x:f>
      </x:c>
      <x:c r="J121" s="167" t="str">
        <x:f>IF(AND(J$6&lt;=$H121,J$6+6&gt;=$G121),1,"")</x:f>
      </x:c>
      <x:c r="K121" s="167" t="str">
        <x:f>IF(AND(K$6&lt;=$H121,K$6+6&gt;=$G121),1,"")</x:f>
      </x:c>
      <x:c r="L121" s="167" t="str">
        <x:f>IF(AND(L$6&lt;=$H121,L$6+6&gt;=$G121),1,"")</x:f>
      </x:c>
      <x:c r="M121" s="167" t="str">
        <x:f>IF(AND(M$6&lt;=$H121,M$6+6&gt;=$G121),1,"")</x:f>
      </x:c>
      <x:c r="N121" s="167" t="str">
        <x:f>IF(AND(N$6&lt;=$H121,N$6+6&gt;=$G121),1,"")</x:f>
      </x:c>
      <x:c r="O121" s="167" t="str">
        <x:f>IF(AND(O$6&lt;=$H121,O$6+6&gt;=$G121),1,"")</x:f>
      </x:c>
      <x:c r="P121" s="167" t="str">
        <x:f>IF(AND(P$6&lt;=$H121,P$6+6&gt;=$G121),1,"")</x:f>
      </x:c>
      <x:c r="Q121" s="167" t="str">
        <x:f>IF(AND(Q$6&lt;=$H121,Q$6+6&gt;=$G121),1,"")</x:f>
      </x:c>
      <x:c r="R121" s="167" t="str">
        <x:f>IF(AND(R$6&lt;=$H121,R$6+6&gt;=$G121),1,"")</x:f>
      </x:c>
      <x:c r="S121" s="167" t="str">
        <x:f>IF(AND(S$6&lt;=$H121,S$6+6&gt;=$G121),1,"")</x:f>
      </x:c>
      <x:c r="T121" s="167" t="str">
        <x:f>IF(AND(T$6&lt;=$H121,T$6+6&gt;=$G121),1,"")</x:f>
      </x:c>
      <x:c r="U121" s="167" t="str">
        <x:f>IF(AND(U$6&lt;=$H121,U$6+6&gt;=$G121),1,"")</x:f>
      </x:c>
      <x:c r="V121" s="167" t="str">
        <x:f>IF(AND(V$6&lt;=$H121,V$6+6&gt;=$G121),1,"")</x:f>
      </x:c>
      <x:c r="W121" s="167" t="str">
        <x:f>IF(AND(W$6&lt;=$H121,W$6+6&gt;=$G121),1,"")</x:f>
      </x:c>
      <x:c r="X121" s="167" t="str">
        <x:f>IF(AND(X$6&lt;=$H121,X$6+6&gt;=$G121),1,"")</x:f>
      </x:c>
      <x:c r="Y121" s="167" t="str">
        <x:f>IF(AND(Y$6&lt;=$H121,Y$6+6&gt;=$G121),1,"")</x:f>
      </x:c>
      <x:c r="Z121" s="167" t="str">
        <x:f>IF(AND(Z$6&lt;=$H121,Z$6+6&gt;=$G121),1,"")</x:f>
      </x:c>
      <x:c r="AA121" s="167" t="str">
        <x:f>IF(AND(AA$6&lt;=$H121,AA$6+6&gt;=$G121),1,"")</x:f>
      </x:c>
      <x:c r="AB121" s="167" t="n">
        <x:f>IF(AND(AB$6&lt;=$H121,AB$6+6&gt;=$G121),1,"")</x:f>
        <x:v>1</x:v>
      </x:c>
      <x:c r="AC121" s="167" t="str">
        <x:f>IF(AND(AC$6&lt;=$H121,AC$6+6&gt;=$G121),1,"")</x:f>
      </x:c>
      <x:c r="AD121" s="167" t="str">
        <x:f>IF(AND(AD$6&lt;=$H121,AD$6+6&gt;=$G121),1,"")</x:f>
      </x:c>
      <x:c r="AE121" s="167" t="str">
        <x:f>IF(AND(AE$6&lt;=$H121,AE$6+6&gt;=$G121),1,"")</x:f>
      </x:c>
      <x:c r="AF121" s="167" t="str">
        <x:f>IF(AND(AF$6&lt;=$H121,AF$6+6&gt;=$G121),1,"")</x:f>
      </x:c>
      <x:c r="AG121" s="167" t="str">
        <x:f>IF(AND(AG$6&lt;=$H121,AG$6+6&gt;=$G121),1,"")</x:f>
      </x:c>
      <x:c r="AH121" s="167" t="str">
        <x:f>IF(AND(AH$6&lt;=$H121,AH$6+6&gt;=$G121),1,"")</x:f>
      </x:c>
      <x:c r="AI121" s="167" t="str">
        <x:f>IF(AND(AI$6&lt;=$H121,AI$6+6&gt;=$G121),1,"")</x:f>
      </x:c>
      <x:c r="AJ121" s="167" t="str">
        <x:f>IF(AND(AJ$6&lt;=$H121,AJ$6+6&gt;=$G121),1,"")</x:f>
      </x:c>
      <x:c r="AK121" s="167" t="str">
        <x:f>IF(AND(AK$6&lt;=$H121,AK$6+6&gt;=$G121),1,"")</x:f>
      </x:c>
      <x:c r="AL121" s="167" t="str">
        <x:f>IF(AND(AL$6&lt;=$H121,AL$6+6&gt;=$G121),1,"")</x:f>
      </x:c>
      <x:c r="AM121" s="167" t="str">
        <x:f>IF(AND(AM$6&lt;=$H121,AM$6+6&gt;=$G121),1,"")</x:f>
      </x:c>
      <x:c r="AN121" s="167" t="str">
        <x:f>IF(AND(AN$6&lt;=$H121,AN$6+6&gt;=$G121),1,"")</x:f>
      </x:c>
      <x:c r="AO121" s="167" t="str">
        <x:f>IF(AND(AO$6&lt;=$H121,AO$6+6&gt;=$G121),1,"")</x:f>
      </x:c>
      <x:c r="AP121" s="167" t="str">
        <x:f>IF(AND(AP$6&lt;=$H121,AP$6+6&gt;=$G121),1,"")</x:f>
      </x:c>
      <x:c r="AQ121" s="167" t="str">
        <x:f>IF(AND(AQ$6&lt;=$H121,AQ$6+6&gt;=$G121),1,"")</x:f>
      </x:c>
      <x:c r="AR121" s="167" t="str">
        <x:f>IF(AND(AR$6&lt;=$H121,AR$6+6&gt;=$G121),1,"")</x:f>
      </x:c>
      <x:c r="AS121" s="167" t="str">
        <x:f>IF(AND(AS$6&lt;=$H121,AS$6+6&gt;=$G121),1,"")</x:f>
      </x:c>
      <x:c r="AT121" s="167" t="str">
        <x:f>IF(AND(AT$6&lt;=$H121,AT$6+6&gt;=$G121),1,"")</x:f>
      </x:c>
      <x:c r="AU121" s="167" t="str">
        <x:f>IF(AND(AU$6&lt;=$H121,AU$6+6&gt;=$G121),1,"")</x:f>
      </x:c>
      <x:c r="AV121" s="167" t="str">
        <x:f>IF(AND(AV$6&lt;=$H121,AV$6+6&gt;=$G121),1,"")</x:f>
      </x:c>
      <x:c r="AW121" s="167" t="str">
        <x:f>IF(AND(AW$6&lt;=$H121,AW$6+6&gt;=$G121),1,"")</x:f>
      </x:c>
      <x:c r="AX121" s="167" t="str">
        <x:f>IF(AND(AX$6&lt;=$H121,AX$6+6&gt;=$G121),1,"")</x:f>
      </x:c>
      <x:c r="AY121" s="167" t="str">
        <x:f>IF(AND(AY$6&lt;=$H121,AY$6+6&gt;=$G121),1,"")</x:f>
      </x:c>
      <x:c r="AZ121" s="167" t="str">
        <x:f>IF(AND(AZ$6&lt;=$H121,AZ$6+6&gt;=$G121),1,"")</x:f>
      </x:c>
      <x:c r="BA121" s="167" t="str">
        <x:f>IF(AND(BA$6&lt;=$H121,BA$6+6&gt;=$G121),1,"")</x:f>
      </x:c>
      <x:c r="BB121" s="167" t="str">
        <x:f>IF(AND(BB$6&lt;=$H121,BB$6+6&gt;=$G121),1,"")</x:f>
      </x:c>
      <x:c r="BC121" s="167" t="str">
        <x:f>IF(AND(BC$6&lt;=$H121,BC$6+6&gt;=$G121),1,"")</x:f>
      </x:c>
      <x:c r="BD121" s="167" t="str">
        <x:f>IF(AND(BD$6&lt;=$H121,BD$6+6&gt;=$G121),1,"")</x:f>
      </x:c>
      <x:c r="BE121" s="167" t="str">
        <x:f>IF(AND(BE$6&lt;=$H121,BE$6+6&gt;=$G121),1,"")</x:f>
      </x:c>
      <x:c r="BF121" s="167" t="str">
        <x:f>IF(AND(BF$6&lt;=$H121,BF$6+6&gt;=$G121),1,"")</x:f>
      </x:c>
      <x:c r="BG121" s="167" t="str">
        <x:f>IF(AND(BG$6&lt;=$H121,BG$6+6&gt;=$G121),1,"")</x:f>
      </x:c>
      <x:c r="BH121" s="167" t="str">
        <x:f>IF(AND(BH$6&lt;=$H121,BH$6+6&gt;=$G121),1,"")</x:f>
      </x:c>
      <x:c r="BI121" s="167" t="str">
        <x:f>IF(AND(BI$6&lt;=$H121,BI$6+6&gt;=$G121),1,"")</x:f>
      </x:c>
      <x:c r="BJ121" s="167" t="str">
        <x:f>IF(AND(BJ$6&lt;=$H121,BJ$6+6&gt;=$G121),1,"")</x:f>
      </x:c>
      <x:c r="BK121" s="167" t="str">
        <x:f>IF(AND(BK$6&lt;=$H121,BK$6+6&gt;=$G121),1,"")</x:f>
      </x:c>
      <x:c r="BL121" s="167" t="str">
        <x:f>IF(AND(BL$6&lt;=$H121,BL$6+6&gt;=$G121),1,"")</x:f>
      </x:c>
      <x:c r="BM121" s="167" t="str">
        <x:f>IF(AND(BM$6&lt;=$H121,BM$6+6&gt;=$G121),1,"")</x:f>
      </x:c>
      <x:c r="BN121" s="167" t="str">
        <x:f>IF(AND(BN$6&lt;=$H121,BN$6+6&gt;=$G121),1,"")</x:f>
      </x:c>
      <x:c r="BO121" s="168" t="str">
        <x:f>IF(AND(BO$6&lt;=$H121,BO$6+6&gt;=$G121),1,"")</x:f>
      </x:c>
    </x:row>
    <x:row r="122" ht="24" customHeight="1">
      <x:c r="A122" s="68" t="str">
        <x:f>'Task Register'!A120</x:f>
        <x:v>T-610</x:v>
      </x:c>
      <x:c r="B122" s="68" t="str">
        <x:f>'Task Register'!B120</x:f>
        <x:v>M6</x:v>
      </x:c>
      <x:c r="C122" s="68" t="str">
        <x:f>'Task Register'!C120</x:f>
        <x:v>Cost/Risk</x:v>
      </x:c>
      <x:c r="D122" s="68" t="str">
        <x:f>'Task Register'!D120</x:f>
        <x:v>Maintain BOM, fabrication, and iteration risk estimates</x:v>
      </x:c>
      <x:c r="E122" s="68" t="str">
        <x:f>'Task Register'!E120</x:f>
        <x:v>T-604, T-605, T-608, T-609</x:v>
      </x:c>
      <x:c r="F122" s="68" t="str">
        <x:f>'Task Register'!F120</x:f>
        <x:v>Blocked</x:v>
      </x:c>
      <x:c r="G122" s="94" t="n">
        <x:f>'Task Register'!I120</x:f>
        <x:v>46374</x:v>
      </x:c>
      <x:c r="H122" s="94" t="n">
        <x:f>'Task Register'!J120</x:f>
        <x:v>46377</x:v>
      </x:c>
      <x:c r="I122" s="166" t="str">
        <x:f>IF(AND(I$6&lt;=$H122,I$6+6&gt;=$G122),1,"")</x:f>
      </x:c>
      <x:c r="J122" s="167" t="str">
        <x:f>IF(AND(J$6&lt;=$H122,J$6+6&gt;=$G122),1,"")</x:f>
      </x:c>
      <x:c r="K122" s="167" t="str">
        <x:f>IF(AND(K$6&lt;=$H122,K$6+6&gt;=$G122),1,"")</x:f>
      </x:c>
      <x:c r="L122" s="167" t="str">
        <x:f>IF(AND(L$6&lt;=$H122,L$6+6&gt;=$G122),1,"")</x:f>
      </x:c>
      <x:c r="M122" s="167" t="str">
        <x:f>IF(AND(M$6&lt;=$H122,M$6+6&gt;=$G122),1,"")</x:f>
      </x:c>
      <x:c r="N122" s="167" t="str">
        <x:f>IF(AND(N$6&lt;=$H122,N$6+6&gt;=$G122),1,"")</x:f>
      </x:c>
      <x:c r="O122" s="167" t="str">
        <x:f>IF(AND(O$6&lt;=$H122,O$6+6&gt;=$G122),1,"")</x:f>
      </x:c>
      <x:c r="P122" s="167" t="str">
        <x:f>IF(AND(P$6&lt;=$H122,P$6+6&gt;=$G122),1,"")</x:f>
      </x:c>
      <x:c r="Q122" s="167" t="str">
        <x:f>IF(AND(Q$6&lt;=$H122,Q$6+6&gt;=$G122),1,"")</x:f>
      </x:c>
      <x:c r="R122" s="167" t="str">
        <x:f>IF(AND(R$6&lt;=$H122,R$6+6&gt;=$G122),1,"")</x:f>
      </x:c>
      <x:c r="S122" s="167" t="str">
        <x:f>IF(AND(S$6&lt;=$H122,S$6+6&gt;=$G122),1,"")</x:f>
      </x:c>
      <x:c r="T122" s="167" t="str">
        <x:f>IF(AND(T$6&lt;=$H122,T$6+6&gt;=$G122),1,"")</x:f>
      </x:c>
      <x:c r="U122" s="167" t="str">
        <x:f>IF(AND(U$6&lt;=$H122,U$6+6&gt;=$G122),1,"")</x:f>
      </x:c>
      <x:c r="V122" s="167" t="str">
        <x:f>IF(AND(V$6&lt;=$H122,V$6+6&gt;=$G122),1,"")</x:f>
      </x:c>
      <x:c r="W122" s="167" t="str">
        <x:f>IF(AND(W$6&lt;=$H122,W$6+6&gt;=$G122),1,"")</x:f>
      </x:c>
      <x:c r="X122" s="167" t="str">
        <x:f>IF(AND(X$6&lt;=$H122,X$6+6&gt;=$G122),1,"")</x:f>
      </x:c>
      <x:c r="Y122" s="167" t="str">
        <x:f>IF(AND(Y$6&lt;=$H122,Y$6+6&gt;=$G122),1,"")</x:f>
      </x:c>
      <x:c r="Z122" s="167" t="str">
        <x:f>IF(AND(Z$6&lt;=$H122,Z$6+6&gt;=$G122),1,"")</x:f>
      </x:c>
      <x:c r="AA122" s="167" t="str">
        <x:f>IF(AND(AA$6&lt;=$H122,AA$6+6&gt;=$G122),1,"")</x:f>
      </x:c>
      <x:c r="AB122" s="167" t="n">
        <x:f>IF(AND(AB$6&lt;=$H122,AB$6+6&gt;=$G122),1,"")</x:f>
        <x:v>1</x:v>
      </x:c>
      <x:c r="AC122" s="167" t="n">
        <x:f>IF(AND(AC$6&lt;=$H122,AC$6+6&gt;=$G122),1,"")</x:f>
        <x:v>1</x:v>
      </x:c>
      <x:c r="AD122" s="167" t="str">
        <x:f>IF(AND(AD$6&lt;=$H122,AD$6+6&gt;=$G122),1,"")</x:f>
      </x:c>
      <x:c r="AE122" s="167" t="str">
        <x:f>IF(AND(AE$6&lt;=$H122,AE$6+6&gt;=$G122),1,"")</x:f>
      </x:c>
      <x:c r="AF122" s="167" t="str">
        <x:f>IF(AND(AF$6&lt;=$H122,AF$6+6&gt;=$G122),1,"")</x:f>
      </x:c>
      <x:c r="AG122" s="167" t="str">
        <x:f>IF(AND(AG$6&lt;=$H122,AG$6+6&gt;=$G122),1,"")</x:f>
      </x:c>
      <x:c r="AH122" s="167" t="str">
        <x:f>IF(AND(AH$6&lt;=$H122,AH$6+6&gt;=$G122),1,"")</x:f>
      </x:c>
      <x:c r="AI122" s="167" t="str">
        <x:f>IF(AND(AI$6&lt;=$H122,AI$6+6&gt;=$G122),1,"")</x:f>
      </x:c>
      <x:c r="AJ122" s="167" t="str">
        <x:f>IF(AND(AJ$6&lt;=$H122,AJ$6+6&gt;=$G122),1,"")</x:f>
      </x:c>
      <x:c r="AK122" s="167" t="str">
        <x:f>IF(AND(AK$6&lt;=$H122,AK$6+6&gt;=$G122),1,"")</x:f>
      </x:c>
      <x:c r="AL122" s="167" t="str">
        <x:f>IF(AND(AL$6&lt;=$H122,AL$6+6&gt;=$G122),1,"")</x:f>
      </x:c>
      <x:c r="AM122" s="167" t="str">
        <x:f>IF(AND(AM$6&lt;=$H122,AM$6+6&gt;=$G122),1,"")</x:f>
      </x:c>
      <x:c r="AN122" s="167" t="str">
        <x:f>IF(AND(AN$6&lt;=$H122,AN$6+6&gt;=$G122),1,"")</x:f>
      </x:c>
      <x:c r="AO122" s="167" t="str">
        <x:f>IF(AND(AO$6&lt;=$H122,AO$6+6&gt;=$G122),1,"")</x:f>
      </x:c>
      <x:c r="AP122" s="167" t="str">
        <x:f>IF(AND(AP$6&lt;=$H122,AP$6+6&gt;=$G122),1,"")</x:f>
      </x:c>
      <x:c r="AQ122" s="167" t="str">
        <x:f>IF(AND(AQ$6&lt;=$H122,AQ$6+6&gt;=$G122),1,"")</x:f>
      </x:c>
      <x:c r="AR122" s="167" t="str">
        <x:f>IF(AND(AR$6&lt;=$H122,AR$6+6&gt;=$G122),1,"")</x:f>
      </x:c>
      <x:c r="AS122" s="167" t="str">
        <x:f>IF(AND(AS$6&lt;=$H122,AS$6+6&gt;=$G122),1,"")</x:f>
      </x:c>
      <x:c r="AT122" s="167" t="str">
        <x:f>IF(AND(AT$6&lt;=$H122,AT$6+6&gt;=$G122),1,"")</x:f>
      </x:c>
      <x:c r="AU122" s="167" t="str">
        <x:f>IF(AND(AU$6&lt;=$H122,AU$6+6&gt;=$G122),1,"")</x:f>
      </x:c>
      <x:c r="AV122" s="167" t="str">
        <x:f>IF(AND(AV$6&lt;=$H122,AV$6+6&gt;=$G122),1,"")</x:f>
      </x:c>
      <x:c r="AW122" s="167" t="str">
        <x:f>IF(AND(AW$6&lt;=$H122,AW$6+6&gt;=$G122),1,"")</x:f>
      </x:c>
      <x:c r="AX122" s="167" t="str">
        <x:f>IF(AND(AX$6&lt;=$H122,AX$6+6&gt;=$G122),1,"")</x:f>
      </x:c>
      <x:c r="AY122" s="167" t="str">
        <x:f>IF(AND(AY$6&lt;=$H122,AY$6+6&gt;=$G122),1,"")</x:f>
      </x:c>
      <x:c r="AZ122" s="167" t="str">
        <x:f>IF(AND(AZ$6&lt;=$H122,AZ$6+6&gt;=$G122),1,"")</x:f>
      </x:c>
      <x:c r="BA122" s="167" t="str">
        <x:f>IF(AND(BA$6&lt;=$H122,BA$6+6&gt;=$G122),1,"")</x:f>
      </x:c>
      <x:c r="BB122" s="167" t="str">
        <x:f>IF(AND(BB$6&lt;=$H122,BB$6+6&gt;=$G122),1,"")</x:f>
      </x:c>
      <x:c r="BC122" s="167" t="str">
        <x:f>IF(AND(BC$6&lt;=$H122,BC$6+6&gt;=$G122),1,"")</x:f>
      </x:c>
      <x:c r="BD122" s="167" t="str">
        <x:f>IF(AND(BD$6&lt;=$H122,BD$6+6&gt;=$G122),1,"")</x:f>
      </x:c>
      <x:c r="BE122" s="167" t="str">
        <x:f>IF(AND(BE$6&lt;=$H122,BE$6+6&gt;=$G122),1,"")</x:f>
      </x:c>
      <x:c r="BF122" s="167" t="str">
        <x:f>IF(AND(BF$6&lt;=$H122,BF$6+6&gt;=$G122),1,"")</x:f>
      </x:c>
      <x:c r="BG122" s="167" t="str">
        <x:f>IF(AND(BG$6&lt;=$H122,BG$6+6&gt;=$G122),1,"")</x:f>
      </x:c>
      <x:c r="BH122" s="167" t="str">
        <x:f>IF(AND(BH$6&lt;=$H122,BH$6+6&gt;=$G122),1,"")</x:f>
      </x:c>
      <x:c r="BI122" s="167" t="str">
        <x:f>IF(AND(BI$6&lt;=$H122,BI$6+6&gt;=$G122),1,"")</x:f>
      </x:c>
      <x:c r="BJ122" s="167" t="str">
        <x:f>IF(AND(BJ$6&lt;=$H122,BJ$6+6&gt;=$G122),1,"")</x:f>
      </x:c>
      <x:c r="BK122" s="167" t="str">
        <x:f>IF(AND(BK$6&lt;=$H122,BK$6+6&gt;=$G122),1,"")</x:f>
      </x:c>
      <x:c r="BL122" s="167" t="str">
        <x:f>IF(AND(BL$6&lt;=$H122,BL$6+6&gt;=$G122),1,"")</x:f>
      </x:c>
      <x:c r="BM122" s="167" t="str">
        <x:f>IF(AND(BM$6&lt;=$H122,BM$6+6&gt;=$G122),1,"")</x:f>
      </x:c>
      <x:c r="BN122" s="167" t="str">
        <x:f>IF(AND(BN$6&lt;=$H122,BN$6+6&gt;=$G122),1,"")</x:f>
      </x:c>
      <x:c r="BO122" s="168" t="str">
        <x:f>IF(AND(BO$6&lt;=$H122,BO$6+6&gt;=$G122),1,"")</x:f>
      </x:c>
    </x:row>
    <x:row r="123" ht="24" customHeight="1">
      <x:c r="A123" s="68" t="str">
        <x:f>'Task Register'!A121</x:f>
        <x:v>T-611</x:v>
      </x:c>
      <x:c r="B123" s="68" t="str">
        <x:f>'Task Register'!B121</x:f>
        <x:v>M6</x:v>
      </x:c>
      <x:c r="C123" s="68" t="str">
        <x:f>'Task Register'!C121</x:f>
        <x:v>Prototype/Actuation</x:v>
      </x:c>
      <x:c r="D123" s="68" t="str">
        <x:f>'Task Register'!D121</x:f>
        <x:v>Build and characterize a single-joint prototype</x:v>
      </x:c>
      <x:c r="E123" s="68" t="str">
        <x:f>'Task Register'!E121</x:f>
        <x:v>T-604, T-605, T-606, T-609</x:v>
      </x:c>
      <x:c r="F123" s="68" t="str">
        <x:f>'Task Register'!F121</x:f>
        <x:v>Blocked</x:v>
      </x:c>
      <x:c r="G123" s="94" t="n">
        <x:f>'Task Register'!I121</x:f>
        <x:v>46378</x:v>
      </x:c>
      <x:c r="H123" s="94" t="n">
        <x:f>'Task Register'!J121</x:f>
        <x:v>46386</x:v>
      </x:c>
      <x:c r="I123" s="166" t="str">
        <x:f>IF(AND(I$6&lt;=$H123,I$6+6&gt;=$G123),1,"")</x:f>
      </x:c>
      <x:c r="J123" s="167" t="str">
        <x:f>IF(AND(J$6&lt;=$H123,J$6+6&gt;=$G123),1,"")</x:f>
      </x:c>
      <x:c r="K123" s="167" t="str">
        <x:f>IF(AND(K$6&lt;=$H123,K$6+6&gt;=$G123),1,"")</x:f>
      </x:c>
      <x:c r="L123" s="167" t="str">
        <x:f>IF(AND(L$6&lt;=$H123,L$6+6&gt;=$G123),1,"")</x:f>
      </x:c>
      <x:c r="M123" s="167" t="str">
        <x:f>IF(AND(M$6&lt;=$H123,M$6+6&gt;=$G123),1,"")</x:f>
      </x:c>
      <x:c r="N123" s="167" t="str">
        <x:f>IF(AND(N$6&lt;=$H123,N$6+6&gt;=$G123),1,"")</x:f>
      </x:c>
      <x:c r="O123" s="167" t="str">
        <x:f>IF(AND(O$6&lt;=$H123,O$6+6&gt;=$G123),1,"")</x:f>
      </x:c>
      <x:c r="P123" s="167" t="str">
        <x:f>IF(AND(P$6&lt;=$H123,P$6+6&gt;=$G123),1,"")</x:f>
      </x:c>
      <x:c r="Q123" s="167" t="str">
        <x:f>IF(AND(Q$6&lt;=$H123,Q$6+6&gt;=$G123),1,"")</x:f>
      </x:c>
      <x:c r="R123" s="167" t="str">
        <x:f>IF(AND(R$6&lt;=$H123,R$6+6&gt;=$G123),1,"")</x:f>
      </x:c>
      <x:c r="S123" s="167" t="str">
        <x:f>IF(AND(S$6&lt;=$H123,S$6+6&gt;=$G123),1,"")</x:f>
      </x:c>
      <x:c r="T123" s="167" t="str">
        <x:f>IF(AND(T$6&lt;=$H123,T$6+6&gt;=$G123),1,"")</x:f>
      </x:c>
      <x:c r="U123" s="167" t="str">
        <x:f>IF(AND(U$6&lt;=$H123,U$6+6&gt;=$G123),1,"")</x:f>
      </x:c>
      <x:c r="V123" s="167" t="str">
        <x:f>IF(AND(V$6&lt;=$H123,V$6+6&gt;=$G123),1,"")</x:f>
      </x:c>
      <x:c r="W123" s="167" t="str">
        <x:f>IF(AND(W$6&lt;=$H123,W$6+6&gt;=$G123),1,"")</x:f>
      </x:c>
      <x:c r="X123" s="167" t="str">
        <x:f>IF(AND(X$6&lt;=$H123,X$6+6&gt;=$G123),1,"")</x:f>
      </x:c>
      <x:c r="Y123" s="167" t="str">
        <x:f>IF(AND(Y$6&lt;=$H123,Y$6+6&gt;=$G123),1,"")</x:f>
      </x:c>
      <x:c r="Z123" s="167" t="str">
        <x:f>IF(AND(Z$6&lt;=$H123,Z$6+6&gt;=$G123),1,"")</x:f>
      </x:c>
      <x:c r="AA123" s="167" t="str">
        <x:f>IF(AND(AA$6&lt;=$H123,AA$6+6&gt;=$G123),1,"")</x:f>
      </x:c>
      <x:c r="AB123" s="167" t="str">
        <x:f>IF(AND(AB$6&lt;=$H123,AB$6+6&gt;=$G123),1,"")</x:f>
      </x:c>
      <x:c r="AC123" s="167" t="n">
        <x:f>IF(AND(AC$6&lt;=$H123,AC$6+6&gt;=$G123),1,"")</x:f>
        <x:v>1</x:v>
      </x:c>
      <x:c r="AD123" s="167" t="n">
        <x:f>IF(AND(AD$6&lt;=$H123,AD$6+6&gt;=$G123),1,"")</x:f>
        <x:v>1</x:v>
      </x:c>
      <x:c r="AE123" s="167" t="str">
        <x:f>IF(AND(AE$6&lt;=$H123,AE$6+6&gt;=$G123),1,"")</x:f>
      </x:c>
      <x:c r="AF123" s="167" t="str">
        <x:f>IF(AND(AF$6&lt;=$H123,AF$6+6&gt;=$G123),1,"")</x:f>
      </x:c>
      <x:c r="AG123" s="167" t="str">
        <x:f>IF(AND(AG$6&lt;=$H123,AG$6+6&gt;=$G123),1,"")</x:f>
      </x:c>
      <x:c r="AH123" s="167" t="str">
        <x:f>IF(AND(AH$6&lt;=$H123,AH$6+6&gt;=$G123),1,"")</x:f>
      </x:c>
      <x:c r="AI123" s="167" t="str">
        <x:f>IF(AND(AI$6&lt;=$H123,AI$6+6&gt;=$G123),1,"")</x:f>
      </x:c>
      <x:c r="AJ123" s="167" t="str">
        <x:f>IF(AND(AJ$6&lt;=$H123,AJ$6+6&gt;=$G123),1,"")</x:f>
      </x:c>
      <x:c r="AK123" s="167" t="str">
        <x:f>IF(AND(AK$6&lt;=$H123,AK$6+6&gt;=$G123),1,"")</x:f>
      </x:c>
      <x:c r="AL123" s="167" t="str">
        <x:f>IF(AND(AL$6&lt;=$H123,AL$6+6&gt;=$G123),1,"")</x:f>
      </x:c>
      <x:c r="AM123" s="167" t="str">
        <x:f>IF(AND(AM$6&lt;=$H123,AM$6+6&gt;=$G123),1,"")</x:f>
      </x:c>
      <x:c r="AN123" s="167" t="str">
        <x:f>IF(AND(AN$6&lt;=$H123,AN$6+6&gt;=$G123),1,"")</x:f>
      </x:c>
      <x:c r="AO123" s="167" t="str">
        <x:f>IF(AND(AO$6&lt;=$H123,AO$6+6&gt;=$G123),1,"")</x:f>
      </x:c>
      <x:c r="AP123" s="167" t="str">
        <x:f>IF(AND(AP$6&lt;=$H123,AP$6+6&gt;=$G123),1,"")</x:f>
      </x:c>
      <x:c r="AQ123" s="167" t="str">
        <x:f>IF(AND(AQ$6&lt;=$H123,AQ$6+6&gt;=$G123),1,"")</x:f>
      </x:c>
      <x:c r="AR123" s="167" t="str">
        <x:f>IF(AND(AR$6&lt;=$H123,AR$6+6&gt;=$G123),1,"")</x:f>
      </x:c>
      <x:c r="AS123" s="167" t="str">
        <x:f>IF(AND(AS$6&lt;=$H123,AS$6+6&gt;=$G123),1,"")</x:f>
      </x:c>
      <x:c r="AT123" s="167" t="str">
        <x:f>IF(AND(AT$6&lt;=$H123,AT$6+6&gt;=$G123),1,"")</x:f>
      </x:c>
      <x:c r="AU123" s="167" t="str">
        <x:f>IF(AND(AU$6&lt;=$H123,AU$6+6&gt;=$G123),1,"")</x:f>
      </x:c>
      <x:c r="AV123" s="167" t="str">
        <x:f>IF(AND(AV$6&lt;=$H123,AV$6+6&gt;=$G123),1,"")</x:f>
      </x:c>
      <x:c r="AW123" s="167" t="str">
        <x:f>IF(AND(AW$6&lt;=$H123,AW$6+6&gt;=$G123),1,"")</x:f>
      </x:c>
      <x:c r="AX123" s="167" t="str">
        <x:f>IF(AND(AX$6&lt;=$H123,AX$6+6&gt;=$G123),1,"")</x:f>
      </x:c>
      <x:c r="AY123" s="167" t="str">
        <x:f>IF(AND(AY$6&lt;=$H123,AY$6+6&gt;=$G123),1,"")</x:f>
      </x:c>
      <x:c r="AZ123" s="167" t="str">
        <x:f>IF(AND(AZ$6&lt;=$H123,AZ$6+6&gt;=$G123),1,"")</x:f>
      </x:c>
      <x:c r="BA123" s="167" t="str">
        <x:f>IF(AND(BA$6&lt;=$H123,BA$6+6&gt;=$G123),1,"")</x:f>
      </x:c>
      <x:c r="BB123" s="167" t="str">
        <x:f>IF(AND(BB$6&lt;=$H123,BB$6+6&gt;=$G123),1,"")</x:f>
      </x:c>
      <x:c r="BC123" s="167" t="str">
        <x:f>IF(AND(BC$6&lt;=$H123,BC$6+6&gt;=$G123),1,"")</x:f>
      </x:c>
      <x:c r="BD123" s="167" t="str">
        <x:f>IF(AND(BD$6&lt;=$H123,BD$6+6&gt;=$G123),1,"")</x:f>
      </x:c>
      <x:c r="BE123" s="167" t="str">
        <x:f>IF(AND(BE$6&lt;=$H123,BE$6+6&gt;=$G123),1,"")</x:f>
      </x:c>
      <x:c r="BF123" s="167" t="str">
        <x:f>IF(AND(BF$6&lt;=$H123,BF$6+6&gt;=$G123),1,"")</x:f>
      </x:c>
      <x:c r="BG123" s="167" t="str">
        <x:f>IF(AND(BG$6&lt;=$H123,BG$6+6&gt;=$G123),1,"")</x:f>
      </x:c>
      <x:c r="BH123" s="167" t="str">
        <x:f>IF(AND(BH$6&lt;=$H123,BH$6+6&gt;=$G123),1,"")</x:f>
      </x:c>
      <x:c r="BI123" s="167" t="str">
        <x:f>IF(AND(BI$6&lt;=$H123,BI$6+6&gt;=$G123),1,"")</x:f>
      </x:c>
      <x:c r="BJ123" s="167" t="str">
        <x:f>IF(AND(BJ$6&lt;=$H123,BJ$6+6&gt;=$G123),1,"")</x:f>
      </x:c>
      <x:c r="BK123" s="167" t="str">
        <x:f>IF(AND(BK$6&lt;=$H123,BK$6+6&gt;=$G123),1,"")</x:f>
      </x:c>
      <x:c r="BL123" s="167" t="str">
        <x:f>IF(AND(BL$6&lt;=$H123,BL$6+6&gt;=$G123),1,"")</x:f>
      </x:c>
      <x:c r="BM123" s="167" t="str">
        <x:f>IF(AND(BM$6&lt;=$H123,BM$6+6&gt;=$G123),1,"")</x:f>
      </x:c>
      <x:c r="BN123" s="167" t="str">
        <x:f>IF(AND(BN$6&lt;=$H123,BN$6+6&gt;=$G123),1,"")</x:f>
      </x:c>
      <x:c r="BO123" s="168" t="str">
        <x:f>IF(AND(BO$6&lt;=$H123,BO$6+6&gt;=$G123),1,"")</x:f>
      </x:c>
    </x:row>
    <x:row r="124" ht="24" customHeight="1">
      <x:c r="A124" s="68" t="str">
        <x:f>'Task Register'!A122</x:f>
        <x:v>T-612</x:v>
      </x:c>
      <x:c r="B124" s="68" t="str">
        <x:f>'Task Register'!B122</x:f>
        <x:v>M6</x:v>
      </x:c>
      <x:c r="C124" s="68" t="str">
        <x:f>'Task Register'!C122</x:f>
        <x:v>Prototype/Contact</x:v>
      </x:c>
      <x:c r="D124" s="68" t="str">
        <x:f>'Task Register'!D122</x:f>
        <x:v>Build and characterize a linkage/brush-contact rig</x:v>
      </x:c>
      <x:c r="E124" s="68" t="str">
        <x:f>'Task Register'!E122</x:f>
        <x:v>T-607, T-608, T-609</x:v>
      </x:c>
      <x:c r="F124" s="68" t="str">
        <x:f>'Task Register'!F122</x:f>
        <x:v>Blocked</x:v>
      </x:c>
      <x:c r="G124" s="94" t="n">
        <x:f>'Task Register'!I122</x:f>
        <x:v>46387</x:v>
      </x:c>
      <x:c r="H124" s="94" t="n">
        <x:f>'Task Register'!J122</x:f>
        <x:v>46394</x:v>
      </x:c>
      <x:c r="I124" s="166" t="str">
        <x:f>IF(AND(I$6&lt;=$H124,I$6+6&gt;=$G124),1,"")</x:f>
      </x:c>
      <x:c r="J124" s="167" t="str">
        <x:f>IF(AND(J$6&lt;=$H124,J$6+6&gt;=$G124),1,"")</x:f>
      </x:c>
      <x:c r="K124" s="167" t="str">
        <x:f>IF(AND(K$6&lt;=$H124,K$6+6&gt;=$G124),1,"")</x:f>
      </x:c>
      <x:c r="L124" s="167" t="str">
        <x:f>IF(AND(L$6&lt;=$H124,L$6+6&gt;=$G124),1,"")</x:f>
      </x:c>
      <x:c r="M124" s="167" t="str">
        <x:f>IF(AND(M$6&lt;=$H124,M$6+6&gt;=$G124),1,"")</x:f>
      </x:c>
      <x:c r="N124" s="167" t="str">
        <x:f>IF(AND(N$6&lt;=$H124,N$6+6&gt;=$G124),1,"")</x:f>
      </x:c>
      <x:c r="O124" s="167" t="str">
        <x:f>IF(AND(O$6&lt;=$H124,O$6+6&gt;=$G124),1,"")</x:f>
      </x:c>
      <x:c r="P124" s="167" t="str">
        <x:f>IF(AND(P$6&lt;=$H124,P$6+6&gt;=$G124),1,"")</x:f>
      </x:c>
      <x:c r="Q124" s="167" t="str">
        <x:f>IF(AND(Q$6&lt;=$H124,Q$6+6&gt;=$G124),1,"")</x:f>
      </x:c>
      <x:c r="R124" s="167" t="str">
        <x:f>IF(AND(R$6&lt;=$H124,R$6+6&gt;=$G124),1,"")</x:f>
      </x:c>
      <x:c r="S124" s="167" t="str">
        <x:f>IF(AND(S$6&lt;=$H124,S$6+6&gt;=$G124),1,"")</x:f>
      </x:c>
      <x:c r="T124" s="167" t="str">
        <x:f>IF(AND(T$6&lt;=$H124,T$6+6&gt;=$G124),1,"")</x:f>
      </x:c>
      <x:c r="U124" s="167" t="str">
        <x:f>IF(AND(U$6&lt;=$H124,U$6+6&gt;=$G124),1,"")</x:f>
      </x:c>
      <x:c r="V124" s="167" t="str">
        <x:f>IF(AND(V$6&lt;=$H124,V$6+6&gt;=$G124),1,"")</x:f>
      </x:c>
      <x:c r="W124" s="167" t="str">
        <x:f>IF(AND(W$6&lt;=$H124,W$6+6&gt;=$G124),1,"")</x:f>
      </x:c>
      <x:c r="X124" s="167" t="str">
        <x:f>IF(AND(X$6&lt;=$H124,X$6+6&gt;=$G124),1,"")</x:f>
      </x:c>
      <x:c r="Y124" s="167" t="str">
        <x:f>IF(AND(Y$6&lt;=$H124,Y$6+6&gt;=$G124),1,"")</x:f>
      </x:c>
      <x:c r="Z124" s="167" t="str">
        <x:f>IF(AND(Z$6&lt;=$H124,Z$6+6&gt;=$G124),1,"")</x:f>
      </x:c>
      <x:c r="AA124" s="167" t="str">
        <x:f>IF(AND(AA$6&lt;=$H124,AA$6+6&gt;=$G124),1,"")</x:f>
      </x:c>
      <x:c r="AB124" s="167" t="str">
        <x:f>IF(AND(AB$6&lt;=$H124,AB$6+6&gt;=$G124),1,"")</x:f>
      </x:c>
      <x:c r="AC124" s="167" t="str">
        <x:f>IF(AND(AC$6&lt;=$H124,AC$6+6&gt;=$G124),1,"")</x:f>
      </x:c>
      <x:c r="AD124" s="167" t="n">
        <x:f>IF(AND(AD$6&lt;=$H124,AD$6+6&gt;=$G124),1,"")</x:f>
        <x:v>1</x:v>
      </x:c>
      <x:c r="AE124" s="167" t="n">
        <x:f>IF(AND(AE$6&lt;=$H124,AE$6+6&gt;=$G124),1,"")</x:f>
        <x:v>1</x:v>
      </x:c>
      <x:c r="AF124" s="167" t="str">
        <x:f>IF(AND(AF$6&lt;=$H124,AF$6+6&gt;=$G124),1,"")</x:f>
      </x:c>
      <x:c r="AG124" s="167" t="str">
        <x:f>IF(AND(AG$6&lt;=$H124,AG$6+6&gt;=$G124),1,"")</x:f>
      </x:c>
      <x:c r="AH124" s="167" t="str">
        <x:f>IF(AND(AH$6&lt;=$H124,AH$6+6&gt;=$G124),1,"")</x:f>
      </x:c>
      <x:c r="AI124" s="167" t="str">
        <x:f>IF(AND(AI$6&lt;=$H124,AI$6+6&gt;=$G124),1,"")</x:f>
      </x:c>
      <x:c r="AJ124" s="167" t="str">
        <x:f>IF(AND(AJ$6&lt;=$H124,AJ$6+6&gt;=$G124),1,"")</x:f>
      </x:c>
      <x:c r="AK124" s="167" t="str">
        <x:f>IF(AND(AK$6&lt;=$H124,AK$6+6&gt;=$G124),1,"")</x:f>
      </x:c>
      <x:c r="AL124" s="167" t="str">
        <x:f>IF(AND(AL$6&lt;=$H124,AL$6+6&gt;=$G124),1,"")</x:f>
      </x:c>
      <x:c r="AM124" s="167" t="str">
        <x:f>IF(AND(AM$6&lt;=$H124,AM$6+6&gt;=$G124),1,"")</x:f>
      </x:c>
      <x:c r="AN124" s="167" t="str">
        <x:f>IF(AND(AN$6&lt;=$H124,AN$6+6&gt;=$G124),1,"")</x:f>
      </x:c>
      <x:c r="AO124" s="167" t="str">
        <x:f>IF(AND(AO$6&lt;=$H124,AO$6+6&gt;=$G124),1,"")</x:f>
      </x:c>
      <x:c r="AP124" s="167" t="str">
        <x:f>IF(AND(AP$6&lt;=$H124,AP$6+6&gt;=$G124),1,"")</x:f>
      </x:c>
      <x:c r="AQ124" s="167" t="str">
        <x:f>IF(AND(AQ$6&lt;=$H124,AQ$6+6&gt;=$G124),1,"")</x:f>
      </x:c>
      <x:c r="AR124" s="167" t="str">
        <x:f>IF(AND(AR$6&lt;=$H124,AR$6+6&gt;=$G124),1,"")</x:f>
      </x:c>
      <x:c r="AS124" s="167" t="str">
        <x:f>IF(AND(AS$6&lt;=$H124,AS$6+6&gt;=$G124),1,"")</x:f>
      </x:c>
      <x:c r="AT124" s="167" t="str">
        <x:f>IF(AND(AT$6&lt;=$H124,AT$6+6&gt;=$G124),1,"")</x:f>
      </x:c>
      <x:c r="AU124" s="167" t="str">
        <x:f>IF(AND(AU$6&lt;=$H124,AU$6+6&gt;=$G124),1,"")</x:f>
      </x:c>
      <x:c r="AV124" s="167" t="str">
        <x:f>IF(AND(AV$6&lt;=$H124,AV$6+6&gt;=$G124),1,"")</x:f>
      </x:c>
      <x:c r="AW124" s="167" t="str">
        <x:f>IF(AND(AW$6&lt;=$H124,AW$6+6&gt;=$G124),1,"")</x:f>
      </x:c>
      <x:c r="AX124" s="167" t="str">
        <x:f>IF(AND(AX$6&lt;=$H124,AX$6+6&gt;=$G124),1,"")</x:f>
      </x:c>
      <x:c r="AY124" s="167" t="str">
        <x:f>IF(AND(AY$6&lt;=$H124,AY$6+6&gt;=$G124),1,"")</x:f>
      </x:c>
      <x:c r="AZ124" s="167" t="str">
        <x:f>IF(AND(AZ$6&lt;=$H124,AZ$6+6&gt;=$G124),1,"")</x:f>
      </x:c>
      <x:c r="BA124" s="167" t="str">
        <x:f>IF(AND(BA$6&lt;=$H124,BA$6+6&gt;=$G124),1,"")</x:f>
      </x:c>
      <x:c r="BB124" s="167" t="str">
        <x:f>IF(AND(BB$6&lt;=$H124,BB$6+6&gt;=$G124),1,"")</x:f>
      </x:c>
      <x:c r="BC124" s="167" t="str">
        <x:f>IF(AND(BC$6&lt;=$H124,BC$6+6&gt;=$G124),1,"")</x:f>
      </x:c>
      <x:c r="BD124" s="167" t="str">
        <x:f>IF(AND(BD$6&lt;=$H124,BD$6+6&gt;=$G124),1,"")</x:f>
      </x:c>
      <x:c r="BE124" s="167" t="str">
        <x:f>IF(AND(BE$6&lt;=$H124,BE$6+6&gt;=$G124),1,"")</x:f>
      </x:c>
      <x:c r="BF124" s="167" t="str">
        <x:f>IF(AND(BF$6&lt;=$H124,BF$6+6&gt;=$G124),1,"")</x:f>
      </x:c>
      <x:c r="BG124" s="167" t="str">
        <x:f>IF(AND(BG$6&lt;=$H124,BG$6+6&gt;=$G124),1,"")</x:f>
      </x:c>
      <x:c r="BH124" s="167" t="str">
        <x:f>IF(AND(BH$6&lt;=$H124,BH$6+6&gt;=$G124),1,"")</x:f>
      </x:c>
      <x:c r="BI124" s="167" t="str">
        <x:f>IF(AND(BI$6&lt;=$H124,BI$6+6&gt;=$G124),1,"")</x:f>
      </x:c>
      <x:c r="BJ124" s="167" t="str">
        <x:f>IF(AND(BJ$6&lt;=$H124,BJ$6+6&gt;=$G124),1,"")</x:f>
      </x:c>
      <x:c r="BK124" s="167" t="str">
        <x:f>IF(AND(BK$6&lt;=$H124,BK$6+6&gt;=$G124),1,"")</x:f>
      </x:c>
      <x:c r="BL124" s="167" t="str">
        <x:f>IF(AND(BL$6&lt;=$H124,BL$6+6&gt;=$G124),1,"")</x:f>
      </x:c>
      <x:c r="BM124" s="167" t="str">
        <x:f>IF(AND(BM$6&lt;=$H124,BM$6+6&gt;=$G124),1,"")</x:f>
      </x:c>
      <x:c r="BN124" s="167" t="str">
        <x:f>IF(AND(BN$6&lt;=$H124,BN$6+6&gt;=$G124),1,"")</x:f>
      </x:c>
      <x:c r="BO124" s="168" t="str">
        <x:f>IF(AND(BO$6&lt;=$H124,BO$6+6&gt;=$G124),1,"")</x:f>
      </x:c>
    </x:row>
    <x:row r="125" ht="24" customHeight="1">
      <x:c r="A125" s="68" t="str">
        <x:f>'Task Register'!A123</x:f>
        <x:v>T-613</x:v>
      </x:c>
      <x:c r="B125" s="68" t="str">
        <x:f>'Task Register'!B123</x:f>
        <x:v>M6</x:v>
      </x:c>
      <x:c r="C125" s="68" t="str">
        <x:f>'Task Register'!C123</x:f>
        <x:v>Calibration/Digital Thread</x:v>
      </x:c>
      <x:c r="D125" s="68" t="str">
        <x:f>'Task Register'!D123</x:f>
        <x:v>Feed prototype measurements back into all models</x:v>
      </x:c>
      <x:c r="E125" s="68" t="str">
        <x:f>'Task Register'!E123</x:f>
        <x:v>T-511, T-611, T-612</x:v>
      </x:c>
      <x:c r="F125" s="68" t="str">
        <x:f>'Task Register'!F123</x:f>
        <x:v>Blocked</x:v>
      </x:c>
      <x:c r="G125" s="94" t="n">
        <x:f>'Task Register'!I123</x:f>
        <x:v>46395</x:v>
      </x:c>
      <x:c r="H125" s="94" t="n">
        <x:f>'Task Register'!J123</x:f>
        <x:v>46400</x:v>
      </x:c>
      <x:c r="I125" s="166" t="str">
        <x:f>IF(AND(I$6&lt;=$H125,I$6+6&gt;=$G125),1,"")</x:f>
      </x:c>
      <x:c r="J125" s="167" t="str">
        <x:f>IF(AND(J$6&lt;=$H125,J$6+6&gt;=$G125),1,"")</x:f>
      </x:c>
      <x:c r="K125" s="167" t="str">
        <x:f>IF(AND(K$6&lt;=$H125,K$6+6&gt;=$G125),1,"")</x:f>
      </x:c>
      <x:c r="L125" s="167" t="str">
        <x:f>IF(AND(L$6&lt;=$H125,L$6+6&gt;=$G125),1,"")</x:f>
      </x:c>
      <x:c r="M125" s="167" t="str">
        <x:f>IF(AND(M$6&lt;=$H125,M$6+6&gt;=$G125),1,"")</x:f>
      </x:c>
      <x:c r="N125" s="167" t="str">
        <x:f>IF(AND(N$6&lt;=$H125,N$6+6&gt;=$G125),1,"")</x:f>
      </x:c>
      <x:c r="O125" s="167" t="str">
        <x:f>IF(AND(O$6&lt;=$H125,O$6+6&gt;=$G125),1,"")</x:f>
      </x:c>
      <x:c r="P125" s="167" t="str">
        <x:f>IF(AND(P$6&lt;=$H125,P$6+6&gt;=$G125),1,"")</x:f>
      </x:c>
      <x:c r="Q125" s="167" t="str">
        <x:f>IF(AND(Q$6&lt;=$H125,Q$6+6&gt;=$G125),1,"")</x:f>
      </x:c>
      <x:c r="R125" s="167" t="str">
        <x:f>IF(AND(R$6&lt;=$H125,R$6+6&gt;=$G125),1,"")</x:f>
      </x:c>
      <x:c r="S125" s="167" t="str">
        <x:f>IF(AND(S$6&lt;=$H125,S$6+6&gt;=$G125),1,"")</x:f>
      </x:c>
      <x:c r="T125" s="167" t="str">
        <x:f>IF(AND(T$6&lt;=$H125,T$6+6&gt;=$G125),1,"")</x:f>
      </x:c>
      <x:c r="U125" s="167" t="str">
        <x:f>IF(AND(U$6&lt;=$H125,U$6+6&gt;=$G125),1,"")</x:f>
      </x:c>
      <x:c r="V125" s="167" t="str">
        <x:f>IF(AND(V$6&lt;=$H125,V$6+6&gt;=$G125),1,"")</x:f>
      </x:c>
      <x:c r="W125" s="167" t="str">
        <x:f>IF(AND(W$6&lt;=$H125,W$6+6&gt;=$G125),1,"")</x:f>
      </x:c>
      <x:c r="X125" s="167" t="str">
        <x:f>IF(AND(X$6&lt;=$H125,X$6+6&gt;=$G125),1,"")</x:f>
      </x:c>
      <x:c r="Y125" s="167" t="str">
        <x:f>IF(AND(Y$6&lt;=$H125,Y$6+6&gt;=$G125),1,"")</x:f>
      </x:c>
      <x:c r="Z125" s="167" t="str">
        <x:f>IF(AND(Z$6&lt;=$H125,Z$6+6&gt;=$G125),1,"")</x:f>
      </x:c>
      <x:c r="AA125" s="167" t="str">
        <x:f>IF(AND(AA$6&lt;=$H125,AA$6+6&gt;=$G125),1,"")</x:f>
      </x:c>
      <x:c r="AB125" s="167" t="str">
        <x:f>IF(AND(AB$6&lt;=$H125,AB$6+6&gt;=$G125),1,"")</x:f>
      </x:c>
      <x:c r="AC125" s="167" t="str">
        <x:f>IF(AND(AC$6&lt;=$H125,AC$6+6&gt;=$G125),1,"")</x:f>
      </x:c>
      <x:c r="AD125" s="167" t="str">
        <x:f>IF(AND(AD$6&lt;=$H125,AD$6+6&gt;=$G125),1,"")</x:f>
      </x:c>
      <x:c r="AE125" s="167" t="n">
        <x:f>IF(AND(AE$6&lt;=$H125,AE$6+6&gt;=$G125),1,"")</x:f>
        <x:v>1</x:v>
      </x:c>
      <x:c r="AF125" s="167" t="n">
        <x:f>IF(AND(AF$6&lt;=$H125,AF$6+6&gt;=$G125),1,"")</x:f>
        <x:v>1</x:v>
      </x:c>
      <x:c r="AG125" s="167" t="str">
        <x:f>IF(AND(AG$6&lt;=$H125,AG$6+6&gt;=$G125),1,"")</x:f>
      </x:c>
      <x:c r="AH125" s="167" t="str">
        <x:f>IF(AND(AH$6&lt;=$H125,AH$6+6&gt;=$G125),1,"")</x:f>
      </x:c>
      <x:c r="AI125" s="167" t="str">
        <x:f>IF(AND(AI$6&lt;=$H125,AI$6+6&gt;=$G125),1,"")</x:f>
      </x:c>
      <x:c r="AJ125" s="167" t="str">
        <x:f>IF(AND(AJ$6&lt;=$H125,AJ$6+6&gt;=$G125),1,"")</x:f>
      </x:c>
      <x:c r="AK125" s="167" t="str">
        <x:f>IF(AND(AK$6&lt;=$H125,AK$6+6&gt;=$G125),1,"")</x:f>
      </x:c>
      <x:c r="AL125" s="167" t="str">
        <x:f>IF(AND(AL$6&lt;=$H125,AL$6+6&gt;=$G125),1,"")</x:f>
      </x:c>
      <x:c r="AM125" s="167" t="str">
        <x:f>IF(AND(AM$6&lt;=$H125,AM$6+6&gt;=$G125),1,"")</x:f>
      </x:c>
      <x:c r="AN125" s="167" t="str">
        <x:f>IF(AND(AN$6&lt;=$H125,AN$6+6&gt;=$G125),1,"")</x:f>
      </x:c>
      <x:c r="AO125" s="167" t="str">
        <x:f>IF(AND(AO$6&lt;=$H125,AO$6+6&gt;=$G125),1,"")</x:f>
      </x:c>
      <x:c r="AP125" s="167" t="str">
        <x:f>IF(AND(AP$6&lt;=$H125,AP$6+6&gt;=$G125),1,"")</x:f>
      </x:c>
      <x:c r="AQ125" s="167" t="str">
        <x:f>IF(AND(AQ$6&lt;=$H125,AQ$6+6&gt;=$G125),1,"")</x:f>
      </x:c>
      <x:c r="AR125" s="167" t="str">
        <x:f>IF(AND(AR$6&lt;=$H125,AR$6+6&gt;=$G125),1,"")</x:f>
      </x:c>
      <x:c r="AS125" s="167" t="str">
        <x:f>IF(AND(AS$6&lt;=$H125,AS$6+6&gt;=$G125),1,"")</x:f>
      </x:c>
      <x:c r="AT125" s="167" t="str">
        <x:f>IF(AND(AT$6&lt;=$H125,AT$6+6&gt;=$G125),1,"")</x:f>
      </x:c>
      <x:c r="AU125" s="167" t="str">
        <x:f>IF(AND(AU$6&lt;=$H125,AU$6+6&gt;=$G125),1,"")</x:f>
      </x:c>
      <x:c r="AV125" s="167" t="str">
        <x:f>IF(AND(AV$6&lt;=$H125,AV$6+6&gt;=$G125),1,"")</x:f>
      </x:c>
      <x:c r="AW125" s="167" t="str">
        <x:f>IF(AND(AW$6&lt;=$H125,AW$6+6&gt;=$G125),1,"")</x:f>
      </x:c>
      <x:c r="AX125" s="167" t="str">
        <x:f>IF(AND(AX$6&lt;=$H125,AX$6+6&gt;=$G125),1,"")</x:f>
      </x:c>
      <x:c r="AY125" s="167" t="str">
        <x:f>IF(AND(AY$6&lt;=$H125,AY$6+6&gt;=$G125),1,"")</x:f>
      </x:c>
      <x:c r="AZ125" s="167" t="str">
        <x:f>IF(AND(AZ$6&lt;=$H125,AZ$6+6&gt;=$G125),1,"")</x:f>
      </x:c>
      <x:c r="BA125" s="167" t="str">
        <x:f>IF(AND(BA$6&lt;=$H125,BA$6+6&gt;=$G125),1,"")</x:f>
      </x:c>
      <x:c r="BB125" s="167" t="str">
        <x:f>IF(AND(BB$6&lt;=$H125,BB$6+6&gt;=$G125),1,"")</x:f>
      </x:c>
      <x:c r="BC125" s="167" t="str">
        <x:f>IF(AND(BC$6&lt;=$H125,BC$6+6&gt;=$G125),1,"")</x:f>
      </x:c>
      <x:c r="BD125" s="167" t="str">
        <x:f>IF(AND(BD$6&lt;=$H125,BD$6+6&gt;=$G125),1,"")</x:f>
      </x:c>
      <x:c r="BE125" s="167" t="str">
        <x:f>IF(AND(BE$6&lt;=$H125,BE$6+6&gt;=$G125),1,"")</x:f>
      </x:c>
      <x:c r="BF125" s="167" t="str">
        <x:f>IF(AND(BF$6&lt;=$H125,BF$6+6&gt;=$G125),1,"")</x:f>
      </x:c>
      <x:c r="BG125" s="167" t="str">
        <x:f>IF(AND(BG$6&lt;=$H125,BG$6+6&gt;=$G125),1,"")</x:f>
      </x:c>
      <x:c r="BH125" s="167" t="str">
        <x:f>IF(AND(BH$6&lt;=$H125,BH$6+6&gt;=$G125),1,"")</x:f>
      </x:c>
      <x:c r="BI125" s="167" t="str">
        <x:f>IF(AND(BI$6&lt;=$H125,BI$6+6&gt;=$G125),1,"")</x:f>
      </x:c>
      <x:c r="BJ125" s="167" t="str">
        <x:f>IF(AND(BJ$6&lt;=$H125,BJ$6+6&gt;=$G125),1,"")</x:f>
      </x:c>
      <x:c r="BK125" s="167" t="str">
        <x:f>IF(AND(BK$6&lt;=$H125,BK$6+6&gt;=$G125),1,"")</x:f>
      </x:c>
      <x:c r="BL125" s="167" t="str">
        <x:f>IF(AND(BL$6&lt;=$H125,BL$6+6&gt;=$G125),1,"")</x:f>
      </x:c>
      <x:c r="BM125" s="167" t="str">
        <x:f>IF(AND(BM$6&lt;=$H125,BM$6+6&gt;=$G125),1,"")</x:f>
      </x:c>
      <x:c r="BN125" s="167" t="str">
        <x:f>IF(AND(BN$6&lt;=$H125,BN$6+6&gt;=$G125),1,"")</x:f>
      </x:c>
      <x:c r="BO125" s="168" t="str">
        <x:f>IF(AND(BO$6&lt;=$H125,BO$6+6&gt;=$G125),1,"")</x:f>
      </x:c>
    </x:row>
    <x:row r="126" ht="24" customHeight="1">
      <x:c r="A126" s="68" t="str">
        <x:f>'Task Register'!A124</x:f>
        <x:v>T-614</x:v>
      </x:c>
      <x:c r="B126" s="68" t="str">
        <x:f>'Task Register'!B124</x:f>
        <x:v>M6</x:v>
      </x:c>
      <x:c r="C126" s="68" t="str">
        <x:f>'Task Register'!C124</x:f>
        <x:v>Mechanical Review</x:v>
      </x:c>
      <x:c r="D126" s="68" t="str">
        <x:f>'Task Register'!D124</x:f>
        <x:v>Conduct the integrated prototype design review</x:v>
      </x:c>
      <x:c r="E126" s="68" t="str">
        <x:f>'Task Register'!E124</x:f>
        <x:v>T-610, T-613</x:v>
      </x:c>
      <x:c r="F126" s="68" t="str">
        <x:f>'Task Register'!F124</x:f>
        <x:v>Blocked</x:v>
      </x:c>
      <x:c r="G126" s="94" t="n">
        <x:f>'Task Register'!I124</x:f>
        <x:v>46401</x:v>
      </x:c>
      <x:c r="H126" s="94" t="n">
        <x:f>'Task Register'!J124</x:f>
        <x:v>46402</x:v>
      </x:c>
      <x:c r="I126" s="166" t="str">
        <x:f>IF(AND(I$6&lt;=$H126,I$6+6&gt;=$G126),1,"")</x:f>
      </x:c>
      <x:c r="J126" s="167" t="str">
        <x:f>IF(AND(J$6&lt;=$H126,J$6+6&gt;=$G126),1,"")</x:f>
      </x:c>
      <x:c r="K126" s="167" t="str">
        <x:f>IF(AND(K$6&lt;=$H126,K$6+6&gt;=$G126),1,"")</x:f>
      </x:c>
      <x:c r="L126" s="167" t="str">
        <x:f>IF(AND(L$6&lt;=$H126,L$6+6&gt;=$G126),1,"")</x:f>
      </x:c>
      <x:c r="M126" s="167" t="str">
        <x:f>IF(AND(M$6&lt;=$H126,M$6+6&gt;=$G126),1,"")</x:f>
      </x:c>
      <x:c r="N126" s="167" t="str">
        <x:f>IF(AND(N$6&lt;=$H126,N$6+6&gt;=$G126),1,"")</x:f>
      </x:c>
      <x:c r="O126" s="167" t="str">
        <x:f>IF(AND(O$6&lt;=$H126,O$6+6&gt;=$G126),1,"")</x:f>
      </x:c>
      <x:c r="P126" s="167" t="str">
        <x:f>IF(AND(P$6&lt;=$H126,P$6+6&gt;=$G126),1,"")</x:f>
      </x:c>
      <x:c r="Q126" s="167" t="str">
        <x:f>IF(AND(Q$6&lt;=$H126,Q$6+6&gt;=$G126),1,"")</x:f>
      </x:c>
      <x:c r="R126" s="167" t="str">
        <x:f>IF(AND(R$6&lt;=$H126,R$6+6&gt;=$G126),1,"")</x:f>
      </x:c>
      <x:c r="S126" s="167" t="str">
        <x:f>IF(AND(S$6&lt;=$H126,S$6+6&gt;=$G126),1,"")</x:f>
      </x:c>
      <x:c r="T126" s="167" t="str">
        <x:f>IF(AND(T$6&lt;=$H126,T$6+6&gt;=$G126),1,"")</x:f>
      </x:c>
      <x:c r="U126" s="167" t="str">
        <x:f>IF(AND(U$6&lt;=$H126,U$6+6&gt;=$G126),1,"")</x:f>
      </x:c>
      <x:c r="V126" s="167" t="str">
        <x:f>IF(AND(V$6&lt;=$H126,V$6+6&gt;=$G126),1,"")</x:f>
      </x:c>
      <x:c r="W126" s="167" t="str">
        <x:f>IF(AND(W$6&lt;=$H126,W$6+6&gt;=$G126),1,"")</x:f>
      </x:c>
      <x:c r="X126" s="167" t="str">
        <x:f>IF(AND(X$6&lt;=$H126,X$6+6&gt;=$G126),1,"")</x:f>
      </x:c>
      <x:c r="Y126" s="167" t="str">
        <x:f>IF(AND(Y$6&lt;=$H126,Y$6+6&gt;=$G126),1,"")</x:f>
      </x:c>
      <x:c r="Z126" s="167" t="str">
        <x:f>IF(AND(Z$6&lt;=$H126,Z$6+6&gt;=$G126),1,"")</x:f>
      </x:c>
      <x:c r="AA126" s="167" t="str">
        <x:f>IF(AND(AA$6&lt;=$H126,AA$6+6&gt;=$G126),1,"")</x:f>
      </x:c>
      <x:c r="AB126" s="167" t="str">
        <x:f>IF(AND(AB$6&lt;=$H126,AB$6+6&gt;=$G126),1,"")</x:f>
      </x:c>
      <x:c r="AC126" s="167" t="str">
        <x:f>IF(AND(AC$6&lt;=$H126,AC$6+6&gt;=$G126),1,"")</x:f>
      </x:c>
      <x:c r="AD126" s="167" t="str">
        <x:f>IF(AND(AD$6&lt;=$H126,AD$6+6&gt;=$G126),1,"")</x:f>
      </x:c>
      <x:c r="AE126" s="167" t="str">
        <x:f>IF(AND(AE$6&lt;=$H126,AE$6+6&gt;=$G126),1,"")</x:f>
      </x:c>
      <x:c r="AF126" s="167" t="n">
        <x:f>IF(AND(AF$6&lt;=$H126,AF$6+6&gt;=$G126),1,"")</x:f>
        <x:v>1</x:v>
      </x:c>
      <x:c r="AG126" s="167" t="str">
        <x:f>IF(AND(AG$6&lt;=$H126,AG$6+6&gt;=$G126),1,"")</x:f>
      </x:c>
      <x:c r="AH126" s="167" t="str">
        <x:f>IF(AND(AH$6&lt;=$H126,AH$6+6&gt;=$G126),1,"")</x:f>
      </x:c>
      <x:c r="AI126" s="167" t="str">
        <x:f>IF(AND(AI$6&lt;=$H126,AI$6+6&gt;=$G126),1,"")</x:f>
      </x:c>
      <x:c r="AJ126" s="167" t="str">
        <x:f>IF(AND(AJ$6&lt;=$H126,AJ$6+6&gt;=$G126),1,"")</x:f>
      </x:c>
      <x:c r="AK126" s="167" t="str">
        <x:f>IF(AND(AK$6&lt;=$H126,AK$6+6&gt;=$G126),1,"")</x:f>
      </x:c>
      <x:c r="AL126" s="167" t="str">
        <x:f>IF(AND(AL$6&lt;=$H126,AL$6+6&gt;=$G126),1,"")</x:f>
      </x:c>
      <x:c r="AM126" s="167" t="str">
        <x:f>IF(AND(AM$6&lt;=$H126,AM$6+6&gt;=$G126),1,"")</x:f>
      </x:c>
      <x:c r="AN126" s="167" t="str">
        <x:f>IF(AND(AN$6&lt;=$H126,AN$6+6&gt;=$G126),1,"")</x:f>
      </x:c>
      <x:c r="AO126" s="167" t="str">
        <x:f>IF(AND(AO$6&lt;=$H126,AO$6+6&gt;=$G126),1,"")</x:f>
      </x:c>
      <x:c r="AP126" s="167" t="str">
        <x:f>IF(AND(AP$6&lt;=$H126,AP$6+6&gt;=$G126),1,"")</x:f>
      </x:c>
      <x:c r="AQ126" s="167" t="str">
        <x:f>IF(AND(AQ$6&lt;=$H126,AQ$6+6&gt;=$G126),1,"")</x:f>
      </x:c>
      <x:c r="AR126" s="167" t="str">
        <x:f>IF(AND(AR$6&lt;=$H126,AR$6+6&gt;=$G126),1,"")</x:f>
      </x:c>
      <x:c r="AS126" s="167" t="str">
        <x:f>IF(AND(AS$6&lt;=$H126,AS$6+6&gt;=$G126),1,"")</x:f>
      </x:c>
      <x:c r="AT126" s="167" t="str">
        <x:f>IF(AND(AT$6&lt;=$H126,AT$6+6&gt;=$G126),1,"")</x:f>
      </x:c>
      <x:c r="AU126" s="167" t="str">
        <x:f>IF(AND(AU$6&lt;=$H126,AU$6+6&gt;=$G126),1,"")</x:f>
      </x:c>
      <x:c r="AV126" s="167" t="str">
        <x:f>IF(AND(AV$6&lt;=$H126,AV$6+6&gt;=$G126),1,"")</x:f>
      </x:c>
      <x:c r="AW126" s="167" t="str">
        <x:f>IF(AND(AW$6&lt;=$H126,AW$6+6&gt;=$G126),1,"")</x:f>
      </x:c>
      <x:c r="AX126" s="167" t="str">
        <x:f>IF(AND(AX$6&lt;=$H126,AX$6+6&gt;=$G126),1,"")</x:f>
      </x:c>
      <x:c r="AY126" s="167" t="str">
        <x:f>IF(AND(AY$6&lt;=$H126,AY$6+6&gt;=$G126),1,"")</x:f>
      </x:c>
      <x:c r="AZ126" s="167" t="str">
        <x:f>IF(AND(AZ$6&lt;=$H126,AZ$6+6&gt;=$G126),1,"")</x:f>
      </x:c>
      <x:c r="BA126" s="167" t="str">
        <x:f>IF(AND(BA$6&lt;=$H126,BA$6+6&gt;=$G126),1,"")</x:f>
      </x:c>
      <x:c r="BB126" s="167" t="str">
        <x:f>IF(AND(BB$6&lt;=$H126,BB$6+6&gt;=$G126),1,"")</x:f>
      </x:c>
      <x:c r="BC126" s="167" t="str">
        <x:f>IF(AND(BC$6&lt;=$H126,BC$6+6&gt;=$G126),1,"")</x:f>
      </x:c>
      <x:c r="BD126" s="167" t="str">
        <x:f>IF(AND(BD$6&lt;=$H126,BD$6+6&gt;=$G126),1,"")</x:f>
      </x:c>
      <x:c r="BE126" s="167" t="str">
        <x:f>IF(AND(BE$6&lt;=$H126,BE$6+6&gt;=$G126),1,"")</x:f>
      </x:c>
      <x:c r="BF126" s="167" t="str">
        <x:f>IF(AND(BF$6&lt;=$H126,BF$6+6&gt;=$G126),1,"")</x:f>
      </x:c>
      <x:c r="BG126" s="167" t="str">
        <x:f>IF(AND(BG$6&lt;=$H126,BG$6+6&gt;=$G126),1,"")</x:f>
      </x:c>
      <x:c r="BH126" s="167" t="str">
        <x:f>IF(AND(BH$6&lt;=$H126,BH$6+6&gt;=$G126),1,"")</x:f>
      </x:c>
      <x:c r="BI126" s="167" t="str">
        <x:f>IF(AND(BI$6&lt;=$H126,BI$6+6&gt;=$G126),1,"")</x:f>
      </x:c>
      <x:c r="BJ126" s="167" t="str">
        <x:f>IF(AND(BJ$6&lt;=$H126,BJ$6+6&gt;=$G126),1,"")</x:f>
      </x:c>
      <x:c r="BK126" s="167" t="str">
        <x:f>IF(AND(BK$6&lt;=$H126,BK$6+6&gt;=$G126),1,"")</x:f>
      </x:c>
      <x:c r="BL126" s="167" t="str">
        <x:f>IF(AND(BL$6&lt;=$H126,BL$6+6&gt;=$G126),1,"")</x:f>
      </x:c>
      <x:c r="BM126" s="167" t="str">
        <x:f>IF(AND(BM$6&lt;=$H126,BM$6+6&gt;=$G126),1,"")</x:f>
      </x:c>
      <x:c r="BN126" s="167" t="str">
        <x:f>IF(AND(BN$6&lt;=$H126,BN$6+6&gt;=$G126),1,"")</x:f>
      </x:c>
      <x:c r="BO126" s="168" t="str">
        <x:f>IF(AND(BO$6&lt;=$H126,BO$6+6&gt;=$G126),1,"")</x:f>
      </x:c>
    </x:row>
    <x:row r="127" ht="24" customHeight="1">
      <x:c r="A127" s="68" t="str">
        <x:f>'Task Register'!A125</x:f>
        <x:v>T-615</x:v>
      </x:c>
      <x:c r="B127" s="68" t="str">
        <x:f>'Task Register'!B125</x:f>
        <x:v>M6</x:v>
      </x:c>
      <x:c r="C127" s="68" t="str">
        <x:f>'Task Register'!C125</x:f>
        <x:v>Validation</x:v>
      </x:c>
      <x:c r="D127" s="68" t="str">
        <x:f>'Task Register'!D125</x:f>
        <x:v>M6 prototype-release gate</x:v>
      </x:c>
      <x:c r="E127" s="68" t="str">
        <x:f>'Task Register'!E125</x:f>
        <x:v>T-614</x:v>
      </x:c>
      <x:c r="F127" s="68" t="str">
        <x:f>'Task Register'!F125</x:f>
        <x:v>Blocked</x:v>
      </x:c>
      <x:c r="G127" s="94" t="n">
        <x:f>'Task Register'!I125</x:f>
        <x:v>46405</x:v>
      </x:c>
      <x:c r="H127" s="94" t="n">
        <x:f>'Task Register'!J125</x:f>
        <x:v>46405</x:v>
      </x:c>
      <x:c r="I127" s="166" t="str">
        <x:f>IF(AND(I$6&lt;=$H127,I$6+6&gt;=$G127),1,"")</x:f>
      </x:c>
      <x:c r="J127" s="167" t="str">
        <x:f>IF(AND(J$6&lt;=$H127,J$6+6&gt;=$G127),1,"")</x:f>
      </x:c>
      <x:c r="K127" s="167" t="str">
        <x:f>IF(AND(K$6&lt;=$H127,K$6+6&gt;=$G127),1,"")</x:f>
      </x:c>
      <x:c r="L127" s="167" t="str">
        <x:f>IF(AND(L$6&lt;=$H127,L$6+6&gt;=$G127),1,"")</x:f>
      </x:c>
      <x:c r="M127" s="167" t="str">
        <x:f>IF(AND(M$6&lt;=$H127,M$6+6&gt;=$G127),1,"")</x:f>
      </x:c>
      <x:c r="N127" s="167" t="str">
        <x:f>IF(AND(N$6&lt;=$H127,N$6+6&gt;=$G127),1,"")</x:f>
      </x:c>
      <x:c r="O127" s="167" t="str">
        <x:f>IF(AND(O$6&lt;=$H127,O$6+6&gt;=$G127),1,"")</x:f>
      </x:c>
      <x:c r="P127" s="167" t="str">
        <x:f>IF(AND(P$6&lt;=$H127,P$6+6&gt;=$G127),1,"")</x:f>
      </x:c>
      <x:c r="Q127" s="167" t="str">
        <x:f>IF(AND(Q$6&lt;=$H127,Q$6+6&gt;=$G127),1,"")</x:f>
      </x:c>
      <x:c r="R127" s="167" t="str">
        <x:f>IF(AND(R$6&lt;=$H127,R$6+6&gt;=$G127),1,"")</x:f>
      </x:c>
      <x:c r="S127" s="167" t="str">
        <x:f>IF(AND(S$6&lt;=$H127,S$6+6&gt;=$G127),1,"")</x:f>
      </x:c>
      <x:c r="T127" s="167" t="str">
        <x:f>IF(AND(T$6&lt;=$H127,T$6+6&gt;=$G127),1,"")</x:f>
      </x:c>
      <x:c r="U127" s="167" t="str">
        <x:f>IF(AND(U$6&lt;=$H127,U$6+6&gt;=$G127),1,"")</x:f>
      </x:c>
      <x:c r="V127" s="167" t="str">
        <x:f>IF(AND(V$6&lt;=$H127,V$6+6&gt;=$G127),1,"")</x:f>
      </x:c>
      <x:c r="W127" s="167" t="str">
        <x:f>IF(AND(W$6&lt;=$H127,W$6+6&gt;=$G127),1,"")</x:f>
      </x:c>
      <x:c r="X127" s="167" t="str">
        <x:f>IF(AND(X$6&lt;=$H127,X$6+6&gt;=$G127),1,"")</x:f>
      </x:c>
      <x:c r="Y127" s="167" t="str">
        <x:f>IF(AND(Y$6&lt;=$H127,Y$6+6&gt;=$G127),1,"")</x:f>
      </x:c>
      <x:c r="Z127" s="167" t="str">
        <x:f>IF(AND(Z$6&lt;=$H127,Z$6+6&gt;=$G127),1,"")</x:f>
      </x:c>
      <x:c r="AA127" s="167" t="str">
        <x:f>IF(AND(AA$6&lt;=$H127,AA$6+6&gt;=$G127),1,"")</x:f>
      </x:c>
      <x:c r="AB127" s="167" t="str">
        <x:f>IF(AND(AB$6&lt;=$H127,AB$6+6&gt;=$G127),1,"")</x:f>
      </x:c>
      <x:c r="AC127" s="167" t="str">
        <x:f>IF(AND(AC$6&lt;=$H127,AC$6+6&gt;=$G127),1,"")</x:f>
      </x:c>
      <x:c r="AD127" s="167" t="str">
        <x:f>IF(AND(AD$6&lt;=$H127,AD$6+6&gt;=$G127),1,"")</x:f>
      </x:c>
      <x:c r="AE127" s="167" t="str">
        <x:f>IF(AND(AE$6&lt;=$H127,AE$6+6&gt;=$G127),1,"")</x:f>
      </x:c>
      <x:c r="AF127" s="167" t="str">
        <x:f>IF(AND(AF$6&lt;=$H127,AF$6+6&gt;=$G127),1,"")</x:f>
      </x:c>
      <x:c r="AG127" s="167" t="n">
        <x:f>IF(AND(AG$6&lt;=$H127,AG$6+6&gt;=$G127),1,"")</x:f>
        <x:v>1</x:v>
      </x:c>
      <x:c r="AH127" s="167" t="str">
        <x:f>IF(AND(AH$6&lt;=$H127,AH$6+6&gt;=$G127),1,"")</x:f>
      </x:c>
      <x:c r="AI127" s="167" t="str">
        <x:f>IF(AND(AI$6&lt;=$H127,AI$6+6&gt;=$G127),1,"")</x:f>
      </x:c>
      <x:c r="AJ127" s="167" t="str">
        <x:f>IF(AND(AJ$6&lt;=$H127,AJ$6+6&gt;=$G127),1,"")</x:f>
      </x:c>
      <x:c r="AK127" s="167" t="str">
        <x:f>IF(AND(AK$6&lt;=$H127,AK$6+6&gt;=$G127),1,"")</x:f>
      </x:c>
      <x:c r="AL127" s="167" t="str">
        <x:f>IF(AND(AL$6&lt;=$H127,AL$6+6&gt;=$G127),1,"")</x:f>
      </x:c>
      <x:c r="AM127" s="167" t="str">
        <x:f>IF(AND(AM$6&lt;=$H127,AM$6+6&gt;=$G127),1,"")</x:f>
      </x:c>
      <x:c r="AN127" s="167" t="str">
        <x:f>IF(AND(AN$6&lt;=$H127,AN$6+6&gt;=$G127),1,"")</x:f>
      </x:c>
      <x:c r="AO127" s="167" t="str">
        <x:f>IF(AND(AO$6&lt;=$H127,AO$6+6&gt;=$G127),1,"")</x:f>
      </x:c>
      <x:c r="AP127" s="167" t="str">
        <x:f>IF(AND(AP$6&lt;=$H127,AP$6+6&gt;=$G127),1,"")</x:f>
      </x:c>
      <x:c r="AQ127" s="167" t="str">
        <x:f>IF(AND(AQ$6&lt;=$H127,AQ$6+6&gt;=$G127),1,"")</x:f>
      </x:c>
      <x:c r="AR127" s="167" t="str">
        <x:f>IF(AND(AR$6&lt;=$H127,AR$6+6&gt;=$G127),1,"")</x:f>
      </x:c>
      <x:c r="AS127" s="167" t="str">
        <x:f>IF(AND(AS$6&lt;=$H127,AS$6+6&gt;=$G127),1,"")</x:f>
      </x:c>
      <x:c r="AT127" s="167" t="str">
        <x:f>IF(AND(AT$6&lt;=$H127,AT$6+6&gt;=$G127),1,"")</x:f>
      </x:c>
      <x:c r="AU127" s="167" t="str">
        <x:f>IF(AND(AU$6&lt;=$H127,AU$6+6&gt;=$G127),1,"")</x:f>
      </x:c>
      <x:c r="AV127" s="167" t="str">
        <x:f>IF(AND(AV$6&lt;=$H127,AV$6+6&gt;=$G127),1,"")</x:f>
      </x:c>
      <x:c r="AW127" s="167" t="str">
        <x:f>IF(AND(AW$6&lt;=$H127,AW$6+6&gt;=$G127),1,"")</x:f>
      </x:c>
      <x:c r="AX127" s="167" t="str">
        <x:f>IF(AND(AX$6&lt;=$H127,AX$6+6&gt;=$G127),1,"")</x:f>
      </x:c>
      <x:c r="AY127" s="167" t="str">
        <x:f>IF(AND(AY$6&lt;=$H127,AY$6+6&gt;=$G127),1,"")</x:f>
      </x:c>
      <x:c r="AZ127" s="167" t="str">
        <x:f>IF(AND(AZ$6&lt;=$H127,AZ$6+6&gt;=$G127),1,"")</x:f>
      </x:c>
      <x:c r="BA127" s="167" t="str">
        <x:f>IF(AND(BA$6&lt;=$H127,BA$6+6&gt;=$G127),1,"")</x:f>
      </x:c>
      <x:c r="BB127" s="167" t="str">
        <x:f>IF(AND(BB$6&lt;=$H127,BB$6+6&gt;=$G127),1,"")</x:f>
      </x:c>
      <x:c r="BC127" s="167" t="str">
        <x:f>IF(AND(BC$6&lt;=$H127,BC$6+6&gt;=$G127),1,"")</x:f>
      </x:c>
      <x:c r="BD127" s="167" t="str">
        <x:f>IF(AND(BD$6&lt;=$H127,BD$6+6&gt;=$G127),1,"")</x:f>
      </x:c>
      <x:c r="BE127" s="167" t="str">
        <x:f>IF(AND(BE$6&lt;=$H127,BE$6+6&gt;=$G127),1,"")</x:f>
      </x:c>
      <x:c r="BF127" s="167" t="str">
        <x:f>IF(AND(BF$6&lt;=$H127,BF$6+6&gt;=$G127),1,"")</x:f>
      </x:c>
      <x:c r="BG127" s="167" t="str">
        <x:f>IF(AND(BG$6&lt;=$H127,BG$6+6&gt;=$G127),1,"")</x:f>
      </x:c>
      <x:c r="BH127" s="167" t="str">
        <x:f>IF(AND(BH$6&lt;=$H127,BH$6+6&gt;=$G127),1,"")</x:f>
      </x:c>
      <x:c r="BI127" s="167" t="str">
        <x:f>IF(AND(BI$6&lt;=$H127,BI$6+6&gt;=$G127),1,"")</x:f>
      </x:c>
      <x:c r="BJ127" s="167" t="str">
        <x:f>IF(AND(BJ$6&lt;=$H127,BJ$6+6&gt;=$G127),1,"")</x:f>
      </x:c>
      <x:c r="BK127" s="167" t="str">
        <x:f>IF(AND(BK$6&lt;=$H127,BK$6+6&gt;=$G127),1,"")</x:f>
      </x:c>
      <x:c r="BL127" s="167" t="str">
        <x:f>IF(AND(BL$6&lt;=$H127,BL$6+6&gt;=$G127),1,"")</x:f>
      </x:c>
      <x:c r="BM127" s="167" t="str">
        <x:f>IF(AND(BM$6&lt;=$H127,BM$6+6&gt;=$G127),1,"")</x:f>
      </x:c>
      <x:c r="BN127" s="167" t="str">
        <x:f>IF(AND(BN$6&lt;=$H127,BN$6+6&gt;=$G127),1,"")</x:f>
      </x:c>
      <x:c r="BO127" s="168" t="str">
        <x:f>IF(AND(BO$6&lt;=$H127,BO$6+6&gt;=$G127),1,"")</x:f>
      </x:c>
    </x:row>
    <x:row r="128" ht="24" customHeight="1">
      <x:c r="A128" s="68" t="str">
        <x:f>'Task Register'!A126</x:f>
        <x:v>T-701</x:v>
      </x:c>
      <x:c r="B128" s="68" t="str">
        <x:f>'Task Register'!B126</x:f>
        <x:v>M7</x:v>
      </x:c>
      <x:c r="C128" s="68" t="str">
        <x:f>'Task Register'!C126</x:f>
        <x:v>Safety</x:v>
      </x:c>
      <x:c r="D128" s="68" t="str">
        <x:f>'Task Register'!D126</x:f>
        <x:v>Perform hazard analysis and define operating modes</x:v>
      </x:c>
      <x:c r="E128" s="68" t="str">
        <x:f>'Task Register'!E126</x:f>
        <x:v>T-503, T-505</x:v>
      </x:c>
      <x:c r="F128" s="68" t="str">
        <x:f>'Task Register'!F126</x:f>
        <x:v>Blocked</x:v>
      </x:c>
      <x:c r="G128" s="94" t="n">
        <x:f>'Task Register'!I126</x:f>
        <x:v>46300</x:v>
      </x:c>
      <x:c r="H128" s="94" t="n">
        <x:f>'Task Register'!J126</x:f>
        <x:v>46302</x:v>
      </x:c>
      <x:c r="I128" s="166" t="str">
        <x:f>IF(AND(I$6&lt;=$H128,I$6+6&gt;=$G128),1,"")</x:f>
      </x:c>
      <x:c r="J128" s="167" t="str">
        <x:f>IF(AND(J$6&lt;=$H128,J$6+6&gt;=$G128),1,"")</x:f>
      </x:c>
      <x:c r="K128" s="167" t="str">
        <x:f>IF(AND(K$6&lt;=$H128,K$6+6&gt;=$G128),1,"")</x:f>
      </x:c>
      <x:c r="L128" s="167" t="str">
        <x:f>IF(AND(L$6&lt;=$H128,L$6+6&gt;=$G128),1,"")</x:f>
      </x:c>
      <x:c r="M128" s="167" t="str">
        <x:f>IF(AND(M$6&lt;=$H128,M$6+6&gt;=$G128),1,"")</x:f>
      </x:c>
      <x:c r="N128" s="167" t="str">
        <x:f>IF(AND(N$6&lt;=$H128,N$6+6&gt;=$G128),1,"")</x:f>
      </x:c>
      <x:c r="O128" s="167" t="str">
        <x:f>IF(AND(O$6&lt;=$H128,O$6+6&gt;=$G128),1,"")</x:f>
      </x:c>
      <x:c r="P128" s="167" t="str">
        <x:f>IF(AND(P$6&lt;=$H128,P$6+6&gt;=$G128),1,"")</x:f>
      </x:c>
      <x:c r="Q128" s="167" t="str">
        <x:f>IF(AND(Q$6&lt;=$H128,Q$6+6&gt;=$G128),1,"")</x:f>
      </x:c>
      <x:c r="R128" s="167" t="n">
        <x:f>IF(AND(R$6&lt;=$H128,R$6+6&gt;=$G128),1,"")</x:f>
        <x:v>1</x:v>
      </x:c>
      <x:c r="S128" s="167" t="str">
        <x:f>IF(AND(S$6&lt;=$H128,S$6+6&gt;=$G128),1,"")</x:f>
      </x:c>
      <x:c r="T128" s="167" t="str">
        <x:f>IF(AND(T$6&lt;=$H128,T$6+6&gt;=$G128),1,"")</x:f>
      </x:c>
      <x:c r="U128" s="167" t="str">
        <x:f>IF(AND(U$6&lt;=$H128,U$6+6&gt;=$G128),1,"")</x:f>
      </x:c>
      <x:c r="V128" s="167" t="str">
        <x:f>IF(AND(V$6&lt;=$H128,V$6+6&gt;=$G128),1,"")</x:f>
      </x:c>
      <x:c r="W128" s="167" t="str">
        <x:f>IF(AND(W$6&lt;=$H128,W$6+6&gt;=$G128),1,"")</x:f>
      </x:c>
      <x:c r="X128" s="167" t="str">
        <x:f>IF(AND(X$6&lt;=$H128,X$6+6&gt;=$G128),1,"")</x:f>
      </x:c>
      <x:c r="Y128" s="167" t="str">
        <x:f>IF(AND(Y$6&lt;=$H128,Y$6+6&gt;=$G128),1,"")</x:f>
      </x:c>
      <x:c r="Z128" s="167" t="str">
        <x:f>IF(AND(Z$6&lt;=$H128,Z$6+6&gt;=$G128),1,"")</x:f>
      </x:c>
      <x:c r="AA128" s="167" t="str">
        <x:f>IF(AND(AA$6&lt;=$H128,AA$6+6&gt;=$G128),1,"")</x:f>
      </x:c>
      <x:c r="AB128" s="167" t="str">
        <x:f>IF(AND(AB$6&lt;=$H128,AB$6+6&gt;=$G128),1,"")</x:f>
      </x:c>
      <x:c r="AC128" s="167" t="str">
        <x:f>IF(AND(AC$6&lt;=$H128,AC$6+6&gt;=$G128),1,"")</x:f>
      </x:c>
      <x:c r="AD128" s="167" t="str">
        <x:f>IF(AND(AD$6&lt;=$H128,AD$6+6&gt;=$G128),1,"")</x:f>
      </x:c>
      <x:c r="AE128" s="167" t="str">
        <x:f>IF(AND(AE$6&lt;=$H128,AE$6+6&gt;=$G128),1,"")</x:f>
      </x:c>
      <x:c r="AF128" s="167" t="str">
        <x:f>IF(AND(AF$6&lt;=$H128,AF$6+6&gt;=$G128),1,"")</x:f>
      </x:c>
      <x:c r="AG128" s="167" t="str">
        <x:f>IF(AND(AG$6&lt;=$H128,AG$6+6&gt;=$G128),1,"")</x:f>
      </x:c>
      <x:c r="AH128" s="167" t="str">
        <x:f>IF(AND(AH$6&lt;=$H128,AH$6+6&gt;=$G128),1,"")</x:f>
      </x:c>
      <x:c r="AI128" s="167" t="str">
        <x:f>IF(AND(AI$6&lt;=$H128,AI$6+6&gt;=$G128),1,"")</x:f>
      </x:c>
      <x:c r="AJ128" s="167" t="str">
        <x:f>IF(AND(AJ$6&lt;=$H128,AJ$6+6&gt;=$G128),1,"")</x:f>
      </x:c>
      <x:c r="AK128" s="167" t="str">
        <x:f>IF(AND(AK$6&lt;=$H128,AK$6+6&gt;=$G128),1,"")</x:f>
      </x:c>
      <x:c r="AL128" s="167" t="str">
        <x:f>IF(AND(AL$6&lt;=$H128,AL$6+6&gt;=$G128),1,"")</x:f>
      </x:c>
      <x:c r="AM128" s="167" t="str">
        <x:f>IF(AND(AM$6&lt;=$H128,AM$6+6&gt;=$G128),1,"")</x:f>
      </x:c>
      <x:c r="AN128" s="167" t="str">
        <x:f>IF(AND(AN$6&lt;=$H128,AN$6+6&gt;=$G128),1,"")</x:f>
      </x:c>
      <x:c r="AO128" s="167" t="str">
        <x:f>IF(AND(AO$6&lt;=$H128,AO$6+6&gt;=$G128),1,"")</x:f>
      </x:c>
      <x:c r="AP128" s="167" t="str">
        <x:f>IF(AND(AP$6&lt;=$H128,AP$6+6&gt;=$G128),1,"")</x:f>
      </x:c>
      <x:c r="AQ128" s="167" t="str">
        <x:f>IF(AND(AQ$6&lt;=$H128,AQ$6+6&gt;=$G128),1,"")</x:f>
      </x:c>
      <x:c r="AR128" s="167" t="str">
        <x:f>IF(AND(AR$6&lt;=$H128,AR$6+6&gt;=$G128),1,"")</x:f>
      </x:c>
      <x:c r="AS128" s="167" t="str">
        <x:f>IF(AND(AS$6&lt;=$H128,AS$6+6&gt;=$G128),1,"")</x:f>
      </x:c>
      <x:c r="AT128" s="167" t="str">
        <x:f>IF(AND(AT$6&lt;=$H128,AT$6+6&gt;=$G128),1,"")</x:f>
      </x:c>
      <x:c r="AU128" s="167" t="str">
        <x:f>IF(AND(AU$6&lt;=$H128,AU$6+6&gt;=$G128),1,"")</x:f>
      </x:c>
      <x:c r="AV128" s="167" t="str">
        <x:f>IF(AND(AV$6&lt;=$H128,AV$6+6&gt;=$G128),1,"")</x:f>
      </x:c>
      <x:c r="AW128" s="167" t="str">
        <x:f>IF(AND(AW$6&lt;=$H128,AW$6+6&gt;=$G128),1,"")</x:f>
      </x:c>
      <x:c r="AX128" s="167" t="str">
        <x:f>IF(AND(AX$6&lt;=$H128,AX$6+6&gt;=$G128),1,"")</x:f>
      </x:c>
      <x:c r="AY128" s="167" t="str">
        <x:f>IF(AND(AY$6&lt;=$H128,AY$6+6&gt;=$G128),1,"")</x:f>
      </x:c>
      <x:c r="AZ128" s="167" t="str">
        <x:f>IF(AND(AZ$6&lt;=$H128,AZ$6+6&gt;=$G128),1,"")</x:f>
      </x:c>
      <x:c r="BA128" s="167" t="str">
        <x:f>IF(AND(BA$6&lt;=$H128,BA$6+6&gt;=$G128),1,"")</x:f>
      </x:c>
      <x:c r="BB128" s="167" t="str">
        <x:f>IF(AND(BB$6&lt;=$H128,BB$6+6&gt;=$G128),1,"")</x:f>
      </x:c>
      <x:c r="BC128" s="167" t="str">
        <x:f>IF(AND(BC$6&lt;=$H128,BC$6+6&gt;=$G128),1,"")</x:f>
      </x:c>
      <x:c r="BD128" s="167" t="str">
        <x:f>IF(AND(BD$6&lt;=$H128,BD$6+6&gt;=$G128),1,"")</x:f>
      </x:c>
      <x:c r="BE128" s="167" t="str">
        <x:f>IF(AND(BE$6&lt;=$H128,BE$6+6&gt;=$G128),1,"")</x:f>
      </x:c>
      <x:c r="BF128" s="167" t="str">
        <x:f>IF(AND(BF$6&lt;=$H128,BF$6+6&gt;=$G128),1,"")</x:f>
      </x:c>
      <x:c r="BG128" s="167" t="str">
        <x:f>IF(AND(BG$6&lt;=$H128,BG$6+6&gt;=$G128),1,"")</x:f>
      </x:c>
      <x:c r="BH128" s="167" t="str">
        <x:f>IF(AND(BH$6&lt;=$H128,BH$6+6&gt;=$G128),1,"")</x:f>
      </x:c>
      <x:c r="BI128" s="167" t="str">
        <x:f>IF(AND(BI$6&lt;=$H128,BI$6+6&gt;=$G128),1,"")</x:f>
      </x:c>
      <x:c r="BJ128" s="167" t="str">
        <x:f>IF(AND(BJ$6&lt;=$H128,BJ$6+6&gt;=$G128),1,"")</x:f>
      </x:c>
      <x:c r="BK128" s="167" t="str">
        <x:f>IF(AND(BK$6&lt;=$H128,BK$6+6&gt;=$G128),1,"")</x:f>
      </x:c>
      <x:c r="BL128" s="167" t="str">
        <x:f>IF(AND(BL$6&lt;=$H128,BL$6+6&gt;=$G128),1,"")</x:f>
      </x:c>
      <x:c r="BM128" s="167" t="str">
        <x:f>IF(AND(BM$6&lt;=$H128,BM$6+6&gt;=$G128),1,"")</x:f>
      </x:c>
      <x:c r="BN128" s="167" t="str">
        <x:f>IF(AND(BN$6&lt;=$H128,BN$6+6&gt;=$G128),1,"")</x:f>
      </x:c>
      <x:c r="BO128" s="168" t="str">
        <x:f>IF(AND(BO$6&lt;=$H128,BO$6+6&gt;=$G128),1,"")</x:f>
      </x:c>
    </x:row>
    <x:row r="129" ht="24" customHeight="1">
      <x:c r="A129" s="68" t="str">
        <x:f>'Task Register'!A127</x:f>
        <x:v>T-702</x:v>
      </x:c>
      <x:c r="B129" s="68" t="str">
        <x:f>'Task Register'!B127</x:f>
        <x:v>M7</x:v>
      </x:c>
      <x:c r="C129" s="68" t="str">
        <x:f>'Task Register'!C127</x:f>
        <x:v>Safety/Electrical</x:v>
      </x:c>
      <x:c r="D129" s="68" t="str">
        <x:f>'Task Register'!D127</x:f>
        <x:v>Design the independent safety architecture</x:v>
      </x:c>
      <x:c r="E129" s="68" t="str">
        <x:f>'Task Register'!E127</x:f>
        <x:v>T-701</x:v>
      </x:c>
      <x:c r="F129" s="68" t="str">
        <x:f>'Task Register'!F127</x:f>
        <x:v>Blocked</x:v>
      </x:c>
      <x:c r="G129" s="94" t="n">
        <x:f>'Task Register'!I127</x:f>
        <x:v>46303</x:v>
      </x:c>
      <x:c r="H129" s="94" t="n">
        <x:f>'Task Register'!J127</x:f>
        <x:v>46307</x:v>
      </x:c>
      <x:c r="I129" s="166" t="str">
        <x:f>IF(AND(I$6&lt;=$H129,I$6+6&gt;=$G129),1,"")</x:f>
      </x:c>
      <x:c r="J129" s="167" t="str">
        <x:f>IF(AND(J$6&lt;=$H129,J$6+6&gt;=$G129),1,"")</x:f>
      </x:c>
      <x:c r="K129" s="167" t="str">
        <x:f>IF(AND(K$6&lt;=$H129,K$6+6&gt;=$G129),1,"")</x:f>
      </x:c>
      <x:c r="L129" s="167" t="str">
        <x:f>IF(AND(L$6&lt;=$H129,L$6+6&gt;=$G129),1,"")</x:f>
      </x:c>
      <x:c r="M129" s="167" t="str">
        <x:f>IF(AND(M$6&lt;=$H129,M$6+6&gt;=$G129),1,"")</x:f>
      </x:c>
      <x:c r="N129" s="167" t="str">
        <x:f>IF(AND(N$6&lt;=$H129,N$6+6&gt;=$G129),1,"")</x:f>
      </x:c>
      <x:c r="O129" s="167" t="str">
        <x:f>IF(AND(O$6&lt;=$H129,O$6+6&gt;=$G129),1,"")</x:f>
      </x:c>
      <x:c r="P129" s="167" t="str">
        <x:f>IF(AND(P$6&lt;=$H129,P$6+6&gt;=$G129),1,"")</x:f>
      </x:c>
      <x:c r="Q129" s="167" t="str">
        <x:f>IF(AND(Q$6&lt;=$H129,Q$6+6&gt;=$G129),1,"")</x:f>
      </x:c>
      <x:c r="R129" s="167" t="n">
        <x:f>IF(AND(R$6&lt;=$H129,R$6+6&gt;=$G129),1,"")</x:f>
        <x:v>1</x:v>
      </x:c>
      <x:c r="S129" s="167" t="n">
        <x:f>IF(AND(S$6&lt;=$H129,S$6+6&gt;=$G129),1,"")</x:f>
        <x:v>1</x:v>
      </x:c>
      <x:c r="T129" s="167" t="str">
        <x:f>IF(AND(T$6&lt;=$H129,T$6+6&gt;=$G129),1,"")</x:f>
      </x:c>
      <x:c r="U129" s="167" t="str">
        <x:f>IF(AND(U$6&lt;=$H129,U$6+6&gt;=$G129),1,"")</x:f>
      </x:c>
      <x:c r="V129" s="167" t="str">
        <x:f>IF(AND(V$6&lt;=$H129,V$6+6&gt;=$G129),1,"")</x:f>
      </x:c>
      <x:c r="W129" s="167" t="str">
        <x:f>IF(AND(W$6&lt;=$H129,W$6+6&gt;=$G129),1,"")</x:f>
      </x:c>
      <x:c r="X129" s="167" t="str">
        <x:f>IF(AND(X$6&lt;=$H129,X$6+6&gt;=$G129),1,"")</x:f>
      </x:c>
      <x:c r="Y129" s="167" t="str">
        <x:f>IF(AND(Y$6&lt;=$H129,Y$6+6&gt;=$G129),1,"")</x:f>
      </x:c>
      <x:c r="Z129" s="167" t="str">
        <x:f>IF(AND(Z$6&lt;=$H129,Z$6+6&gt;=$G129),1,"")</x:f>
      </x:c>
      <x:c r="AA129" s="167" t="str">
        <x:f>IF(AND(AA$6&lt;=$H129,AA$6+6&gt;=$G129),1,"")</x:f>
      </x:c>
      <x:c r="AB129" s="167" t="str">
        <x:f>IF(AND(AB$6&lt;=$H129,AB$6+6&gt;=$G129),1,"")</x:f>
      </x:c>
      <x:c r="AC129" s="167" t="str">
        <x:f>IF(AND(AC$6&lt;=$H129,AC$6+6&gt;=$G129),1,"")</x:f>
      </x:c>
      <x:c r="AD129" s="167" t="str">
        <x:f>IF(AND(AD$6&lt;=$H129,AD$6+6&gt;=$G129),1,"")</x:f>
      </x:c>
      <x:c r="AE129" s="167" t="str">
        <x:f>IF(AND(AE$6&lt;=$H129,AE$6+6&gt;=$G129),1,"")</x:f>
      </x:c>
      <x:c r="AF129" s="167" t="str">
        <x:f>IF(AND(AF$6&lt;=$H129,AF$6+6&gt;=$G129),1,"")</x:f>
      </x:c>
      <x:c r="AG129" s="167" t="str">
        <x:f>IF(AND(AG$6&lt;=$H129,AG$6+6&gt;=$G129),1,"")</x:f>
      </x:c>
      <x:c r="AH129" s="167" t="str">
        <x:f>IF(AND(AH$6&lt;=$H129,AH$6+6&gt;=$G129),1,"")</x:f>
      </x:c>
      <x:c r="AI129" s="167" t="str">
        <x:f>IF(AND(AI$6&lt;=$H129,AI$6+6&gt;=$G129),1,"")</x:f>
      </x:c>
      <x:c r="AJ129" s="167" t="str">
        <x:f>IF(AND(AJ$6&lt;=$H129,AJ$6+6&gt;=$G129),1,"")</x:f>
      </x:c>
      <x:c r="AK129" s="167" t="str">
        <x:f>IF(AND(AK$6&lt;=$H129,AK$6+6&gt;=$G129),1,"")</x:f>
      </x:c>
      <x:c r="AL129" s="167" t="str">
        <x:f>IF(AND(AL$6&lt;=$H129,AL$6+6&gt;=$G129),1,"")</x:f>
      </x:c>
      <x:c r="AM129" s="167" t="str">
        <x:f>IF(AND(AM$6&lt;=$H129,AM$6+6&gt;=$G129),1,"")</x:f>
      </x:c>
      <x:c r="AN129" s="167" t="str">
        <x:f>IF(AND(AN$6&lt;=$H129,AN$6+6&gt;=$G129),1,"")</x:f>
      </x:c>
      <x:c r="AO129" s="167" t="str">
        <x:f>IF(AND(AO$6&lt;=$H129,AO$6+6&gt;=$G129),1,"")</x:f>
      </x:c>
      <x:c r="AP129" s="167" t="str">
        <x:f>IF(AND(AP$6&lt;=$H129,AP$6+6&gt;=$G129),1,"")</x:f>
      </x:c>
      <x:c r="AQ129" s="167" t="str">
        <x:f>IF(AND(AQ$6&lt;=$H129,AQ$6+6&gt;=$G129),1,"")</x:f>
      </x:c>
      <x:c r="AR129" s="167" t="str">
        <x:f>IF(AND(AR$6&lt;=$H129,AR$6+6&gt;=$G129),1,"")</x:f>
      </x:c>
      <x:c r="AS129" s="167" t="str">
        <x:f>IF(AND(AS$6&lt;=$H129,AS$6+6&gt;=$G129),1,"")</x:f>
      </x:c>
      <x:c r="AT129" s="167" t="str">
        <x:f>IF(AND(AT$6&lt;=$H129,AT$6+6&gt;=$G129),1,"")</x:f>
      </x:c>
      <x:c r="AU129" s="167" t="str">
        <x:f>IF(AND(AU$6&lt;=$H129,AU$6+6&gt;=$G129),1,"")</x:f>
      </x:c>
      <x:c r="AV129" s="167" t="str">
        <x:f>IF(AND(AV$6&lt;=$H129,AV$6+6&gt;=$G129),1,"")</x:f>
      </x:c>
      <x:c r="AW129" s="167" t="str">
        <x:f>IF(AND(AW$6&lt;=$H129,AW$6+6&gt;=$G129),1,"")</x:f>
      </x:c>
      <x:c r="AX129" s="167" t="str">
        <x:f>IF(AND(AX$6&lt;=$H129,AX$6+6&gt;=$G129),1,"")</x:f>
      </x:c>
      <x:c r="AY129" s="167" t="str">
        <x:f>IF(AND(AY$6&lt;=$H129,AY$6+6&gt;=$G129),1,"")</x:f>
      </x:c>
      <x:c r="AZ129" s="167" t="str">
        <x:f>IF(AND(AZ$6&lt;=$H129,AZ$6+6&gt;=$G129),1,"")</x:f>
      </x:c>
      <x:c r="BA129" s="167" t="str">
        <x:f>IF(AND(BA$6&lt;=$H129,BA$6+6&gt;=$G129),1,"")</x:f>
      </x:c>
      <x:c r="BB129" s="167" t="str">
        <x:f>IF(AND(BB$6&lt;=$H129,BB$6+6&gt;=$G129),1,"")</x:f>
      </x:c>
      <x:c r="BC129" s="167" t="str">
        <x:f>IF(AND(BC$6&lt;=$H129,BC$6+6&gt;=$G129),1,"")</x:f>
      </x:c>
      <x:c r="BD129" s="167" t="str">
        <x:f>IF(AND(BD$6&lt;=$H129,BD$6+6&gt;=$G129),1,"")</x:f>
      </x:c>
      <x:c r="BE129" s="167" t="str">
        <x:f>IF(AND(BE$6&lt;=$H129,BE$6+6&gt;=$G129),1,"")</x:f>
      </x:c>
      <x:c r="BF129" s="167" t="str">
        <x:f>IF(AND(BF$6&lt;=$H129,BF$6+6&gt;=$G129),1,"")</x:f>
      </x:c>
      <x:c r="BG129" s="167" t="str">
        <x:f>IF(AND(BG$6&lt;=$H129,BG$6+6&gt;=$G129),1,"")</x:f>
      </x:c>
      <x:c r="BH129" s="167" t="str">
        <x:f>IF(AND(BH$6&lt;=$H129,BH$6+6&gt;=$G129),1,"")</x:f>
      </x:c>
      <x:c r="BI129" s="167" t="str">
        <x:f>IF(AND(BI$6&lt;=$H129,BI$6+6&gt;=$G129),1,"")</x:f>
      </x:c>
      <x:c r="BJ129" s="167" t="str">
        <x:f>IF(AND(BJ$6&lt;=$H129,BJ$6+6&gt;=$G129),1,"")</x:f>
      </x:c>
      <x:c r="BK129" s="167" t="str">
        <x:f>IF(AND(BK$6&lt;=$H129,BK$6+6&gt;=$G129),1,"")</x:f>
      </x:c>
      <x:c r="BL129" s="167" t="str">
        <x:f>IF(AND(BL$6&lt;=$H129,BL$6+6&gt;=$G129),1,"")</x:f>
      </x:c>
      <x:c r="BM129" s="167" t="str">
        <x:f>IF(AND(BM$6&lt;=$H129,BM$6+6&gt;=$G129),1,"")</x:f>
      </x:c>
      <x:c r="BN129" s="167" t="str">
        <x:f>IF(AND(BN$6&lt;=$H129,BN$6+6&gt;=$G129),1,"")</x:f>
      </x:c>
      <x:c r="BO129" s="168" t="str">
        <x:f>IF(AND(BO$6&lt;=$H129,BO$6+6&gt;=$G129),1,"")</x:f>
      </x:c>
    </x:row>
    <x:row r="130" ht="24" customHeight="1">
      <x:c r="A130" s="68" t="str">
        <x:f>'Task Register'!A128</x:f>
        <x:v>T-703</x:v>
      </x:c>
      <x:c r="B130" s="68" t="str">
        <x:f>'Task Register'!B128</x:f>
        <x:v>M7</x:v>
      </x:c>
      <x:c r="C130" s="68" t="str">
        <x:f>'Task Register'!C128</x:f>
        <x:v>Safety/Operations</x:v>
      </x:c>
      <x:c r="D130" s="68" t="str">
        <x:f>'Task Register'!D128</x:f>
        <x:v>Specify emergency stop, recovery, and restart</x:v>
      </x:c>
      <x:c r="E130" s="68" t="str">
        <x:f>'Task Register'!E128</x:f>
        <x:v>T-702</x:v>
      </x:c>
      <x:c r="F130" s="68" t="str">
        <x:f>'Task Register'!F128</x:f>
        <x:v>Blocked</x:v>
      </x:c>
      <x:c r="G130" s="94" t="n">
        <x:f>'Task Register'!I128</x:f>
        <x:v>46308</x:v>
      </x:c>
      <x:c r="H130" s="94" t="n">
        <x:f>'Task Register'!J128</x:f>
        <x:v>46309</x:v>
      </x:c>
      <x:c r="I130" s="166" t="str">
        <x:f>IF(AND(I$6&lt;=$H130,I$6+6&gt;=$G130),1,"")</x:f>
      </x:c>
      <x:c r="J130" s="167" t="str">
        <x:f>IF(AND(J$6&lt;=$H130,J$6+6&gt;=$G130),1,"")</x:f>
      </x:c>
      <x:c r="K130" s="167" t="str">
        <x:f>IF(AND(K$6&lt;=$H130,K$6+6&gt;=$G130),1,"")</x:f>
      </x:c>
      <x:c r="L130" s="167" t="str">
        <x:f>IF(AND(L$6&lt;=$H130,L$6+6&gt;=$G130),1,"")</x:f>
      </x:c>
      <x:c r="M130" s="167" t="str">
        <x:f>IF(AND(M$6&lt;=$H130,M$6+6&gt;=$G130),1,"")</x:f>
      </x:c>
      <x:c r="N130" s="167" t="str">
        <x:f>IF(AND(N$6&lt;=$H130,N$6+6&gt;=$G130),1,"")</x:f>
      </x:c>
      <x:c r="O130" s="167" t="str">
        <x:f>IF(AND(O$6&lt;=$H130,O$6+6&gt;=$G130),1,"")</x:f>
      </x:c>
      <x:c r="P130" s="167" t="str">
        <x:f>IF(AND(P$6&lt;=$H130,P$6+6&gt;=$G130),1,"")</x:f>
      </x:c>
      <x:c r="Q130" s="167" t="str">
        <x:f>IF(AND(Q$6&lt;=$H130,Q$6+6&gt;=$G130),1,"")</x:f>
      </x:c>
      <x:c r="R130" s="167" t="str">
        <x:f>IF(AND(R$6&lt;=$H130,R$6+6&gt;=$G130),1,"")</x:f>
      </x:c>
      <x:c r="S130" s="167" t="n">
        <x:f>IF(AND(S$6&lt;=$H130,S$6+6&gt;=$G130),1,"")</x:f>
        <x:v>1</x:v>
      </x:c>
      <x:c r="T130" s="167" t="str">
        <x:f>IF(AND(T$6&lt;=$H130,T$6+6&gt;=$G130),1,"")</x:f>
      </x:c>
      <x:c r="U130" s="167" t="str">
        <x:f>IF(AND(U$6&lt;=$H130,U$6+6&gt;=$G130),1,"")</x:f>
      </x:c>
      <x:c r="V130" s="167" t="str">
        <x:f>IF(AND(V$6&lt;=$H130,V$6+6&gt;=$G130),1,"")</x:f>
      </x:c>
      <x:c r="W130" s="167" t="str">
        <x:f>IF(AND(W$6&lt;=$H130,W$6+6&gt;=$G130),1,"")</x:f>
      </x:c>
      <x:c r="X130" s="167" t="str">
        <x:f>IF(AND(X$6&lt;=$H130,X$6+6&gt;=$G130),1,"")</x:f>
      </x:c>
      <x:c r="Y130" s="167" t="str">
        <x:f>IF(AND(Y$6&lt;=$H130,Y$6+6&gt;=$G130),1,"")</x:f>
      </x:c>
      <x:c r="Z130" s="167" t="str">
        <x:f>IF(AND(Z$6&lt;=$H130,Z$6+6&gt;=$G130),1,"")</x:f>
      </x:c>
      <x:c r="AA130" s="167" t="str">
        <x:f>IF(AND(AA$6&lt;=$H130,AA$6+6&gt;=$G130),1,"")</x:f>
      </x:c>
      <x:c r="AB130" s="167" t="str">
        <x:f>IF(AND(AB$6&lt;=$H130,AB$6+6&gt;=$G130),1,"")</x:f>
      </x:c>
      <x:c r="AC130" s="167" t="str">
        <x:f>IF(AND(AC$6&lt;=$H130,AC$6+6&gt;=$G130),1,"")</x:f>
      </x:c>
      <x:c r="AD130" s="167" t="str">
        <x:f>IF(AND(AD$6&lt;=$H130,AD$6+6&gt;=$G130),1,"")</x:f>
      </x:c>
      <x:c r="AE130" s="167" t="str">
        <x:f>IF(AND(AE$6&lt;=$H130,AE$6+6&gt;=$G130),1,"")</x:f>
      </x:c>
      <x:c r="AF130" s="167" t="str">
        <x:f>IF(AND(AF$6&lt;=$H130,AF$6+6&gt;=$G130),1,"")</x:f>
      </x:c>
      <x:c r="AG130" s="167" t="str">
        <x:f>IF(AND(AG$6&lt;=$H130,AG$6+6&gt;=$G130),1,"")</x:f>
      </x:c>
      <x:c r="AH130" s="167" t="str">
        <x:f>IF(AND(AH$6&lt;=$H130,AH$6+6&gt;=$G130),1,"")</x:f>
      </x:c>
      <x:c r="AI130" s="167" t="str">
        <x:f>IF(AND(AI$6&lt;=$H130,AI$6+6&gt;=$G130),1,"")</x:f>
      </x:c>
      <x:c r="AJ130" s="167" t="str">
        <x:f>IF(AND(AJ$6&lt;=$H130,AJ$6+6&gt;=$G130),1,"")</x:f>
      </x:c>
      <x:c r="AK130" s="167" t="str">
        <x:f>IF(AND(AK$6&lt;=$H130,AK$6+6&gt;=$G130),1,"")</x:f>
      </x:c>
      <x:c r="AL130" s="167" t="str">
        <x:f>IF(AND(AL$6&lt;=$H130,AL$6+6&gt;=$G130),1,"")</x:f>
      </x:c>
      <x:c r="AM130" s="167" t="str">
        <x:f>IF(AND(AM$6&lt;=$H130,AM$6+6&gt;=$G130),1,"")</x:f>
      </x:c>
      <x:c r="AN130" s="167" t="str">
        <x:f>IF(AND(AN$6&lt;=$H130,AN$6+6&gt;=$G130),1,"")</x:f>
      </x:c>
      <x:c r="AO130" s="167" t="str">
        <x:f>IF(AND(AO$6&lt;=$H130,AO$6+6&gt;=$G130),1,"")</x:f>
      </x:c>
      <x:c r="AP130" s="167" t="str">
        <x:f>IF(AND(AP$6&lt;=$H130,AP$6+6&gt;=$G130),1,"")</x:f>
      </x:c>
      <x:c r="AQ130" s="167" t="str">
        <x:f>IF(AND(AQ$6&lt;=$H130,AQ$6+6&gt;=$G130),1,"")</x:f>
      </x:c>
      <x:c r="AR130" s="167" t="str">
        <x:f>IF(AND(AR$6&lt;=$H130,AR$6+6&gt;=$G130),1,"")</x:f>
      </x:c>
      <x:c r="AS130" s="167" t="str">
        <x:f>IF(AND(AS$6&lt;=$H130,AS$6+6&gt;=$G130),1,"")</x:f>
      </x:c>
      <x:c r="AT130" s="167" t="str">
        <x:f>IF(AND(AT$6&lt;=$H130,AT$6+6&gt;=$G130),1,"")</x:f>
      </x:c>
      <x:c r="AU130" s="167" t="str">
        <x:f>IF(AND(AU$6&lt;=$H130,AU$6+6&gt;=$G130),1,"")</x:f>
      </x:c>
      <x:c r="AV130" s="167" t="str">
        <x:f>IF(AND(AV$6&lt;=$H130,AV$6+6&gt;=$G130),1,"")</x:f>
      </x:c>
      <x:c r="AW130" s="167" t="str">
        <x:f>IF(AND(AW$6&lt;=$H130,AW$6+6&gt;=$G130),1,"")</x:f>
      </x:c>
      <x:c r="AX130" s="167" t="str">
        <x:f>IF(AND(AX$6&lt;=$H130,AX$6+6&gt;=$G130),1,"")</x:f>
      </x:c>
      <x:c r="AY130" s="167" t="str">
        <x:f>IF(AND(AY$6&lt;=$H130,AY$6+6&gt;=$G130),1,"")</x:f>
      </x:c>
      <x:c r="AZ130" s="167" t="str">
        <x:f>IF(AND(AZ$6&lt;=$H130,AZ$6+6&gt;=$G130),1,"")</x:f>
      </x:c>
      <x:c r="BA130" s="167" t="str">
        <x:f>IF(AND(BA$6&lt;=$H130,BA$6+6&gt;=$G130),1,"")</x:f>
      </x:c>
      <x:c r="BB130" s="167" t="str">
        <x:f>IF(AND(BB$6&lt;=$H130,BB$6+6&gt;=$G130),1,"")</x:f>
      </x:c>
      <x:c r="BC130" s="167" t="str">
        <x:f>IF(AND(BC$6&lt;=$H130,BC$6+6&gt;=$G130),1,"")</x:f>
      </x:c>
      <x:c r="BD130" s="167" t="str">
        <x:f>IF(AND(BD$6&lt;=$H130,BD$6+6&gt;=$G130),1,"")</x:f>
      </x:c>
      <x:c r="BE130" s="167" t="str">
        <x:f>IF(AND(BE$6&lt;=$H130,BE$6+6&gt;=$G130),1,"")</x:f>
      </x:c>
      <x:c r="BF130" s="167" t="str">
        <x:f>IF(AND(BF$6&lt;=$H130,BF$6+6&gt;=$G130),1,"")</x:f>
      </x:c>
      <x:c r="BG130" s="167" t="str">
        <x:f>IF(AND(BG$6&lt;=$H130,BG$6+6&gt;=$G130),1,"")</x:f>
      </x:c>
      <x:c r="BH130" s="167" t="str">
        <x:f>IF(AND(BH$6&lt;=$H130,BH$6+6&gt;=$G130),1,"")</x:f>
      </x:c>
      <x:c r="BI130" s="167" t="str">
        <x:f>IF(AND(BI$6&lt;=$H130,BI$6+6&gt;=$G130),1,"")</x:f>
      </x:c>
      <x:c r="BJ130" s="167" t="str">
        <x:f>IF(AND(BJ$6&lt;=$H130,BJ$6+6&gt;=$G130),1,"")</x:f>
      </x:c>
      <x:c r="BK130" s="167" t="str">
        <x:f>IF(AND(BK$6&lt;=$H130,BK$6+6&gt;=$G130),1,"")</x:f>
      </x:c>
      <x:c r="BL130" s="167" t="str">
        <x:f>IF(AND(BL$6&lt;=$H130,BL$6+6&gt;=$G130),1,"")</x:f>
      </x:c>
      <x:c r="BM130" s="167" t="str">
        <x:f>IF(AND(BM$6&lt;=$H130,BM$6+6&gt;=$G130),1,"")</x:f>
      </x:c>
      <x:c r="BN130" s="167" t="str">
        <x:f>IF(AND(BN$6&lt;=$H130,BN$6+6&gt;=$G130),1,"")</x:f>
      </x:c>
      <x:c r="BO130" s="168" t="str">
        <x:f>IF(AND(BO$6&lt;=$H130,BO$6+6&gt;=$G130),1,"")</x:f>
      </x:c>
    </x:row>
    <x:row r="131" ht="24" customHeight="1">
      <x:c r="A131" s="68" t="str">
        <x:f>'Task Register'!A129</x:f>
        <x:v>T-704</x:v>
      </x:c>
      <x:c r="B131" s="68" t="str">
        <x:f>'Task Register'!B129</x:f>
        <x:v>M7</x:v>
      </x:c>
      <x:c r="C131" s="68" t="str">
        <x:f>'Task Register'!C129</x:f>
        <x:v>Safety/Control</x:v>
      </x:c>
      <x:c r="D131" s="68" t="str">
        <x:f>'Task Register'!D129</x:f>
        <x:v>Define hard motion, electrical, thermal, and contact limits</x:v>
      </x:c>
      <x:c r="E131" s="68" t="str">
        <x:f>'Task Register'!E129</x:f>
        <x:v>T-508, T-701, T-702</x:v>
      </x:c>
      <x:c r="F131" s="68" t="str">
        <x:f>'Task Register'!F129</x:f>
        <x:v>Blocked</x:v>
      </x:c>
      <x:c r="G131" s="94" t="n">
        <x:f>'Task Register'!I129</x:f>
        <x:v>46310</x:v>
      </x:c>
      <x:c r="H131" s="94" t="n">
        <x:f>'Task Register'!J129</x:f>
        <x:v>46315</x:v>
      </x:c>
      <x:c r="I131" s="166" t="str">
        <x:f>IF(AND(I$6&lt;=$H131,I$6+6&gt;=$G131),1,"")</x:f>
      </x:c>
      <x:c r="J131" s="167" t="str">
        <x:f>IF(AND(J$6&lt;=$H131,J$6+6&gt;=$G131),1,"")</x:f>
      </x:c>
      <x:c r="K131" s="167" t="str">
        <x:f>IF(AND(K$6&lt;=$H131,K$6+6&gt;=$G131),1,"")</x:f>
      </x:c>
      <x:c r="L131" s="167" t="str">
        <x:f>IF(AND(L$6&lt;=$H131,L$6+6&gt;=$G131),1,"")</x:f>
      </x:c>
      <x:c r="M131" s="167" t="str">
        <x:f>IF(AND(M$6&lt;=$H131,M$6+6&gt;=$G131),1,"")</x:f>
      </x:c>
      <x:c r="N131" s="167" t="str">
        <x:f>IF(AND(N$6&lt;=$H131,N$6+6&gt;=$G131),1,"")</x:f>
      </x:c>
      <x:c r="O131" s="167" t="str">
        <x:f>IF(AND(O$6&lt;=$H131,O$6+6&gt;=$G131),1,"")</x:f>
      </x:c>
      <x:c r="P131" s="167" t="str">
        <x:f>IF(AND(P$6&lt;=$H131,P$6+6&gt;=$G131),1,"")</x:f>
      </x:c>
      <x:c r="Q131" s="167" t="str">
        <x:f>IF(AND(Q$6&lt;=$H131,Q$6+6&gt;=$G131),1,"")</x:f>
      </x:c>
      <x:c r="R131" s="167" t="str">
        <x:f>IF(AND(R$6&lt;=$H131,R$6+6&gt;=$G131),1,"")</x:f>
      </x:c>
      <x:c r="S131" s="167" t="n">
        <x:f>IF(AND(S$6&lt;=$H131,S$6+6&gt;=$G131),1,"")</x:f>
        <x:v>1</x:v>
      </x:c>
      <x:c r="T131" s="167" t="n">
        <x:f>IF(AND(T$6&lt;=$H131,T$6+6&gt;=$G131),1,"")</x:f>
        <x:v>1</x:v>
      </x:c>
      <x:c r="U131" s="167" t="str">
        <x:f>IF(AND(U$6&lt;=$H131,U$6+6&gt;=$G131),1,"")</x:f>
      </x:c>
      <x:c r="V131" s="167" t="str">
        <x:f>IF(AND(V$6&lt;=$H131,V$6+6&gt;=$G131),1,"")</x:f>
      </x:c>
      <x:c r="W131" s="167" t="str">
        <x:f>IF(AND(W$6&lt;=$H131,W$6+6&gt;=$G131),1,"")</x:f>
      </x:c>
      <x:c r="X131" s="167" t="str">
        <x:f>IF(AND(X$6&lt;=$H131,X$6+6&gt;=$G131),1,"")</x:f>
      </x:c>
      <x:c r="Y131" s="167" t="str">
        <x:f>IF(AND(Y$6&lt;=$H131,Y$6+6&gt;=$G131),1,"")</x:f>
      </x:c>
      <x:c r="Z131" s="167" t="str">
        <x:f>IF(AND(Z$6&lt;=$H131,Z$6+6&gt;=$G131),1,"")</x:f>
      </x:c>
      <x:c r="AA131" s="167" t="str">
        <x:f>IF(AND(AA$6&lt;=$H131,AA$6+6&gt;=$G131),1,"")</x:f>
      </x:c>
      <x:c r="AB131" s="167" t="str">
        <x:f>IF(AND(AB$6&lt;=$H131,AB$6+6&gt;=$G131),1,"")</x:f>
      </x:c>
      <x:c r="AC131" s="167" t="str">
        <x:f>IF(AND(AC$6&lt;=$H131,AC$6+6&gt;=$G131),1,"")</x:f>
      </x:c>
      <x:c r="AD131" s="167" t="str">
        <x:f>IF(AND(AD$6&lt;=$H131,AD$6+6&gt;=$G131),1,"")</x:f>
      </x:c>
      <x:c r="AE131" s="167" t="str">
        <x:f>IF(AND(AE$6&lt;=$H131,AE$6+6&gt;=$G131),1,"")</x:f>
      </x:c>
      <x:c r="AF131" s="167" t="str">
        <x:f>IF(AND(AF$6&lt;=$H131,AF$6+6&gt;=$G131),1,"")</x:f>
      </x:c>
      <x:c r="AG131" s="167" t="str">
        <x:f>IF(AND(AG$6&lt;=$H131,AG$6+6&gt;=$G131),1,"")</x:f>
      </x:c>
      <x:c r="AH131" s="167" t="str">
        <x:f>IF(AND(AH$6&lt;=$H131,AH$6+6&gt;=$G131),1,"")</x:f>
      </x:c>
      <x:c r="AI131" s="167" t="str">
        <x:f>IF(AND(AI$6&lt;=$H131,AI$6+6&gt;=$G131),1,"")</x:f>
      </x:c>
      <x:c r="AJ131" s="167" t="str">
        <x:f>IF(AND(AJ$6&lt;=$H131,AJ$6+6&gt;=$G131),1,"")</x:f>
      </x:c>
      <x:c r="AK131" s="167" t="str">
        <x:f>IF(AND(AK$6&lt;=$H131,AK$6+6&gt;=$G131),1,"")</x:f>
      </x:c>
      <x:c r="AL131" s="167" t="str">
        <x:f>IF(AND(AL$6&lt;=$H131,AL$6+6&gt;=$G131),1,"")</x:f>
      </x:c>
      <x:c r="AM131" s="167" t="str">
        <x:f>IF(AND(AM$6&lt;=$H131,AM$6+6&gt;=$G131),1,"")</x:f>
      </x:c>
      <x:c r="AN131" s="167" t="str">
        <x:f>IF(AND(AN$6&lt;=$H131,AN$6+6&gt;=$G131),1,"")</x:f>
      </x:c>
      <x:c r="AO131" s="167" t="str">
        <x:f>IF(AND(AO$6&lt;=$H131,AO$6+6&gt;=$G131),1,"")</x:f>
      </x:c>
      <x:c r="AP131" s="167" t="str">
        <x:f>IF(AND(AP$6&lt;=$H131,AP$6+6&gt;=$G131),1,"")</x:f>
      </x:c>
      <x:c r="AQ131" s="167" t="str">
        <x:f>IF(AND(AQ$6&lt;=$H131,AQ$6+6&gt;=$G131),1,"")</x:f>
      </x:c>
      <x:c r="AR131" s="167" t="str">
        <x:f>IF(AND(AR$6&lt;=$H131,AR$6+6&gt;=$G131),1,"")</x:f>
      </x:c>
      <x:c r="AS131" s="167" t="str">
        <x:f>IF(AND(AS$6&lt;=$H131,AS$6+6&gt;=$G131),1,"")</x:f>
      </x:c>
      <x:c r="AT131" s="167" t="str">
        <x:f>IF(AND(AT$6&lt;=$H131,AT$6+6&gt;=$G131),1,"")</x:f>
      </x:c>
      <x:c r="AU131" s="167" t="str">
        <x:f>IF(AND(AU$6&lt;=$H131,AU$6+6&gt;=$G131),1,"")</x:f>
      </x:c>
      <x:c r="AV131" s="167" t="str">
        <x:f>IF(AND(AV$6&lt;=$H131,AV$6+6&gt;=$G131),1,"")</x:f>
      </x:c>
      <x:c r="AW131" s="167" t="str">
        <x:f>IF(AND(AW$6&lt;=$H131,AW$6+6&gt;=$G131),1,"")</x:f>
      </x:c>
      <x:c r="AX131" s="167" t="str">
        <x:f>IF(AND(AX$6&lt;=$H131,AX$6+6&gt;=$G131),1,"")</x:f>
      </x:c>
      <x:c r="AY131" s="167" t="str">
        <x:f>IF(AND(AY$6&lt;=$H131,AY$6+6&gt;=$G131),1,"")</x:f>
      </x:c>
      <x:c r="AZ131" s="167" t="str">
        <x:f>IF(AND(AZ$6&lt;=$H131,AZ$6+6&gt;=$G131),1,"")</x:f>
      </x:c>
      <x:c r="BA131" s="167" t="str">
        <x:f>IF(AND(BA$6&lt;=$H131,BA$6+6&gt;=$G131),1,"")</x:f>
      </x:c>
      <x:c r="BB131" s="167" t="str">
        <x:f>IF(AND(BB$6&lt;=$H131,BB$6+6&gt;=$G131),1,"")</x:f>
      </x:c>
      <x:c r="BC131" s="167" t="str">
        <x:f>IF(AND(BC$6&lt;=$H131,BC$6+6&gt;=$G131),1,"")</x:f>
      </x:c>
      <x:c r="BD131" s="167" t="str">
        <x:f>IF(AND(BD$6&lt;=$H131,BD$6+6&gt;=$G131),1,"")</x:f>
      </x:c>
      <x:c r="BE131" s="167" t="str">
        <x:f>IF(AND(BE$6&lt;=$H131,BE$6+6&gt;=$G131),1,"")</x:f>
      </x:c>
      <x:c r="BF131" s="167" t="str">
        <x:f>IF(AND(BF$6&lt;=$H131,BF$6+6&gt;=$G131),1,"")</x:f>
      </x:c>
      <x:c r="BG131" s="167" t="str">
        <x:f>IF(AND(BG$6&lt;=$H131,BG$6+6&gt;=$G131),1,"")</x:f>
      </x:c>
      <x:c r="BH131" s="167" t="str">
        <x:f>IF(AND(BH$6&lt;=$H131,BH$6+6&gt;=$G131),1,"")</x:f>
      </x:c>
      <x:c r="BI131" s="167" t="str">
        <x:f>IF(AND(BI$6&lt;=$H131,BI$6+6&gt;=$G131),1,"")</x:f>
      </x:c>
      <x:c r="BJ131" s="167" t="str">
        <x:f>IF(AND(BJ$6&lt;=$H131,BJ$6+6&gt;=$G131),1,"")</x:f>
      </x:c>
      <x:c r="BK131" s="167" t="str">
        <x:f>IF(AND(BK$6&lt;=$H131,BK$6+6&gt;=$G131),1,"")</x:f>
      </x:c>
      <x:c r="BL131" s="167" t="str">
        <x:f>IF(AND(BL$6&lt;=$H131,BL$6+6&gt;=$G131),1,"")</x:f>
      </x:c>
      <x:c r="BM131" s="167" t="str">
        <x:f>IF(AND(BM$6&lt;=$H131,BM$6+6&gt;=$G131),1,"")</x:f>
      </x:c>
      <x:c r="BN131" s="167" t="str">
        <x:f>IF(AND(BN$6&lt;=$H131,BN$6+6&gt;=$G131),1,"")</x:f>
      </x:c>
      <x:c r="BO131" s="168" t="str">
        <x:f>IF(AND(BO$6&lt;=$H131,BO$6+6&gt;=$G131),1,"")</x:f>
      </x:c>
    </x:row>
    <x:row r="132" ht="24" customHeight="1">
      <x:c r="A132" s="68" t="str">
        <x:f>'Task Register'!A130</x:f>
        <x:v>T-705</x:v>
      </x:c>
      <x:c r="B132" s="68" t="str">
        <x:f>'Task Register'!B130</x:f>
        <x:v>M7</x:v>
      </x:c>
      <x:c r="C132" s="68" t="str">
        <x:f>'Task Register'!C130</x:f>
        <x:v>Safety/Software</x:v>
      </x:c>
      <x:c r="D132" s="68" t="str">
        <x:f>'Task Register'!D130</x:f>
        <x:v>Implement watchdog and state-validity rules</x:v>
      </x:c>
      <x:c r="E132" s="68" t="str">
        <x:f>'Task Register'!E130</x:f>
        <x:v>T-702, T-704</x:v>
      </x:c>
      <x:c r="F132" s="68" t="str">
        <x:f>'Task Register'!F130</x:f>
        <x:v>Blocked</x:v>
      </x:c>
      <x:c r="G132" s="94" t="n">
        <x:f>'Task Register'!I130</x:f>
        <x:v>46316</x:v>
      </x:c>
      <x:c r="H132" s="94" t="n">
        <x:f>'Task Register'!J130</x:f>
        <x:v>46318</x:v>
      </x:c>
      <x:c r="I132" s="166" t="str">
        <x:f>IF(AND(I$6&lt;=$H132,I$6+6&gt;=$G132),1,"")</x:f>
      </x:c>
      <x:c r="J132" s="167" t="str">
        <x:f>IF(AND(J$6&lt;=$H132,J$6+6&gt;=$G132),1,"")</x:f>
      </x:c>
      <x:c r="K132" s="167" t="str">
        <x:f>IF(AND(K$6&lt;=$H132,K$6+6&gt;=$G132),1,"")</x:f>
      </x:c>
      <x:c r="L132" s="167" t="str">
        <x:f>IF(AND(L$6&lt;=$H132,L$6+6&gt;=$G132),1,"")</x:f>
      </x:c>
      <x:c r="M132" s="167" t="str">
        <x:f>IF(AND(M$6&lt;=$H132,M$6+6&gt;=$G132),1,"")</x:f>
      </x:c>
      <x:c r="N132" s="167" t="str">
        <x:f>IF(AND(N$6&lt;=$H132,N$6+6&gt;=$G132),1,"")</x:f>
      </x:c>
      <x:c r="O132" s="167" t="str">
        <x:f>IF(AND(O$6&lt;=$H132,O$6+6&gt;=$G132),1,"")</x:f>
      </x:c>
      <x:c r="P132" s="167" t="str">
        <x:f>IF(AND(P$6&lt;=$H132,P$6+6&gt;=$G132),1,"")</x:f>
      </x:c>
      <x:c r="Q132" s="167" t="str">
        <x:f>IF(AND(Q$6&lt;=$H132,Q$6+6&gt;=$G132),1,"")</x:f>
      </x:c>
      <x:c r="R132" s="167" t="str">
        <x:f>IF(AND(R$6&lt;=$H132,R$6+6&gt;=$G132),1,"")</x:f>
      </x:c>
      <x:c r="S132" s="167" t="str">
        <x:f>IF(AND(S$6&lt;=$H132,S$6+6&gt;=$G132),1,"")</x:f>
      </x:c>
      <x:c r="T132" s="167" t="n">
        <x:f>IF(AND(T$6&lt;=$H132,T$6+6&gt;=$G132),1,"")</x:f>
        <x:v>1</x:v>
      </x:c>
      <x:c r="U132" s="167" t="str">
        <x:f>IF(AND(U$6&lt;=$H132,U$6+6&gt;=$G132),1,"")</x:f>
      </x:c>
      <x:c r="V132" s="167" t="str">
        <x:f>IF(AND(V$6&lt;=$H132,V$6+6&gt;=$G132),1,"")</x:f>
      </x:c>
      <x:c r="W132" s="167" t="str">
        <x:f>IF(AND(W$6&lt;=$H132,W$6+6&gt;=$G132),1,"")</x:f>
      </x:c>
      <x:c r="X132" s="167" t="str">
        <x:f>IF(AND(X$6&lt;=$H132,X$6+6&gt;=$G132),1,"")</x:f>
      </x:c>
      <x:c r="Y132" s="167" t="str">
        <x:f>IF(AND(Y$6&lt;=$H132,Y$6+6&gt;=$G132),1,"")</x:f>
      </x:c>
      <x:c r="Z132" s="167" t="str">
        <x:f>IF(AND(Z$6&lt;=$H132,Z$6+6&gt;=$G132),1,"")</x:f>
      </x:c>
      <x:c r="AA132" s="167" t="str">
        <x:f>IF(AND(AA$6&lt;=$H132,AA$6+6&gt;=$G132),1,"")</x:f>
      </x:c>
      <x:c r="AB132" s="167" t="str">
        <x:f>IF(AND(AB$6&lt;=$H132,AB$6+6&gt;=$G132),1,"")</x:f>
      </x:c>
      <x:c r="AC132" s="167" t="str">
        <x:f>IF(AND(AC$6&lt;=$H132,AC$6+6&gt;=$G132),1,"")</x:f>
      </x:c>
      <x:c r="AD132" s="167" t="str">
        <x:f>IF(AND(AD$6&lt;=$H132,AD$6+6&gt;=$G132),1,"")</x:f>
      </x:c>
      <x:c r="AE132" s="167" t="str">
        <x:f>IF(AND(AE$6&lt;=$H132,AE$6+6&gt;=$G132),1,"")</x:f>
      </x:c>
      <x:c r="AF132" s="167" t="str">
        <x:f>IF(AND(AF$6&lt;=$H132,AF$6+6&gt;=$G132),1,"")</x:f>
      </x:c>
      <x:c r="AG132" s="167" t="str">
        <x:f>IF(AND(AG$6&lt;=$H132,AG$6+6&gt;=$G132),1,"")</x:f>
      </x:c>
      <x:c r="AH132" s="167" t="str">
        <x:f>IF(AND(AH$6&lt;=$H132,AH$6+6&gt;=$G132),1,"")</x:f>
      </x:c>
      <x:c r="AI132" s="167" t="str">
        <x:f>IF(AND(AI$6&lt;=$H132,AI$6+6&gt;=$G132),1,"")</x:f>
      </x:c>
      <x:c r="AJ132" s="167" t="str">
        <x:f>IF(AND(AJ$6&lt;=$H132,AJ$6+6&gt;=$G132),1,"")</x:f>
      </x:c>
      <x:c r="AK132" s="167" t="str">
        <x:f>IF(AND(AK$6&lt;=$H132,AK$6+6&gt;=$G132),1,"")</x:f>
      </x:c>
      <x:c r="AL132" s="167" t="str">
        <x:f>IF(AND(AL$6&lt;=$H132,AL$6+6&gt;=$G132),1,"")</x:f>
      </x:c>
      <x:c r="AM132" s="167" t="str">
        <x:f>IF(AND(AM$6&lt;=$H132,AM$6+6&gt;=$G132),1,"")</x:f>
      </x:c>
      <x:c r="AN132" s="167" t="str">
        <x:f>IF(AND(AN$6&lt;=$H132,AN$6+6&gt;=$G132),1,"")</x:f>
      </x:c>
      <x:c r="AO132" s="167" t="str">
        <x:f>IF(AND(AO$6&lt;=$H132,AO$6+6&gt;=$G132),1,"")</x:f>
      </x:c>
      <x:c r="AP132" s="167" t="str">
        <x:f>IF(AND(AP$6&lt;=$H132,AP$6+6&gt;=$G132),1,"")</x:f>
      </x:c>
      <x:c r="AQ132" s="167" t="str">
        <x:f>IF(AND(AQ$6&lt;=$H132,AQ$6+6&gt;=$G132),1,"")</x:f>
      </x:c>
      <x:c r="AR132" s="167" t="str">
        <x:f>IF(AND(AR$6&lt;=$H132,AR$6+6&gt;=$G132),1,"")</x:f>
      </x:c>
      <x:c r="AS132" s="167" t="str">
        <x:f>IF(AND(AS$6&lt;=$H132,AS$6+6&gt;=$G132),1,"")</x:f>
      </x:c>
      <x:c r="AT132" s="167" t="str">
        <x:f>IF(AND(AT$6&lt;=$H132,AT$6+6&gt;=$G132),1,"")</x:f>
      </x:c>
      <x:c r="AU132" s="167" t="str">
        <x:f>IF(AND(AU$6&lt;=$H132,AU$6+6&gt;=$G132),1,"")</x:f>
      </x:c>
      <x:c r="AV132" s="167" t="str">
        <x:f>IF(AND(AV$6&lt;=$H132,AV$6+6&gt;=$G132),1,"")</x:f>
      </x:c>
      <x:c r="AW132" s="167" t="str">
        <x:f>IF(AND(AW$6&lt;=$H132,AW$6+6&gt;=$G132),1,"")</x:f>
      </x:c>
      <x:c r="AX132" s="167" t="str">
        <x:f>IF(AND(AX$6&lt;=$H132,AX$6+6&gt;=$G132),1,"")</x:f>
      </x:c>
      <x:c r="AY132" s="167" t="str">
        <x:f>IF(AND(AY$6&lt;=$H132,AY$6+6&gt;=$G132),1,"")</x:f>
      </x:c>
      <x:c r="AZ132" s="167" t="str">
        <x:f>IF(AND(AZ$6&lt;=$H132,AZ$6+6&gt;=$G132),1,"")</x:f>
      </x:c>
      <x:c r="BA132" s="167" t="str">
        <x:f>IF(AND(BA$6&lt;=$H132,BA$6+6&gt;=$G132),1,"")</x:f>
      </x:c>
      <x:c r="BB132" s="167" t="str">
        <x:f>IF(AND(BB$6&lt;=$H132,BB$6+6&gt;=$G132),1,"")</x:f>
      </x:c>
      <x:c r="BC132" s="167" t="str">
        <x:f>IF(AND(BC$6&lt;=$H132,BC$6+6&gt;=$G132),1,"")</x:f>
      </x:c>
      <x:c r="BD132" s="167" t="str">
        <x:f>IF(AND(BD$6&lt;=$H132,BD$6+6&gt;=$G132),1,"")</x:f>
      </x:c>
      <x:c r="BE132" s="167" t="str">
        <x:f>IF(AND(BE$6&lt;=$H132,BE$6+6&gt;=$G132),1,"")</x:f>
      </x:c>
      <x:c r="BF132" s="167" t="str">
        <x:f>IF(AND(BF$6&lt;=$H132,BF$6+6&gt;=$G132),1,"")</x:f>
      </x:c>
      <x:c r="BG132" s="167" t="str">
        <x:f>IF(AND(BG$6&lt;=$H132,BG$6+6&gt;=$G132),1,"")</x:f>
      </x:c>
      <x:c r="BH132" s="167" t="str">
        <x:f>IF(AND(BH$6&lt;=$H132,BH$6+6&gt;=$G132),1,"")</x:f>
      </x:c>
      <x:c r="BI132" s="167" t="str">
        <x:f>IF(AND(BI$6&lt;=$H132,BI$6+6&gt;=$G132),1,"")</x:f>
      </x:c>
      <x:c r="BJ132" s="167" t="str">
        <x:f>IF(AND(BJ$6&lt;=$H132,BJ$6+6&gt;=$G132),1,"")</x:f>
      </x:c>
      <x:c r="BK132" s="167" t="str">
        <x:f>IF(AND(BK$6&lt;=$H132,BK$6+6&gt;=$G132),1,"")</x:f>
      </x:c>
      <x:c r="BL132" s="167" t="str">
        <x:f>IF(AND(BL$6&lt;=$H132,BL$6+6&gt;=$G132),1,"")</x:f>
      </x:c>
      <x:c r="BM132" s="167" t="str">
        <x:f>IF(AND(BM$6&lt;=$H132,BM$6+6&gt;=$G132),1,"")</x:f>
      </x:c>
      <x:c r="BN132" s="167" t="str">
        <x:f>IF(AND(BN$6&lt;=$H132,BN$6+6&gt;=$G132),1,"")</x:f>
      </x:c>
      <x:c r="BO132" s="168" t="str">
        <x:f>IF(AND(BO$6&lt;=$H132,BO$6+6&gt;=$G132),1,"")</x:f>
      </x:c>
    </x:row>
    <x:row r="133" ht="24" customHeight="1">
      <x:c r="A133" s="68" t="str">
        <x:f>'Task Register'!A131</x:f>
        <x:v>T-706</x:v>
      </x:c>
      <x:c r="B133" s="68" t="str">
        <x:f>'Task Register'!B131</x:f>
        <x:v>M7</x:v>
      </x:c>
      <x:c r="C133" s="68" t="str">
        <x:f>'Task Register'!C131</x:f>
        <x:v>Calibration/Operations</x:v>
      </x:c>
      <x:c r="D133" s="68" t="str">
        <x:f>'Task Register'!D131</x:f>
        <x:v>Define hardware calibration and encoder-zero procedure</x:v>
      </x:c>
      <x:c r="E133" s="68" t="str">
        <x:f>'Task Register'!E131</x:f>
        <x:v>T-510, T-703, T-704</x:v>
      </x:c>
      <x:c r="F133" s="68" t="str">
        <x:f>'Task Register'!F131</x:f>
        <x:v>Blocked</x:v>
      </x:c>
      <x:c r="G133" s="94" t="n">
        <x:f>'Task Register'!I131</x:f>
        <x:v>46321</x:v>
      </x:c>
      <x:c r="H133" s="94" t="n">
        <x:f>'Task Register'!J131</x:f>
        <x:v>46323</x:v>
      </x:c>
      <x:c r="I133" s="166" t="str">
        <x:f>IF(AND(I$6&lt;=$H133,I$6+6&gt;=$G133),1,"")</x:f>
      </x:c>
      <x:c r="J133" s="167" t="str">
        <x:f>IF(AND(J$6&lt;=$H133,J$6+6&gt;=$G133),1,"")</x:f>
      </x:c>
      <x:c r="K133" s="167" t="str">
        <x:f>IF(AND(K$6&lt;=$H133,K$6+6&gt;=$G133),1,"")</x:f>
      </x:c>
      <x:c r="L133" s="167" t="str">
        <x:f>IF(AND(L$6&lt;=$H133,L$6+6&gt;=$G133),1,"")</x:f>
      </x:c>
      <x:c r="M133" s="167" t="str">
        <x:f>IF(AND(M$6&lt;=$H133,M$6+6&gt;=$G133),1,"")</x:f>
      </x:c>
      <x:c r="N133" s="167" t="str">
        <x:f>IF(AND(N$6&lt;=$H133,N$6+6&gt;=$G133),1,"")</x:f>
      </x:c>
      <x:c r="O133" s="167" t="str">
        <x:f>IF(AND(O$6&lt;=$H133,O$6+6&gt;=$G133),1,"")</x:f>
      </x:c>
      <x:c r="P133" s="167" t="str">
        <x:f>IF(AND(P$6&lt;=$H133,P$6+6&gt;=$G133),1,"")</x:f>
      </x:c>
      <x:c r="Q133" s="167" t="str">
        <x:f>IF(AND(Q$6&lt;=$H133,Q$6+6&gt;=$G133),1,"")</x:f>
      </x:c>
      <x:c r="R133" s="167" t="str">
        <x:f>IF(AND(R$6&lt;=$H133,R$6+6&gt;=$G133),1,"")</x:f>
      </x:c>
      <x:c r="S133" s="167" t="str">
        <x:f>IF(AND(S$6&lt;=$H133,S$6+6&gt;=$G133),1,"")</x:f>
      </x:c>
      <x:c r="T133" s="167" t="str">
        <x:f>IF(AND(T$6&lt;=$H133,T$6+6&gt;=$G133),1,"")</x:f>
      </x:c>
      <x:c r="U133" s="167" t="n">
        <x:f>IF(AND(U$6&lt;=$H133,U$6+6&gt;=$G133),1,"")</x:f>
        <x:v>1</x:v>
      </x:c>
      <x:c r="V133" s="167" t="str">
        <x:f>IF(AND(V$6&lt;=$H133,V$6+6&gt;=$G133),1,"")</x:f>
      </x:c>
      <x:c r="W133" s="167" t="str">
        <x:f>IF(AND(W$6&lt;=$H133,W$6+6&gt;=$G133),1,"")</x:f>
      </x:c>
      <x:c r="X133" s="167" t="str">
        <x:f>IF(AND(X$6&lt;=$H133,X$6+6&gt;=$G133),1,"")</x:f>
      </x:c>
      <x:c r="Y133" s="167" t="str">
        <x:f>IF(AND(Y$6&lt;=$H133,Y$6+6&gt;=$G133),1,"")</x:f>
      </x:c>
      <x:c r="Z133" s="167" t="str">
        <x:f>IF(AND(Z$6&lt;=$H133,Z$6+6&gt;=$G133),1,"")</x:f>
      </x:c>
      <x:c r="AA133" s="167" t="str">
        <x:f>IF(AND(AA$6&lt;=$H133,AA$6+6&gt;=$G133),1,"")</x:f>
      </x:c>
      <x:c r="AB133" s="167" t="str">
        <x:f>IF(AND(AB$6&lt;=$H133,AB$6+6&gt;=$G133),1,"")</x:f>
      </x:c>
      <x:c r="AC133" s="167" t="str">
        <x:f>IF(AND(AC$6&lt;=$H133,AC$6+6&gt;=$G133),1,"")</x:f>
      </x:c>
      <x:c r="AD133" s="167" t="str">
        <x:f>IF(AND(AD$6&lt;=$H133,AD$6+6&gt;=$G133),1,"")</x:f>
      </x:c>
      <x:c r="AE133" s="167" t="str">
        <x:f>IF(AND(AE$6&lt;=$H133,AE$6+6&gt;=$G133),1,"")</x:f>
      </x:c>
      <x:c r="AF133" s="167" t="str">
        <x:f>IF(AND(AF$6&lt;=$H133,AF$6+6&gt;=$G133),1,"")</x:f>
      </x:c>
      <x:c r="AG133" s="167" t="str">
        <x:f>IF(AND(AG$6&lt;=$H133,AG$6+6&gt;=$G133),1,"")</x:f>
      </x:c>
      <x:c r="AH133" s="167" t="str">
        <x:f>IF(AND(AH$6&lt;=$H133,AH$6+6&gt;=$G133),1,"")</x:f>
      </x:c>
      <x:c r="AI133" s="167" t="str">
        <x:f>IF(AND(AI$6&lt;=$H133,AI$6+6&gt;=$G133),1,"")</x:f>
      </x:c>
      <x:c r="AJ133" s="167" t="str">
        <x:f>IF(AND(AJ$6&lt;=$H133,AJ$6+6&gt;=$G133),1,"")</x:f>
      </x:c>
      <x:c r="AK133" s="167" t="str">
        <x:f>IF(AND(AK$6&lt;=$H133,AK$6+6&gt;=$G133),1,"")</x:f>
      </x:c>
      <x:c r="AL133" s="167" t="str">
        <x:f>IF(AND(AL$6&lt;=$H133,AL$6+6&gt;=$G133),1,"")</x:f>
      </x:c>
      <x:c r="AM133" s="167" t="str">
        <x:f>IF(AND(AM$6&lt;=$H133,AM$6+6&gt;=$G133),1,"")</x:f>
      </x:c>
      <x:c r="AN133" s="167" t="str">
        <x:f>IF(AND(AN$6&lt;=$H133,AN$6+6&gt;=$G133),1,"")</x:f>
      </x:c>
      <x:c r="AO133" s="167" t="str">
        <x:f>IF(AND(AO$6&lt;=$H133,AO$6+6&gt;=$G133),1,"")</x:f>
      </x:c>
      <x:c r="AP133" s="167" t="str">
        <x:f>IF(AND(AP$6&lt;=$H133,AP$6+6&gt;=$G133),1,"")</x:f>
      </x:c>
      <x:c r="AQ133" s="167" t="str">
        <x:f>IF(AND(AQ$6&lt;=$H133,AQ$6+6&gt;=$G133),1,"")</x:f>
      </x:c>
      <x:c r="AR133" s="167" t="str">
        <x:f>IF(AND(AR$6&lt;=$H133,AR$6+6&gt;=$G133),1,"")</x:f>
      </x:c>
      <x:c r="AS133" s="167" t="str">
        <x:f>IF(AND(AS$6&lt;=$H133,AS$6+6&gt;=$G133),1,"")</x:f>
      </x:c>
      <x:c r="AT133" s="167" t="str">
        <x:f>IF(AND(AT$6&lt;=$H133,AT$6+6&gt;=$G133),1,"")</x:f>
      </x:c>
      <x:c r="AU133" s="167" t="str">
        <x:f>IF(AND(AU$6&lt;=$H133,AU$6+6&gt;=$G133),1,"")</x:f>
      </x:c>
      <x:c r="AV133" s="167" t="str">
        <x:f>IF(AND(AV$6&lt;=$H133,AV$6+6&gt;=$G133),1,"")</x:f>
      </x:c>
      <x:c r="AW133" s="167" t="str">
        <x:f>IF(AND(AW$6&lt;=$H133,AW$6+6&gt;=$G133),1,"")</x:f>
      </x:c>
      <x:c r="AX133" s="167" t="str">
        <x:f>IF(AND(AX$6&lt;=$H133,AX$6+6&gt;=$G133),1,"")</x:f>
      </x:c>
      <x:c r="AY133" s="167" t="str">
        <x:f>IF(AND(AY$6&lt;=$H133,AY$6+6&gt;=$G133),1,"")</x:f>
      </x:c>
      <x:c r="AZ133" s="167" t="str">
        <x:f>IF(AND(AZ$6&lt;=$H133,AZ$6+6&gt;=$G133),1,"")</x:f>
      </x:c>
      <x:c r="BA133" s="167" t="str">
        <x:f>IF(AND(BA$6&lt;=$H133,BA$6+6&gt;=$G133),1,"")</x:f>
      </x:c>
      <x:c r="BB133" s="167" t="str">
        <x:f>IF(AND(BB$6&lt;=$H133,BB$6+6&gt;=$G133),1,"")</x:f>
      </x:c>
      <x:c r="BC133" s="167" t="str">
        <x:f>IF(AND(BC$6&lt;=$H133,BC$6+6&gt;=$G133),1,"")</x:f>
      </x:c>
      <x:c r="BD133" s="167" t="str">
        <x:f>IF(AND(BD$6&lt;=$H133,BD$6+6&gt;=$G133),1,"")</x:f>
      </x:c>
      <x:c r="BE133" s="167" t="str">
        <x:f>IF(AND(BE$6&lt;=$H133,BE$6+6&gt;=$G133),1,"")</x:f>
      </x:c>
      <x:c r="BF133" s="167" t="str">
        <x:f>IF(AND(BF$6&lt;=$H133,BF$6+6&gt;=$G133),1,"")</x:f>
      </x:c>
      <x:c r="BG133" s="167" t="str">
        <x:f>IF(AND(BG$6&lt;=$H133,BG$6+6&gt;=$G133),1,"")</x:f>
      </x:c>
      <x:c r="BH133" s="167" t="str">
        <x:f>IF(AND(BH$6&lt;=$H133,BH$6+6&gt;=$G133),1,"")</x:f>
      </x:c>
      <x:c r="BI133" s="167" t="str">
        <x:f>IF(AND(BI$6&lt;=$H133,BI$6+6&gt;=$G133),1,"")</x:f>
      </x:c>
      <x:c r="BJ133" s="167" t="str">
        <x:f>IF(AND(BJ$6&lt;=$H133,BJ$6+6&gt;=$G133),1,"")</x:f>
      </x:c>
      <x:c r="BK133" s="167" t="str">
        <x:f>IF(AND(BK$6&lt;=$H133,BK$6+6&gt;=$G133),1,"")</x:f>
      </x:c>
      <x:c r="BL133" s="167" t="str">
        <x:f>IF(AND(BL$6&lt;=$H133,BL$6+6&gt;=$G133),1,"")</x:f>
      </x:c>
      <x:c r="BM133" s="167" t="str">
        <x:f>IF(AND(BM$6&lt;=$H133,BM$6+6&gt;=$G133),1,"")</x:f>
      </x:c>
      <x:c r="BN133" s="167" t="str">
        <x:f>IF(AND(BN$6&lt;=$H133,BN$6+6&gt;=$G133),1,"")</x:f>
      </x:c>
      <x:c r="BO133" s="168" t="str">
        <x:f>IF(AND(BO$6&lt;=$H133,BO$6+6&gt;=$G133),1,"")</x:f>
      </x:c>
    </x:row>
    <x:row r="134" ht="24" customHeight="1">
      <x:c r="A134" s="68" t="str">
        <x:f>'Task Register'!A132</x:f>
        <x:v>T-707</x:v>
      </x:c>
      <x:c r="B134" s="68" t="str">
        <x:f>'Task Register'!B132</x:f>
        <x:v>M7</x:v>
      </x:c>
      <x:c r="C134" s="68" t="str">
        <x:f>'Task Register'!C132</x:f>
        <x:v>Hardware Bring-Up</x:v>
      </x:c>
      <x:c r="D134" s="68" t="str">
        <x:f>'Task Register'!D132</x:f>
        <x:v>Commission and validate one powered joint</x:v>
      </x:c>
      <x:c r="E134" s="68" t="str">
        <x:f>'Task Register'!E132</x:f>
        <x:v>T-611, T-702, T-704, T-705, T-706</x:v>
      </x:c>
      <x:c r="F134" s="68" t="str">
        <x:f>'Task Register'!F132</x:f>
        <x:v>Blocked</x:v>
      </x:c>
      <x:c r="G134" s="94" t="n">
        <x:f>'Task Register'!I132</x:f>
        <x:v>46440</x:v>
      </x:c>
      <x:c r="H134" s="94" t="n">
        <x:f>'Task Register'!J132</x:f>
        <x:v>46443</x:v>
      </x:c>
      <x:c r="I134" s="166" t="str">
        <x:f>IF(AND(I$6&lt;=$H134,I$6+6&gt;=$G134),1,"")</x:f>
      </x:c>
      <x:c r="J134" s="167" t="str">
        <x:f>IF(AND(J$6&lt;=$H134,J$6+6&gt;=$G134),1,"")</x:f>
      </x:c>
      <x:c r="K134" s="167" t="str">
        <x:f>IF(AND(K$6&lt;=$H134,K$6+6&gt;=$G134),1,"")</x:f>
      </x:c>
      <x:c r="L134" s="167" t="str">
        <x:f>IF(AND(L$6&lt;=$H134,L$6+6&gt;=$G134),1,"")</x:f>
      </x:c>
      <x:c r="M134" s="167" t="str">
        <x:f>IF(AND(M$6&lt;=$H134,M$6+6&gt;=$G134),1,"")</x:f>
      </x:c>
      <x:c r="N134" s="167" t="str">
        <x:f>IF(AND(N$6&lt;=$H134,N$6+6&gt;=$G134),1,"")</x:f>
      </x:c>
      <x:c r="O134" s="167" t="str">
        <x:f>IF(AND(O$6&lt;=$H134,O$6+6&gt;=$G134),1,"")</x:f>
      </x:c>
      <x:c r="P134" s="167" t="str">
        <x:f>IF(AND(P$6&lt;=$H134,P$6+6&gt;=$G134),1,"")</x:f>
      </x:c>
      <x:c r="Q134" s="167" t="str">
        <x:f>IF(AND(Q$6&lt;=$H134,Q$6+6&gt;=$G134),1,"")</x:f>
      </x:c>
      <x:c r="R134" s="167" t="str">
        <x:f>IF(AND(R$6&lt;=$H134,R$6+6&gt;=$G134),1,"")</x:f>
      </x:c>
      <x:c r="S134" s="167" t="str">
        <x:f>IF(AND(S$6&lt;=$H134,S$6+6&gt;=$G134),1,"")</x:f>
      </x:c>
      <x:c r="T134" s="167" t="str">
        <x:f>IF(AND(T$6&lt;=$H134,T$6+6&gt;=$G134),1,"")</x:f>
      </x:c>
      <x:c r="U134" s="167" t="str">
        <x:f>IF(AND(U$6&lt;=$H134,U$6+6&gt;=$G134),1,"")</x:f>
      </x:c>
      <x:c r="V134" s="167" t="str">
        <x:f>IF(AND(V$6&lt;=$H134,V$6+6&gt;=$G134),1,"")</x:f>
      </x:c>
      <x:c r="W134" s="167" t="str">
        <x:f>IF(AND(W$6&lt;=$H134,W$6+6&gt;=$G134),1,"")</x:f>
      </x:c>
      <x:c r="X134" s="167" t="str">
        <x:f>IF(AND(X$6&lt;=$H134,X$6+6&gt;=$G134),1,"")</x:f>
      </x:c>
      <x:c r="Y134" s="167" t="str">
        <x:f>IF(AND(Y$6&lt;=$H134,Y$6+6&gt;=$G134),1,"")</x:f>
      </x:c>
      <x:c r="Z134" s="167" t="str">
        <x:f>IF(AND(Z$6&lt;=$H134,Z$6+6&gt;=$G134),1,"")</x:f>
      </x:c>
      <x:c r="AA134" s="167" t="str">
        <x:f>IF(AND(AA$6&lt;=$H134,AA$6+6&gt;=$G134),1,"")</x:f>
      </x:c>
      <x:c r="AB134" s="167" t="str">
        <x:f>IF(AND(AB$6&lt;=$H134,AB$6+6&gt;=$G134),1,"")</x:f>
      </x:c>
      <x:c r="AC134" s="167" t="str">
        <x:f>IF(AND(AC$6&lt;=$H134,AC$6+6&gt;=$G134),1,"")</x:f>
      </x:c>
      <x:c r="AD134" s="167" t="str">
        <x:f>IF(AND(AD$6&lt;=$H134,AD$6+6&gt;=$G134),1,"")</x:f>
      </x:c>
      <x:c r="AE134" s="167" t="str">
        <x:f>IF(AND(AE$6&lt;=$H134,AE$6+6&gt;=$G134),1,"")</x:f>
      </x:c>
      <x:c r="AF134" s="167" t="str">
        <x:f>IF(AND(AF$6&lt;=$H134,AF$6+6&gt;=$G134),1,"")</x:f>
      </x:c>
      <x:c r="AG134" s="167" t="str">
        <x:f>IF(AND(AG$6&lt;=$H134,AG$6+6&gt;=$G134),1,"")</x:f>
      </x:c>
      <x:c r="AH134" s="167" t="str">
        <x:f>IF(AND(AH$6&lt;=$H134,AH$6+6&gt;=$G134),1,"")</x:f>
      </x:c>
      <x:c r="AI134" s="167" t="str">
        <x:f>IF(AND(AI$6&lt;=$H134,AI$6+6&gt;=$G134),1,"")</x:f>
      </x:c>
      <x:c r="AJ134" s="167" t="str">
        <x:f>IF(AND(AJ$6&lt;=$H134,AJ$6+6&gt;=$G134),1,"")</x:f>
      </x:c>
      <x:c r="AK134" s="167" t="str">
        <x:f>IF(AND(AK$6&lt;=$H134,AK$6+6&gt;=$G134),1,"")</x:f>
      </x:c>
      <x:c r="AL134" s="167" t="n">
        <x:f>IF(AND(AL$6&lt;=$H134,AL$6+6&gt;=$G134),1,"")</x:f>
        <x:v>1</x:v>
      </x:c>
      <x:c r="AM134" s="167" t="str">
        <x:f>IF(AND(AM$6&lt;=$H134,AM$6+6&gt;=$G134),1,"")</x:f>
      </x:c>
      <x:c r="AN134" s="167" t="str">
        <x:f>IF(AND(AN$6&lt;=$H134,AN$6+6&gt;=$G134),1,"")</x:f>
      </x:c>
      <x:c r="AO134" s="167" t="str">
        <x:f>IF(AND(AO$6&lt;=$H134,AO$6+6&gt;=$G134),1,"")</x:f>
      </x:c>
      <x:c r="AP134" s="167" t="str">
        <x:f>IF(AND(AP$6&lt;=$H134,AP$6+6&gt;=$G134),1,"")</x:f>
      </x:c>
      <x:c r="AQ134" s="167" t="str">
        <x:f>IF(AND(AQ$6&lt;=$H134,AQ$6+6&gt;=$G134),1,"")</x:f>
      </x:c>
      <x:c r="AR134" s="167" t="str">
        <x:f>IF(AND(AR$6&lt;=$H134,AR$6+6&gt;=$G134),1,"")</x:f>
      </x:c>
      <x:c r="AS134" s="167" t="str">
        <x:f>IF(AND(AS$6&lt;=$H134,AS$6+6&gt;=$G134),1,"")</x:f>
      </x:c>
      <x:c r="AT134" s="167" t="str">
        <x:f>IF(AND(AT$6&lt;=$H134,AT$6+6&gt;=$G134),1,"")</x:f>
      </x:c>
      <x:c r="AU134" s="167" t="str">
        <x:f>IF(AND(AU$6&lt;=$H134,AU$6+6&gt;=$G134),1,"")</x:f>
      </x:c>
      <x:c r="AV134" s="167" t="str">
        <x:f>IF(AND(AV$6&lt;=$H134,AV$6+6&gt;=$G134),1,"")</x:f>
      </x:c>
      <x:c r="AW134" s="167" t="str">
        <x:f>IF(AND(AW$6&lt;=$H134,AW$6+6&gt;=$G134),1,"")</x:f>
      </x:c>
      <x:c r="AX134" s="167" t="str">
        <x:f>IF(AND(AX$6&lt;=$H134,AX$6+6&gt;=$G134),1,"")</x:f>
      </x:c>
      <x:c r="AY134" s="167" t="str">
        <x:f>IF(AND(AY$6&lt;=$H134,AY$6+6&gt;=$G134),1,"")</x:f>
      </x:c>
      <x:c r="AZ134" s="167" t="str">
        <x:f>IF(AND(AZ$6&lt;=$H134,AZ$6+6&gt;=$G134),1,"")</x:f>
      </x:c>
      <x:c r="BA134" s="167" t="str">
        <x:f>IF(AND(BA$6&lt;=$H134,BA$6+6&gt;=$G134),1,"")</x:f>
      </x:c>
      <x:c r="BB134" s="167" t="str">
        <x:f>IF(AND(BB$6&lt;=$H134,BB$6+6&gt;=$G134),1,"")</x:f>
      </x:c>
      <x:c r="BC134" s="167" t="str">
        <x:f>IF(AND(BC$6&lt;=$H134,BC$6+6&gt;=$G134),1,"")</x:f>
      </x:c>
      <x:c r="BD134" s="167" t="str">
        <x:f>IF(AND(BD$6&lt;=$H134,BD$6+6&gt;=$G134),1,"")</x:f>
      </x:c>
      <x:c r="BE134" s="167" t="str">
        <x:f>IF(AND(BE$6&lt;=$H134,BE$6+6&gt;=$G134),1,"")</x:f>
      </x:c>
      <x:c r="BF134" s="167" t="str">
        <x:f>IF(AND(BF$6&lt;=$H134,BF$6+6&gt;=$G134),1,"")</x:f>
      </x:c>
      <x:c r="BG134" s="167" t="str">
        <x:f>IF(AND(BG$6&lt;=$H134,BG$6+6&gt;=$G134),1,"")</x:f>
      </x:c>
      <x:c r="BH134" s="167" t="str">
        <x:f>IF(AND(BH$6&lt;=$H134,BH$6+6&gt;=$G134),1,"")</x:f>
      </x:c>
      <x:c r="BI134" s="167" t="str">
        <x:f>IF(AND(BI$6&lt;=$H134,BI$6+6&gt;=$G134),1,"")</x:f>
      </x:c>
      <x:c r="BJ134" s="167" t="str">
        <x:f>IF(AND(BJ$6&lt;=$H134,BJ$6+6&gt;=$G134),1,"")</x:f>
      </x:c>
      <x:c r="BK134" s="167" t="str">
        <x:f>IF(AND(BK$6&lt;=$H134,BK$6+6&gt;=$G134),1,"")</x:f>
      </x:c>
      <x:c r="BL134" s="167" t="str">
        <x:f>IF(AND(BL$6&lt;=$H134,BL$6+6&gt;=$G134),1,"")</x:f>
      </x:c>
      <x:c r="BM134" s="167" t="str">
        <x:f>IF(AND(BM$6&lt;=$H134,BM$6+6&gt;=$G134),1,"")</x:f>
      </x:c>
      <x:c r="BN134" s="167" t="str">
        <x:f>IF(AND(BN$6&lt;=$H134,BN$6+6&gt;=$G134),1,"")</x:f>
      </x:c>
      <x:c r="BO134" s="168" t="str">
        <x:f>IF(AND(BO$6&lt;=$H134,BO$6+6&gt;=$G134),1,"")</x:f>
      </x:c>
    </x:row>
    <x:row r="135" ht="24" customHeight="1">
      <x:c r="A135" s="68" t="str">
        <x:f>'Task Register'!A133</x:f>
        <x:v>T-708</x:v>
      </x:c>
      <x:c r="B135" s="68" t="str">
        <x:f>'Task Register'!B133</x:f>
        <x:v>M7</x:v>
      </x:c>
      <x:c r="C135" s="68" t="str">
        <x:f>'Task Register'!C133</x:f>
        <x:v>Hardware Bring-Up/Dynamics</x:v>
      </x:c>
      <x:c r="D135" s="68" t="str">
        <x:f>'Task Register'!D133</x:f>
        <x:v>Commission and validate a two-link chain</x:v>
      </x:c>
      <x:c r="E135" s="68" t="str">
        <x:f>'Task Register'!E133</x:f>
        <x:v>T-707, T-613</x:v>
      </x:c>
      <x:c r="F135" s="68" t="str">
        <x:f>'Task Register'!F133</x:f>
        <x:v>Blocked</x:v>
      </x:c>
      <x:c r="G135" s="94" t="n">
        <x:f>'Task Register'!I133</x:f>
        <x:v>46444</x:v>
      </x:c>
      <x:c r="H135" s="94" t="n">
        <x:f>'Task Register'!J133</x:f>
        <x:v>46451</x:v>
      </x:c>
      <x:c r="I135" s="166" t="str">
        <x:f>IF(AND(I$6&lt;=$H135,I$6+6&gt;=$G135),1,"")</x:f>
      </x:c>
      <x:c r="J135" s="167" t="str">
        <x:f>IF(AND(J$6&lt;=$H135,J$6+6&gt;=$G135),1,"")</x:f>
      </x:c>
      <x:c r="K135" s="167" t="str">
        <x:f>IF(AND(K$6&lt;=$H135,K$6+6&gt;=$G135),1,"")</x:f>
      </x:c>
      <x:c r="L135" s="167" t="str">
        <x:f>IF(AND(L$6&lt;=$H135,L$6+6&gt;=$G135),1,"")</x:f>
      </x:c>
      <x:c r="M135" s="167" t="str">
        <x:f>IF(AND(M$6&lt;=$H135,M$6+6&gt;=$G135),1,"")</x:f>
      </x:c>
      <x:c r="N135" s="167" t="str">
        <x:f>IF(AND(N$6&lt;=$H135,N$6+6&gt;=$G135),1,"")</x:f>
      </x:c>
      <x:c r="O135" s="167" t="str">
        <x:f>IF(AND(O$6&lt;=$H135,O$6+6&gt;=$G135),1,"")</x:f>
      </x:c>
      <x:c r="P135" s="167" t="str">
        <x:f>IF(AND(P$6&lt;=$H135,P$6+6&gt;=$G135),1,"")</x:f>
      </x:c>
      <x:c r="Q135" s="167" t="str">
        <x:f>IF(AND(Q$6&lt;=$H135,Q$6+6&gt;=$G135),1,"")</x:f>
      </x:c>
      <x:c r="R135" s="167" t="str">
        <x:f>IF(AND(R$6&lt;=$H135,R$6+6&gt;=$G135),1,"")</x:f>
      </x:c>
      <x:c r="S135" s="167" t="str">
        <x:f>IF(AND(S$6&lt;=$H135,S$6+6&gt;=$G135),1,"")</x:f>
      </x:c>
      <x:c r="T135" s="167" t="str">
        <x:f>IF(AND(T$6&lt;=$H135,T$6+6&gt;=$G135),1,"")</x:f>
      </x:c>
      <x:c r="U135" s="167" t="str">
        <x:f>IF(AND(U$6&lt;=$H135,U$6+6&gt;=$G135),1,"")</x:f>
      </x:c>
      <x:c r="V135" s="167" t="str">
        <x:f>IF(AND(V$6&lt;=$H135,V$6+6&gt;=$G135),1,"")</x:f>
      </x:c>
      <x:c r="W135" s="167" t="str">
        <x:f>IF(AND(W$6&lt;=$H135,W$6+6&gt;=$G135),1,"")</x:f>
      </x:c>
      <x:c r="X135" s="167" t="str">
        <x:f>IF(AND(X$6&lt;=$H135,X$6+6&gt;=$G135),1,"")</x:f>
      </x:c>
      <x:c r="Y135" s="167" t="str">
        <x:f>IF(AND(Y$6&lt;=$H135,Y$6+6&gt;=$G135),1,"")</x:f>
      </x:c>
      <x:c r="Z135" s="167" t="str">
        <x:f>IF(AND(Z$6&lt;=$H135,Z$6+6&gt;=$G135),1,"")</x:f>
      </x:c>
      <x:c r="AA135" s="167" t="str">
        <x:f>IF(AND(AA$6&lt;=$H135,AA$6+6&gt;=$G135),1,"")</x:f>
      </x:c>
      <x:c r="AB135" s="167" t="str">
        <x:f>IF(AND(AB$6&lt;=$H135,AB$6+6&gt;=$G135),1,"")</x:f>
      </x:c>
      <x:c r="AC135" s="167" t="str">
        <x:f>IF(AND(AC$6&lt;=$H135,AC$6+6&gt;=$G135),1,"")</x:f>
      </x:c>
      <x:c r="AD135" s="167" t="str">
        <x:f>IF(AND(AD$6&lt;=$H135,AD$6+6&gt;=$G135),1,"")</x:f>
      </x:c>
      <x:c r="AE135" s="167" t="str">
        <x:f>IF(AND(AE$6&lt;=$H135,AE$6+6&gt;=$G135),1,"")</x:f>
      </x:c>
      <x:c r="AF135" s="167" t="str">
        <x:f>IF(AND(AF$6&lt;=$H135,AF$6+6&gt;=$G135),1,"")</x:f>
      </x:c>
      <x:c r="AG135" s="167" t="str">
        <x:f>IF(AND(AG$6&lt;=$H135,AG$6+6&gt;=$G135),1,"")</x:f>
      </x:c>
      <x:c r="AH135" s="167" t="str">
        <x:f>IF(AND(AH$6&lt;=$H135,AH$6+6&gt;=$G135),1,"")</x:f>
      </x:c>
      <x:c r="AI135" s="167" t="str">
        <x:f>IF(AND(AI$6&lt;=$H135,AI$6+6&gt;=$G135),1,"")</x:f>
      </x:c>
      <x:c r="AJ135" s="167" t="str">
        <x:f>IF(AND(AJ$6&lt;=$H135,AJ$6+6&gt;=$G135),1,"")</x:f>
      </x:c>
      <x:c r="AK135" s="167" t="str">
        <x:f>IF(AND(AK$6&lt;=$H135,AK$6+6&gt;=$G135),1,"")</x:f>
      </x:c>
      <x:c r="AL135" s="167" t="n">
        <x:f>IF(AND(AL$6&lt;=$H135,AL$6+6&gt;=$G135),1,"")</x:f>
        <x:v>1</x:v>
      </x:c>
      <x:c r="AM135" s="167" t="n">
        <x:f>IF(AND(AM$6&lt;=$H135,AM$6+6&gt;=$G135),1,"")</x:f>
        <x:v>1</x:v>
      </x:c>
      <x:c r="AN135" s="167" t="str">
        <x:f>IF(AND(AN$6&lt;=$H135,AN$6+6&gt;=$G135),1,"")</x:f>
      </x:c>
      <x:c r="AO135" s="167" t="str">
        <x:f>IF(AND(AO$6&lt;=$H135,AO$6+6&gt;=$G135),1,"")</x:f>
      </x:c>
      <x:c r="AP135" s="167" t="str">
        <x:f>IF(AND(AP$6&lt;=$H135,AP$6+6&gt;=$G135),1,"")</x:f>
      </x:c>
      <x:c r="AQ135" s="167" t="str">
        <x:f>IF(AND(AQ$6&lt;=$H135,AQ$6+6&gt;=$G135),1,"")</x:f>
      </x:c>
      <x:c r="AR135" s="167" t="str">
        <x:f>IF(AND(AR$6&lt;=$H135,AR$6+6&gt;=$G135),1,"")</x:f>
      </x:c>
      <x:c r="AS135" s="167" t="str">
        <x:f>IF(AND(AS$6&lt;=$H135,AS$6+6&gt;=$G135),1,"")</x:f>
      </x:c>
      <x:c r="AT135" s="167" t="str">
        <x:f>IF(AND(AT$6&lt;=$H135,AT$6+6&gt;=$G135),1,"")</x:f>
      </x:c>
      <x:c r="AU135" s="167" t="str">
        <x:f>IF(AND(AU$6&lt;=$H135,AU$6+6&gt;=$G135),1,"")</x:f>
      </x:c>
      <x:c r="AV135" s="167" t="str">
        <x:f>IF(AND(AV$6&lt;=$H135,AV$6+6&gt;=$G135),1,"")</x:f>
      </x:c>
      <x:c r="AW135" s="167" t="str">
        <x:f>IF(AND(AW$6&lt;=$H135,AW$6+6&gt;=$G135),1,"")</x:f>
      </x:c>
      <x:c r="AX135" s="167" t="str">
        <x:f>IF(AND(AX$6&lt;=$H135,AX$6+6&gt;=$G135),1,"")</x:f>
      </x:c>
      <x:c r="AY135" s="167" t="str">
        <x:f>IF(AND(AY$6&lt;=$H135,AY$6+6&gt;=$G135),1,"")</x:f>
      </x:c>
      <x:c r="AZ135" s="167" t="str">
        <x:f>IF(AND(AZ$6&lt;=$H135,AZ$6+6&gt;=$G135),1,"")</x:f>
      </x:c>
      <x:c r="BA135" s="167" t="str">
        <x:f>IF(AND(BA$6&lt;=$H135,BA$6+6&gt;=$G135),1,"")</x:f>
      </x:c>
      <x:c r="BB135" s="167" t="str">
        <x:f>IF(AND(BB$6&lt;=$H135,BB$6+6&gt;=$G135),1,"")</x:f>
      </x:c>
      <x:c r="BC135" s="167" t="str">
        <x:f>IF(AND(BC$6&lt;=$H135,BC$6+6&gt;=$G135),1,"")</x:f>
      </x:c>
      <x:c r="BD135" s="167" t="str">
        <x:f>IF(AND(BD$6&lt;=$H135,BD$6+6&gt;=$G135),1,"")</x:f>
      </x:c>
      <x:c r="BE135" s="167" t="str">
        <x:f>IF(AND(BE$6&lt;=$H135,BE$6+6&gt;=$G135),1,"")</x:f>
      </x:c>
      <x:c r="BF135" s="167" t="str">
        <x:f>IF(AND(BF$6&lt;=$H135,BF$6+6&gt;=$G135),1,"")</x:f>
      </x:c>
      <x:c r="BG135" s="167" t="str">
        <x:f>IF(AND(BG$6&lt;=$H135,BG$6+6&gt;=$G135),1,"")</x:f>
      </x:c>
      <x:c r="BH135" s="167" t="str">
        <x:f>IF(AND(BH$6&lt;=$H135,BH$6+6&gt;=$G135),1,"")</x:f>
      </x:c>
      <x:c r="BI135" s="167" t="str">
        <x:f>IF(AND(BI$6&lt;=$H135,BI$6+6&gt;=$G135),1,"")</x:f>
      </x:c>
      <x:c r="BJ135" s="167" t="str">
        <x:f>IF(AND(BJ$6&lt;=$H135,BJ$6+6&gt;=$G135),1,"")</x:f>
      </x:c>
      <x:c r="BK135" s="167" t="str">
        <x:f>IF(AND(BK$6&lt;=$H135,BK$6+6&gt;=$G135),1,"")</x:f>
      </x:c>
      <x:c r="BL135" s="167" t="str">
        <x:f>IF(AND(BL$6&lt;=$H135,BL$6+6&gt;=$G135),1,"")</x:f>
      </x:c>
      <x:c r="BM135" s="167" t="str">
        <x:f>IF(AND(BM$6&lt;=$H135,BM$6+6&gt;=$G135),1,"")</x:f>
      </x:c>
      <x:c r="BN135" s="167" t="str">
        <x:f>IF(AND(BN$6&lt;=$H135,BN$6+6&gt;=$G135),1,"")</x:f>
      </x:c>
      <x:c r="BO135" s="168" t="str">
        <x:f>IF(AND(BO$6&lt;=$H135,BO$6+6&gt;=$G135),1,"")</x:f>
      </x:c>
    </x:row>
    <x:row r="136" ht="24" customHeight="1">
      <x:c r="A136" s="68" t="str">
        <x:f>'Task Register'!A134</x:f>
        <x:v>T-709</x:v>
      </x:c>
      <x:c r="B136" s="68" t="str">
        <x:f>'Task Register'!B134</x:f>
        <x:v>M7</x:v>
      </x:c>
      <x:c r="C136" s="68" t="str">
        <x:f>'Task Register'!C134</x:f>
        <x:v>Hardware Bring-Up</x:v>
      </x:c>
      <x:c r="D136" s="68" t="str">
        <x:f>'Task Register'!D134</x:f>
        <x:v>Commission the integrated arm in dry free space</x:v>
      </x:c>
      <x:c r="E136" s="68" t="str">
        <x:f>'Task Register'!E134</x:f>
        <x:v>T-614, T-708</x:v>
      </x:c>
      <x:c r="F136" s="68" t="str">
        <x:f>'Task Register'!F134</x:f>
        <x:v>Blocked</x:v>
      </x:c>
      <x:c r="G136" s="94" t="n">
        <x:f>'Task Register'!I134</x:f>
        <x:v>46454</x:v>
      </x:c>
      <x:c r="H136" s="94" t="n">
        <x:f>'Task Register'!J134</x:f>
        <x:v>46462</x:v>
      </x:c>
      <x:c r="I136" s="166" t="str">
        <x:f>IF(AND(I$6&lt;=$H136,I$6+6&gt;=$G136),1,"")</x:f>
      </x:c>
      <x:c r="J136" s="167" t="str">
        <x:f>IF(AND(J$6&lt;=$H136,J$6+6&gt;=$G136),1,"")</x:f>
      </x:c>
      <x:c r="K136" s="167" t="str">
        <x:f>IF(AND(K$6&lt;=$H136,K$6+6&gt;=$G136),1,"")</x:f>
      </x:c>
      <x:c r="L136" s="167" t="str">
        <x:f>IF(AND(L$6&lt;=$H136,L$6+6&gt;=$G136),1,"")</x:f>
      </x:c>
      <x:c r="M136" s="167" t="str">
        <x:f>IF(AND(M$6&lt;=$H136,M$6+6&gt;=$G136),1,"")</x:f>
      </x:c>
      <x:c r="N136" s="167" t="str">
        <x:f>IF(AND(N$6&lt;=$H136,N$6+6&gt;=$G136),1,"")</x:f>
      </x:c>
      <x:c r="O136" s="167" t="str">
        <x:f>IF(AND(O$6&lt;=$H136,O$6+6&gt;=$G136),1,"")</x:f>
      </x:c>
      <x:c r="P136" s="167" t="str">
        <x:f>IF(AND(P$6&lt;=$H136,P$6+6&gt;=$G136),1,"")</x:f>
      </x:c>
      <x:c r="Q136" s="167" t="str">
        <x:f>IF(AND(Q$6&lt;=$H136,Q$6+6&gt;=$G136),1,"")</x:f>
      </x:c>
      <x:c r="R136" s="167" t="str">
        <x:f>IF(AND(R$6&lt;=$H136,R$6+6&gt;=$G136),1,"")</x:f>
      </x:c>
      <x:c r="S136" s="167" t="str">
        <x:f>IF(AND(S$6&lt;=$H136,S$6+6&gt;=$G136),1,"")</x:f>
      </x:c>
      <x:c r="T136" s="167" t="str">
        <x:f>IF(AND(T$6&lt;=$H136,T$6+6&gt;=$G136),1,"")</x:f>
      </x:c>
      <x:c r="U136" s="167" t="str">
        <x:f>IF(AND(U$6&lt;=$H136,U$6+6&gt;=$G136),1,"")</x:f>
      </x:c>
      <x:c r="V136" s="167" t="str">
        <x:f>IF(AND(V$6&lt;=$H136,V$6+6&gt;=$G136),1,"")</x:f>
      </x:c>
      <x:c r="W136" s="167" t="str">
        <x:f>IF(AND(W$6&lt;=$H136,W$6+6&gt;=$G136),1,"")</x:f>
      </x:c>
      <x:c r="X136" s="167" t="str">
        <x:f>IF(AND(X$6&lt;=$H136,X$6+6&gt;=$G136),1,"")</x:f>
      </x:c>
      <x:c r="Y136" s="167" t="str">
        <x:f>IF(AND(Y$6&lt;=$H136,Y$6+6&gt;=$G136),1,"")</x:f>
      </x:c>
      <x:c r="Z136" s="167" t="str">
        <x:f>IF(AND(Z$6&lt;=$H136,Z$6+6&gt;=$G136),1,"")</x:f>
      </x:c>
      <x:c r="AA136" s="167" t="str">
        <x:f>IF(AND(AA$6&lt;=$H136,AA$6+6&gt;=$G136),1,"")</x:f>
      </x:c>
      <x:c r="AB136" s="167" t="str">
        <x:f>IF(AND(AB$6&lt;=$H136,AB$6+6&gt;=$G136),1,"")</x:f>
      </x:c>
      <x:c r="AC136" s="167" t="str">
        <x:f>IF(AND(AC$6&lt;=$H136,AC$6+6&gt;=$G136),1,"")</x:f>
      </x:c>
      <x:c r="AD136" s="167" t="str">
        <x:f>IF(AND(AD$6&lt;=$H136,AD$6+6&gt;=$G136),1,"")</x:f>
      </x:c>
      <x:c r="AE136" s="167" t="str">
        <x:f>IF(AND(AE$6&lt;=$H136,AE$6+6&gt;=$G136),1,"")</x:f>
      </x:c>
      <x:c r="AF136" s="167" t="str">
        <x:f>IF(AND(AF$6&lt;=$H136,AF$6+6&gt;=$G136),1,"")</x:f>
      </x:c>
      <x:c r="AG136" s="167" t="str">
        <x:f>IF(AND(AG$6&lt;=$H136,AG$6+6&gt;=$G136),1,"")</x:f>
      </x:c>
      <x:c r="AH136" s="167" t="str">
        <x:f>IF(AND(AH$6&lt;=$H136,AH$6+6&gt;=$G136),1,"")</x:f>
      </x:c>
      <x:c r="AI136" s="167" t="str">
        <x:f>IF(AND(AI$6&lt;=$H136,AI$6+6&gt;=$G136),1,"")</x:f>
      </x:c>
      <x:c r="AJ136" s="167" t="str">
        <x:f>IF(AND(AJ$6&lt;=$H136,AJ$6+6&gt;=$G136),1,"")</x:f>
      </x:c>
      <x:c r="AK136" s="167" t="str">
        <x:f>IF(AND(AK$6&lt;=$H136,AK$6+6&gt;=$G136),1,"")</x:f>
      </x:c>
      <x:c r="AL136" s="167" t="str">
        <x:f>IF(AND(AL$6&lt;=$H136,AL$6+6&gt;=$G136),1,"")</x:f>
      </x:c>
      <x:c r="AM136" s="167" t="str">
        <x:f>IF(AND(AM$6&lt;=$H136,AM$6+6&gt;=$G136),1,"")</x:f>
      </x:c>
      <x:c r="AN136" s="167" t="n">
        <x:f>IF(AND(AN$6&lt;=$H136,AN$6+6&gt;=$G136),1,"")</x:f>
        <x:v>1</x:v>
      </x:c>
      <x:c r="AO136" s="167" t="n">
        <x:f>IF(AND(AO$6&lt;=$H136,AO$6+6&gt;=$G136),1,"")</x:f>
        <x:v>1</x:v>
      </x:c>
      <x:c r="AP136" s="167" t="str">
        <x:f>IF(AND(AP$6&lt;=$H136,AP$6+6&gt;=$G136),1,"")</x:f>
      </x:c>
      <x:c r="AQ136" s="167" t="str">
        <x:f>IF(AND(AQ$6&lt;=$H136,AQ$6+6&gt;=$G136),1,"")</x:f>
      </x:c>
      <x:c r="AR136" s="167" t="str">
        <x:f>IF(AND(AR$6&lt;=$H136,AR$6+6&gt;=$G136),1,"")</x:f>
      </x:c>
      <x:c r="AS136" s="167" t="str">
        <x:f>IF(AND(AS$6&lt;=$H136,AS$6+6&gt;=$G136),1,"")</x:f>
      </x:c>
      <x:c r="AT136" s="167" t="str">
        <x:f>IF(AND(AT$6&lt;=$H136,AT$6+6&gt;=$G136),1,"")</x:f>
      </x:c>
      <x:c r="AU136" s="167" t="str">
        <x:f>IF(AND(AU$6&lt;=$H136,AU$6+6&gt;=$G136),1,"")</x:f>
      </x:c>
      <x:c r="AV136" s="167" t="str">
        <x:f>IF(AND(AV$6&lt;=$H136,AV$6+6&gt;=$G136),1,"")</x:f>
      </x:c>
      <x:c r="AW136" s="167" t="str">
        <x:f>IF(AND(AW$6&lt;=$H136,AW$6+6&gt;=$G136),1,"")</x:f>
      </x:c>
      <x:c r="AX136" s="167" t="str">
        <x:f>IF(AND(AX$6&lt;=$H136,AX$6+6&gt;=$G136),1,"")</x:f>
      </x:c>
      <x:c r="AY136" s="167" t="str">
        <x:f>IF(AND(AY$6&lt;=$H136,AY$6+6&gt;=$G136),1,"")</x:f>
      </x:c>
      <x:c r="AZ136" s="167" t="str">
        <x:f>IF(AND(AZ$6&lt;=$H136,AZ$6+6&gt;=$G136),1,"")</x:f>
      </x:c>
      <x:c r="BA136" s="167" t="str">
        <x:f>IF(AND(BA$6&lt;=$H136,BA$6+6&gt;=$G136),1,"")</x:f>
      </x:c>
      <x:c r="BB136" s="167" t="str">
        <x:f>IF(AND(BB$6&lt;=$H136,BB$6+6&gt;=$G136),1,"")</x:f>
      </x:c>
      <x:c r="BC136" s="167" t="str">
        <x:f>IF(AND(BC$6&lt;=$H136,BC$6+6&gt;=$G136),1,"")</x:f>
      </x:c>
      <x:c r="BD136" s="167" t="str">
        <x:f>IF(AND(BD$6&lt;=$H136,BD$6+6&gt;=$G136),1,"")</x:f>
      </x:c>
      <x:c r="BE136" s="167" t="str">
        <x:f>IF(AND(BE$6&lt;=$H136,BE$6+6&gt;=$G136),1,"")</x:f>
      </x:c>
      <x:c r="BF136" s="167" t="str">
        <x:f>IF(AND(BF$6&lt;=$H136,BF$6+6&gt;=$G136),1,"")</x:f>
      </x:c>
      <x:c r="BG136" s="167" t="str">
        <x:f>IF(AND(BG$6&lt;=$H136,BG$6+6&gt;=$G136),1,"")</x:f>
      </x:c>
      <x:c r="BH136" s="167" t="str">
        <x:f>IF(AND(BH$6&lt;=$H136,BH$6+6&gt;=$G136),1,"")</x:f>
      </x:c>
      <x:c r="BI136" s="167" t="str">
        <x:f>IF(AND(BI$6&lt;=$H136,BI$6+6&gt;=$G136),1,"")</x:f>
      </x:c>
      <x:c r="BJ136" s="167" t="str">
        <x:f>IF(AND(BJ$6&lt;=$H136,BJ$6+6&gt;=$G136),1,"")</x:f>
      </x:c>
      <x:c r="BK136" s="167" t="str">
        <x:f>IF(AND(BK$6&lt;=$H136,BK$6+6&gt;=$G136),1,"")</x:f>
      </x:c>
      <x:c r="BL136" s="167" t="str">
        <x:f>IF(AND(BL$6&lt;=$H136,BL$6+6&gt;=$G136),1,"")</x:f>
      </x:c>
      <x:c r="BM136" s="167" t="str">
        <x:f>IF(AND(BM$6&lt;=$H136,BM$6+6&gt;=$G136),1,"")</x:f>
      </x:c>
      <x:c r="BN136" s="167" t="str">
        <x:f>IF(AND(BN$6&lt;=$H136,BN$6+6&gt;=$G136),1,"")</x:f>
      </x:c>
      <x:c r="BO136" s="168" t="str">
        <x:f>IF(AND(BO$6&lt;=$H136,BO$6+6&gt;=$G136),1,"")</x:f>
      </x:c>
    </x:row>
    <x:row r="137" ht="24" customHeight="1">
      <x:c r="A137" s="68" t="str">
        <x:f>'Task Register'!A135</x:f>
        <x:v>T-710</x:v>
      </x:c>
      <x:c r="B137" s="68" t="str">
        <x:f>'Task Register'!B135</x:f>
        <x:v>M7</x:v>
      </x:c>
      <x:c r="C137" s="68" t="str">
        <x:f>'Task Register'!C135</x:f>
        <x:v>Contact/Safety</x:v>
      </x:c>
      <x:c r="D137" s="68" t="str">
        <x:f>'Task Register'!D135</x:f>
        <x:v>Validate brush approach, contact, release, and retract</x:v>
      </x:c>
      <x:c r="E137" s="68" t="str">
        <x:f>'Task Register'!E135</x:f>
        <x:v>T-612, T-709</x:v>
      </x:c>
      <x:c r="F137" s="68" t="str">
        <x:f>'Task Register'!F135</x:f>
        <x:v>Blocked</x:v>
      </x:c>
      <x:c r="G137" s="94" t="n">
        <x:f>'Task Register'!I135</x:f>
        <x:v>46463</x:v>
      </x:c>
      <x:c r="H137" s="94" t="n">
        <x:f>'Task Register'!J135</x:f>
        <x:v>46470</x:v>
      </x:c>
      <x:c r="I137" s="166" t="str">
        <x:f>IF(AND(I$6&lt;=$H137,I$6+6&gt;=$G137),1,"")</x:f>
      </x:c>
      <x:c r="J137" s="167" t="str">
        <x:f>IF(AND(J$6&lt;=$H137,J$6+6&gt;=$G137),1,"")</x:f>
      </x:c>
      <x:c r="K137" s="167" t="str">
        <x:f>IF(AND(K$6&lt;=$H137,K$6+6&gt;=$G137),1,"")</x:f>
      </x:c>
      <x:c r="L137" s="167" t="str">
        <x:f>IF(AND(L$6&lt;=$H137,L$6+6&gt;=$G137),1,"")</x:f>
      </x:c>
      <x:c r="M137" s="167" t="str">
        <x:f>IF(AND(M$6&lt;=$H137,M$6+6&gt;=$G137),1,"")</x:f>
      </x:c>
      <x:c r="N137" s="167" t="str">
        <x:f>IF(AND(N$6&lt;=$H137,N$6+6&gt;=$G137),1,"")</x:f>
      </x:c>
      <x:c r="O137" s="167" t="str">
        <x:f>IF(AND(O$6&lt;=$H137,O$6+6&gt;=$G137),1,"")</x:f>
      </x:c>
      <x:c r="P137" s="167" t="str">
        <x:f>IF(AND(P$6&lt;=$H137,P$6+6&gt;=$G137),1,"")</x:f>
      </x:c>
      <x:c r="Q137" s="167" t="str">
        <x:f>IF(AND(Q$6&lt;=$H137,Q$6+6&gt;=$G137),1,"")</x:f>
      </x:c>
      <x:c r="R137" s="167" t="str">
        <x:f>IF(AND(R$6&lt;=$H137,R$6+6&gt;=$G137),1,"")</x:f>
      </x:c>
      <x:c r="S137" s="167" t="str">
        <x:f>IF(AND(S$6&lt;=$H137,S$6+6&gt;=$G137),1,"")</x:f>
      </x:c>
      <x:c r="T137" s="167" t="str">
        <x:f>IF(AND(T$6&lt;=$H137,T$6+6&gt;=$G137),1,"")</x:f>
      </x:c>
      <x:c r="U137" s="167" t="str">
        <x:f>IF(AND(U$6&lt;=$H137,U$6+6&gt;=$G137),1,"")</x:f>
      </x:c>
      <x:c r="V137" s="167" t="str">
        <x:f>IF(AND(V$6&lt;=$H137,V$6+6&gt;=$G137),1,"")</x:f>
      </x:c>
      <x:c r="W137" s="167" t="str">
        <x:f>IF(AND(W$6&lt;=$H137,W$6+6&gt;=$G137),1,"")</x:f>
      </x:c>
      <x:c r="X137" s="167" t="str">
        <x:f>IF(AND(X$6&lt;=$H137,X$6+6&gt;=$G137),1,"")</x:f>
      </x:c>
      <x:c r="Y137" s="167" t="str">
        <x:f>IF(AND(Y$6&lt;=$H137,Y$6+6&gt;=$G137),1,"")</x:f>
      </x:c>
      <x:c r="Z137" s="167" t="str">
        <x:f>IF(AND(Z$6&lt;=$H137,Z$6+6&gt;=$G137),1,"")</x:f>
      </x:c>
      <x:c r="AA137" s="167" t="str">
        <x:f>IF(AND(AA$6&lt;=$H137,AA$6+6&gt;=$G137),1,"")</x:f>
      </x:c>
      <x:c r="AB137" s="167" t="str">
        <x:f>IF(AND(AB$6&lt;=$H137,AB$6+6&gt;=$G137),1,"")</x:f>
      </x:c>
      <x:c r="AC137" s="167" t="str">
        <x:f>IF(AND(AC$6&lt;=$H137,AC$6+6&gt;=$G137),1,"")</x:f>
      </x:c>
      <x:c r="AD137" s="167" t="str">
        <x:f>IF(AND(AD$6&lt;=$H137,AD$6+6&gt;=$G137),1,"")</x:f>
      </x:c>
      <x:c r="AE137" s="167" t="str">
        <x:f>IF(AND(AE$6&lt;=$H137,AE$6+6&gt;=$G137),1,"")</x:f>
      </x:c>
      <x:c r="AF137" s="167" t="str">
        <x:f>IF(AND(AF$6&lt;=$H137,AF$6+6&gt;=$G137),1,"")</x:f>
      </x:c>
      <x:c r="AG137" s="167" t="str">
        <x:f>IF(AND(AG$6&lt;=$H137,AG$6+6&gt;=$G137),1,"")</x:f>
      </x:c>
      <x:c r="AH137" s="167" t="str">
        <x:f>IF(AND(AH$6&lt;=$H137,AH$6+6&gt;=$G137),1,"")</x:f>
      </x:c>
      <x:c r="AI137" s="167" t="str">
        <x:f>IF(AND(AI$6&lt;=$H137,AI$6+6&gt;=$G137),1,"")</x:f>
      </x:c>
      <x:c r="AJ137" s="167" t="str">
        <x:f>IF(AND(AJ$6&lt;=$H137,AJ$6+6&gt;=$G137),1,"")</x:f>
      </x:c>
      <x:c r="AK137" s="167" t="str">
        <x:f>IF(AND(AK$6&lt;=$H137,AK$6+6&gt;=$G137),1,"")</x:f>
      </x:c>
      <x:c r="AL137" s="167" t="str">
        <x:f>IF(AND(AL$6&lt;=$H137,AL$6+6&gt;=$G137),1,"")</x:f>
      </x:c>
      <x:c r="AM137" s="167" t="str">
        <x:f>IF(AND(AM$6&lt;=$H137,AM$6+6&gt;=$G137),1,"")</x:f>
      </x:c>
      <x:c r="AN137" s="167" t="str">
        <x:f>IF(AND(AN$6&lt;=$H137,AN$6+6&gt;=$G137),1,"")</x:f>
      </x:c>
      <x:c r="AO137" s="167" t="n">
        <x:f>IF(AND(AO$6&lt;=$H137,AO$6+6&gt;=$G137),1,"")</x:f>
        <x:v>1</x:v>
      </x:c>
      <x:c r="AP137" s="167" t="n">
        <x:f>IF(AND(AP$6&lt;=$H137,AP$6+6&gt;=$G137),1,"")</x:f>
        <x:v>1</x:v>
      </x:c>
      <x:c r="AQ137" s="167" t="str">
        <x:f>IF(AND(AQ$6&lt;=$H137,AQ$6+6&gt;=$G137),1,"")</x:f>
      </x:c>
      <x:c r="AR137" s="167" t="str">
        <x:f>IF(AND(AR$6&lt;=$H137,AR$6+6&gt;=$G137),1,"")</x:f>
      </x:c>
      <x:c r="AS137" s="167" t="str">
        <x:f>IF(AND(AS$6&lt;=$H137,AS$6+6&gt;=$G137),1,"")</x:f>
      </x:c>
      <x:c r="AT137" s="167" t="str">
        <x:f>IF(AND(AT$6&lt;=$H137,AT$6+6&gt;=$G137),1,"")</x:f>
      </x:c>
      <x:c r="AU137" s="167" t="str">
        <x:f>IF(AND(AU$6&lt;=$H137,AU$6+6&gt;=$G137),1,"")</x:f>
      </x:c>
      <x:c r="AV137" s="167" t="str">
        <x:f>IF(AND(AV$6&lt;=$H137,AV$6+6&gt;=$G137),1,"")</x:f>
      </x:c>
      <x:c r="AW137" s="167" t="str">
        <x:f>IF(AND(AW$6&lt;=$H137,AW$6+6&gt;=$G137),1,"")</x:f>
      </x:c>
      <x:c r="AX137" s="167" t="str">
        <x:f>IF(AND(AX$6&lt;=$H137,AX$6+6&gt;=$G137),1,"")</x:f>
      </x:c>
      <x:c r="AY137" s="167" t="str">
        <x:f>IF(AND(AY$6&lt;=$H137,AY$6+6&gt;=$G137),1,"")</x:f>
      </x:c>
      <x:c r="AZ137" s="167" t="str">
        <x:f>IF(AND(AZ$6&lt;=$H137,AZ$6+6&gt;=$G137),1,"")</x:f>
      </x:c>
      <x:c r="BA137" s="167" t="str">
        <x:f>IF(AND(BA$6&lt;=$H137,BA$6+6&gt;=$G137),1,"")</x:f>
      </x:c>
      <x:c r="BB137" s="167" t="str">
        <x:f>IF(AND(BB$6&lt;=$H137,BB$6+6&gt;=$G137),1,"")</x:f>
      </x:c>
      <x:c r="BC137" s="167" t="str">
        <x:f>IF(AND(BC$6&lt;=$H137,BC$6+6&gt;=$G137),1,"")</x:f>
      </x:c>
      <x:c r="BD137" s="167" t="str">
        <x:f>IF(AND(BD$6&lt;=$H137,BD$6+6&gt;=$G137),1,"")</x:f>
      </x:c>
      <x:c r="BE137" s="167" t="str">
        <x:f>IF(AND(BE$6&lt;=$H137,BE$6+6&gt;=$G137),1,"")</x:f>
      </x:c>
      <x:c r="BF137" s="167" t="str">
        <x:f>IF(AND(BF$6&lt;=$H137,BF$6+6&gt;=$G137),1,"")</x:f>
      </x:c>
      <x:c r="BG137" s="167" t="str">
        <x:f>IF(AND(BG$6&lt;=$H137,BG$6+6&gt;=$G137),1,"")</x:f>
      </x:c>
      <x:c r="BH137" s="167" t="str">
        <x:f>IF(AND(BH$6&lt;=$H137,BH$6+6&gt;=$G137),1,"")</x:f>
      </x:c>
      <x:c r="BI137" s="167" t="str">
        <x:f>IF(AND(BI$6&lt;=$H137,BI$6+6&gt;=$G137),1,"")</x:f>
      </x:c>
      <x:c r="BJ137" s="167" t="str">
        <x:f>IF(AND(BJ$6&lt;=$H137,BJ$6+6&gt;=$G137),1,"")</x:f>
      </x:c>
      <x:c r="BK137" s="167" t="str">
        <x:f>IF(AND(BK$6&lt;=$H137,BK$6+6&gt;=$G137),1,"")</x:f>
      </x:c>
      <x:c r="BL137" s="167" t="str">
        <x:f>IF(AND(BL$6&lt;=$H137,BL$6+6&gt;=$G137),1,"")</x:f>
      </x:c>
      <x:c r="BM137" s="167" t="str">
        <x:f>IF(AND(BM$6&lt;=$H137,BM$6+6&gt;=$G137),1,"")</x:f>
      </x:c>
      <x:c r="BN137" s="167" t="str">
        <x:f>IF(AND(BN$6&lt;=$H137,BN$6+6&gt;=$G137),1,"")</x:f>
      </x:c>
      <x:c r="BO137" s="168" t="str">
        <x:f>IF(AND(BO$6&lt;=$H137,BO$6+6&gt;=$G137),1,"")</x:f>
      </x:c>
    </x:row>
    <x:row r="138" ht="24" customHeight="1">
      <x:c r="A138" s="68" t="str">
        <x:f>'Task Register'!A136</x:f>
        <x:v>T-711</x:v>
      </x:c>
      <x:c r="B138" s="68" t="str">
        <x:f>'Task Register'!B136</x:f>
        <x:v>M7</x:v>
      </x:c>
      <x:c r="C138" s="68" t="str">
        <x:f>'Task Register'!C136</x:f>
        <x:v>Workcell/Safety</x:v>
      </x:c>
      <x:c r="D138" s="68" t="str">
        <x:f>'Task Register'!D136</x:f>
        <x:v>Define paint and solvent operating procedures</x:v>
      </x:c>
      <x:c r="E138" s="68" t="str">
        <x:f>'Task Register'!E136</x:f>
        <x:v>T-608, T-701</x:v>
      </x:c>
      <x:c r="F138" s="68" t="str">
        <x:f>'Task Register'!F136</x:f>
        <x:v>Blocked</x:v>
      </x:c>
      <x:c r="G138" s="94" t="n">
        <x:f>'Task Register'!I136</x:f>
        <x:v>46471</x:v>
      </x:c>
      <x:c r="H138" s="94" t="n">
        <x:f>'Task Register'!J136</x:f>
        <x:v>46475</x:v>
      </x:c>
      <x:c r="I138" s="166" t="str">
        <x:f>IF(AND(I$6&lt;=$H138,I$6+6&gt;=$G138),1,"")</x:f>
      </x:c>
      <x:c r="J138" s="167" t="str">
        <x:f>IF(AND(J$6&lt;=$H138,J$6+6&gt;=$G138),1,"")</x:f>
      </x:c>
      <x:c r="K138" s="167" t="str">
        <x:f>IF(AND(K$6&lt;=$H138,K$6+6&gt;=$G138),1,"")</x:f>
      </x:c>
      <x:c r="L138" s="167" t="str">
        <x:f>IF(AND(L$6&lt;=$H138,L$6+6&gt;=$G138),1,"")</x:f>
      </x:c>
      <x:c r="M138" s="167" t="str">
        <x:f>IF(AND(M$6&lt;=$H138,M$6+6&gt;=$G138),1,"")</x:f>
      </x:c>
      <x:c r="N138" s="167" t="str">
        <x:f>IF(AND(N$6&lt;=$H138,N$6+6&gt;=$G138),1,"")</x:f>
      </x:c>
      <x:c r="O138" s="167" t="str">
        <x:f>IF(AND(O$6&lt;=$H138,O$6+6&gt;=$G138),1,"")</x:f>
      </x:c>
      <x:c r="P138" s="167" t="str">
        <x:f>IF(AND(P$6&lt;=$H138,P$6+6&gt;=$G138),1,"")</x:f>
      </x:c>
      <x:c r="Q138" s="167" t="str">
        <x:f>IF(AND(Q$6&lt;=$H138,Q$6+6&gt;=$G138),1,"")</x:f>
      </x:c>
      <x:c r="R138" s="167" t="str">
        <x:f>IF(AND(R$6&lt;=$H138,R$6+6&gt;=$G138),1,"")</x:f>
      </x:c>
      <x:c r="S138" s="167" t="str">
        <x:f>IF(AND(S$6&lt;=$H138,S$6+6&gt;=$G138),1,"")</x:f>
      </x:c>
      <x:c r="T138" s="167" t="str">
        <x:f>IF(AND(T$6&lt;=$H138,T$6+6&gt;=$G138),1,"")</x:f>
      </x:c>
      <x:c r="U138" s="167" t="str">
        <x:f>IF(AND(U$6&lt;=$H138,U$6+6&gt;=$G138),1,"")</x:f>
      </x:c>
      <x:c r="V138" s="167" t="str">
        <x:f>IF(AND(V$6&lt;=$H138,V$6+6&gt;=$G138),1,"")</x:f>
      </x:c>
      <x:c r="W138" s="167" t="str">
        <x:f>IF(AND(W$6&lt;=$H138,W$6+6&gt;=$G138),1,"")</x:f>
      </x:c>
      <x:c r="X138" s="167" t="str">
        <x:f>IF(AND(X$6&lt;=$H138,X$6+6&gt;=$G138),1,"")</x:f>
      </x:c>
      <x:c r="Y138" s="167" t="str">
        <x:f>IF(AND(Y$6&lt;=$H138,Y$6+6&gt;=$G138),1,"")</x:f>
      </x:c>
      <x:c r="Z138" s="167" t="str">
        <x:f>IF(AND(Z$6&lt;=$H138,Z$6+6&gt;=$G138),1,"")</x:f>
      </x:c>
      <x:c r="AA138" s="167" t="str">
        <x:f>IF(AND(AA$6&lt;=$H138,AA$6+6&gt;=$G138),1,"")</x:f>
      </x:c>
      <x:c r="AB138" s="167" t="str">
        <x:f>IF(AND(AB$6&lt;=$H138,AB$6+6&gt;=$G138),1,"")</x:f>
      </x:c>
      <x:c r="AC138" s="167" t="str">
        <x:f>IF(AND(AC$6&lt;=$H138,AC$6+6&gt;=$G138),1,"")</x:f>
      </x:c>
      <x:c r="AD138" s="167" t="str">
        <x:f>IF(AND(AD$6&lt;=$H138,AD$6+6&gt;=$G138),1,"")</x:f>
      </x:c>
      <x:c r="AE138" s="167" t="str">
        <x:f>IF(AND(AE$6&lt;=$H138,AE$6+6&gt;=$G138),1,"")</x:f>
      </x:c>
      <x:c r="AF138" s="167" t="str">
        <x:f>IF(AND(AF$6&lt;=$H138,AF$6+6&gt;=$G138),1,"")</x:f>
      </x:c>
      <x:c r="AG138" s="167" t="str">
        <x:f>IF(AND(AG$6&lt;=$H138,AG$6+6&gt;=$G138),1,"")</x:f>
      </x:c>
      <x:c r="AH138" s="167" t="str">
        <x:f>IF(AND(AH$6&lt;=$H138,AH$6+6&gt;=$G138),1,"")</x:f>
      </x:c>
      <x:c r="AI138" s="167" t="str">
        <x:f>IF(AND(AI$6&lt;=$H138,AI$6+6&gt;=$G138),1,"")</x:f>
      </x:c>
      <x:c r="AJ138" s="167" t="str">
        <x:f>IF(AND(AJ$6&lt;=$H138,AJ$6+6&gt;=$G138),1,"")</x:f>
      </x:c>
      <x:c r="AK138" s="167" t="str">
        <x:f>IF(AND(AK$6&lt;=$H138,AK$6+6&gt;=$G138),1,"")</x:f>
      </x:c>
      <x:c r="AL138" s="167" t="str">
        <x:f>IF(AND(AL$6&lt;=$H138,AL$6+6&gt;=$G138),1,"")</x:f>
      </x:c>
      <x:c r="AM138" s="167" t="str">
        <x:f>IF(AND(AM$6&lt;=$H138,AM$6+6&gt;=$G138),1,"")</x:f>
      </x:c>
      <x:c r="AN138" s="167" t="str">
        <x:f>IF(AND(AN$6&lt;=$H138,AN$6+6&gt;=$G138),1,"")</x:f>
      </x:c>
      <x:c r="AO138" s="167" t="str">
        <x:f>IF(AND(AO$6&lt;=$H138,AO$6+6&gt;=$G138),1,"")</x:f>
      </x:c>
      <x:c r="AP138" s="167" t="n">
        <x:f>IF(AND(AP$6&lt;=$H138,AP$6+6&gt;=$G138),1,"")</x:f>
        <x:v>1</x:v>
      </x:c>
      <x:c r="AQ138" s="167" t="n">
        <x:f>IF(AND(AQ$6&lt;=$H138,AQ$6+6&gt;=$G138),1,"")</x:f>
        <x:v>1</x:v>
      </x:c>
      <x:c r="AR138" s="167" t="str">
        <x:f>IF(AND(AR$6&lt;=$H138,AR$6+6&gt;=$G138),1,"")</x:f>
      </x:c>
      <x:c r="AS138" s="167" t="str">
        <x:f>IF(AND(AS$6&lt;=$H138,AS$6+6&gt;=$G138),1,"")</x:f>
      </x:c>
      <x:c r="AT138" s="167" t="str">
        <x:f>IF(AND(AT$6&lt;=$H138,AT$6+6&gt;=$G138),1,"")</x:f>
      </x:c>
      <x:c r="AU138" s="167" t="str">
        <x:f>IF(AND(AU$6&lt;=$H138,AU$6+6&gt;=$G138),1,"")</x:f>
      </x:c>
      <x:c r="AV138" s="167" t="str">
        <x:f>IF(AND(AV$6&lt;=$H138,AV$6+6&gt;=$G138),1,"")</x:f>
      </x:c>
      <x:c r="AW138" s="167" t="str">
        <x:f>IF(AND(AW$6&lt;=$H138,AW$6+6&gt;=$G138),1,"")</x:f>
      </x:c>
      <x:c r="AX138" s="167" t="str">
        <x:f>IF(AND(AX$6&lt;=$H138,AX$6+6&gt;=$G138),1,"")</x:f>
      </x:c>
      <x:c r="AY138" s="167" t="str">
        <x:f>IF(AND(AY$6&lt;=$H138,AY$6+6&gt;=$G138),1,"")</x:f>
      </x:c>
      <x:c r="AZ138" s="167" t="str">
        <x:f>IF(AND(AZ$6&lt;=$H138,AZ$6+6&gt;=$G138),1,"")</x:f>
      </x:c>
      <x:c r="BA138" s="167" t="str">
        <x:f>IF(AND(BA$6&lt;=$H138,BA$6+6&gt;=$G138),1,"")</x:f>
      </x:c>
      <x:c r="BB138" s="167" t="str">
        <x:f>IF(AND(BB$6&lt;=$H138,BB$6+6&gt;=$G138),1,"")</x:f>
      </x:c>
      <x:c r="BC138" s="167" t="str">
        <x:f>IF(AND(BC$6&lt;=$H138,BC$6+6&gt;=$G138),1,"")</x:f>
      </x:c>
      <x:c r="BD138" s="167" t="str">
        <x:f>IF(AND(BD$6&lt;=$H138,BD$6+6&gt;=$G138),1,"")</x:f>
      </x:c>
      <x:c r="BE138" s="167" t="str">
        <x:f>IF(AND(BE$6&lt;=$H138,BE$6+6&gt;=$G138),1,"")</x:f>
      </x:c>
      <x:c r="BF138" s="167" t="str">
        <x:f>IF(AND(BF$6&lt;=$H138,BF$6+6&gt;=$G138),1,"")</x:f>
      </x:c>
      <x:c r="BG138" s="167" t="str">
        <x:f>IF(AND(BG$6&lt;=$H138,BG$6+6&gt;=$G138),1,"")</x:f>
      </x:c>
      <x:c r="BH138" s="167" t="str">
        <x:f>IF(AND(BH$6&lt;=$H138,BH$6+6&gt;=$G138),1,"")</x:f>
      </x:c>
      <x:c r="BI138" s="167" t="str">
        <x:f>IF(AND(BI$6&lt;=$H138,BI$6+6&gt;=$G138),1,"")</x:f>
      </x:c>
      <x:c r="BJ138" s="167" t="str">
        <x:f>IF(AND(BJ$6&lt;=$H138,BJ$6+6&gt;=$G138),1,"")</x:f>
      </x:c>
      <x:c r="BK138" s="167" t="str">
        <x:f>IF(AND(BK$6&lt;=$H138,BK$6+6&gt;=$G138),1,"")</x:f>
      </x:c>
      <x:c r="BL138" s="167" t="str">
        <x:f>IF(AND(BL$6&lt;=$H138,BL$6+6&gt;=$G138),1,"")</x:f>
      </x:c>
      <x:c r="BM138" s="167" t="str">
        <x:f>IF(AND(BM$6&lt;=$H138,BM$6+6&gt;=$G138),1,"")</x:f>
      </x:c>
      <x:c r="BN138" s="167" t="str">
        <x:f>IF(AND(BN$6&lt;=$H138,BN$6+6&gt;=$G138),1,"")</x:f>
      </x:c>
      <x:c r="BO138" s="168" t="str">
        <x:f>IF(AND(BO$6&lt;=$H138,BO$6+6&gt;=$G138),1,"")</x:f>
      </x:c>
    </x:row>
    <x:row r="139" ht="24" customHeight="1">
      <x:c r="A139" s="68" t="str">
        <x:f>'Task Register'!A137</x:f>
        <x:v>T-712</x:v>
      </x:c>
      <x:c r="B139" s="68" t="str">
        <x:f>'Task Register'!B137</x:f>
        <x:v>M7</x:v>
      </x:c>
      <x:c r="C139" s="68" t="str">
        <x:f>'Task Register'!C137</x:f>
        <x:v>Sensors/Calibration</x:v>
      </x:c>
      <x:c r="D139" s="68" t="str">
        <x:f>'Task Register'!D137</x:f>
        <x:v>Validate physical sensors and fixed-camera observations</x:v>
      </x:c>
      <x:c r="E139" s="68" t="str">
        <x:f>'Task Register'!E137</x:f>
        <x:v>AI-201, T-509, T-706, T-709</x:v>
      </x:c>
      <x:c r="F139" s="68" t="str">
        <x:f>'Task Register'!F137</x:f>
        <x:v>Blocked</x:v>
      </x:c>
      <x:c r="G139" s="94" t="n">
        <x:f>'Task Register'!I137</x:f>
        <x:v>46476</x:v>
      </x:c>
      <x:c r="H139" s="94" t="n">
        <x:f>'Task Register'!J137</x:f>
        <x:v>46482</x:v>
      </x:c>
      <x:c r="I139" s="166" t="str">
        <x:f>IF(AND(I$6&lt;=$H139,I$6+6&gt;=$G139),1,"")</x:f>
      </x:c>
      <x:c r="J139" s="167" t="str">
        <x:f>IF(AND(J$6&lt;=$H139,J$6+6&gt;=$G139),1,"")</x:f>
      </x:c>
      <x:c r="K139" s="167" t="str">
        <x:f>IF(AND(K$6&lt;=$H139,K$6+6&gt;=$G139),1,"")</x:f>
      </x:c>
      <x:c r="L139" s="167" t="str">
        <x:f>IF(AND(L$6&lt;=$H139,L$6+6&gt;=$G139),1,"")</x:f>
      </x:c>
      <x:c r="M139" s="167" t="str">
        <x:f>IF(AND(M$6&lt;=$H139,M$6+6&gt;=$G139),1,"")</x:f>
      </x:c>
      <x:c r="N139" s="167" t="str">
        <x:f>IF(AND(N$6&lt;=$H139,N$6+6&gt;=$G139),1,"")</x:f>
      </x:c>
      <x:c r="O139" s="167" t="str">
        <x:f>IF(AND(O$6&lt;=$H139,O$6+6&gt;=$G139),1,"")</x:f>
      </x:c>
      <x:c r="P139" s="167" t="str">
        <x:f>IF(AND(P$6&lt;=$H139,P$6+6&gt;=$G139),1,"")</x:f>
      </x:c>
      <x:c r="Q139" s="167" t="str">
        <x:f>IF(AND(Q$6&lt;=$H139,Q$6+6&gt;=$G139),1,"")</x:f>
      </x:c>
      <x:c r="R139" s="167" t="str">
        <x:f>IF(AND(R$6&lt;=$H139,R$6+6&gt;=$G139),1,"")</x:f>
      </x:c>
      <x:c r="S139" s="167" t="str">
        <x:f>IF(AND(S$6&lt;=$H139,S$6+6&gt;=$G139),1,"")</x:f>
      </x:c>
      <x:c r="T139" s="167" t="str">
        <x:f>IF(AND(T$6&lt;=$H139,T$6+6&gt;=$G139),1,"")</x:f>
      </x:c>
      <x:c r="U139" s="167" t="str">
        <x:f>IF(AND(U$6&lt;=$H139,U$6+6&gt;=$G139),1,"")</x:f>
      </x:c>
      <x:c r="V139" s="167" t="str">
        <x:f>IF(AND(V$6&lt;=$H139,V$6+6&gt;=$G139),1,"")</x:f>
      </x:c>
      <x:c r="W139" s="167" t="str">
        <x:f>IF(AND(W$6&lt;=$H139,W$6+6&gt;=$G139),1,"")</x:f>
      </x:c>
      <x:c r="X139" s="167" t="str">
        <x:f>IF(AND(X$6&lt;=$H139,X$6+6&gt;=$G139),1,"")</x:f>
      </x:c>
      <x:c r="Y139" s="167" t="str">
        <x:f>IF(AND(Y$6&lt;=$H139,Y$6+6&gt;=$G139),1,"")</x:f>
      </x:c>
      <x:c r="Z139" s="167" t="str">
        <x:f>IF(AND(Z$6&lt;=$H139,Z$6+6&gt;=$G139),1,"")</x:f>
      </x:c>
      <x:c r="AA139" s="167" t="str">
        <x:f>IF(AND(AA$6&lt;=$H139,AA$6+6&gt;=$G139),1,"")</x:f>
      </x:c>
      <x:c r="AB139" s="167" t="str">
        <x:f>IF(AND(AB$6&lt;=$H139,AB$6+6&gt;=$G139),1,"")</x:f>
      </x:c>
      <x:c r="AC139" s="167" t="str">
        <x:f>IF(AND(AC$6&lt;=$H139,AC$6+6&gt;=$G139),1,"")</x:f>
      </x:c>
      <x:c r="AD139" s="167" t="str">
        <x:f>IF(AND(AD$6&lt;=$H139,AD$6+6&gt;=$G139),1,"")</x:f>
      </x:c>
      <x:c r="AE139" s="167" t="str">
        <x:f>IF(AND(AE$6&lt;=$H139,AE$6+6&gt;=$G139),1,"")</x:f>
      </x:c>
      <x:c r="AF139" s="167" t="str">
        <x:f>IF(AND(AF$6&lt;=$H139,AF$6+6&gt;=$G139),1,"")</x:f>
      </x:c>
      <x:c r="AG139" s="167" t="str">
        <x:f>IF(AND(AG$6&lt;=$H139,AG$6+6&gt;=$G139),1,"")</x:f>
      </x:c>
      <x:c r="AH139" s="167" t="str">
        <x:f>IF(AND(AH$6&lt;=$H139,AH$6+6&gt;=$G139),1,"")</x:f>
      </x:c>
      <x:c r="AI139" s="167" t="str">
        <x:f>IF(AND(AI$6&lt;=$H139,AI$6+6&gt;=$G139),1,"")</x:f>
      </x:c>
      <x:c r="AJ139" s="167" t="str">
        <x:f>IF(AND(AJ$6&lt;=$H139,AJ$6+6&gt;=$G139),1,"")</x:f>
      </x:c>
      <x:c r="AK139" s="167" t="str">
        <x:f>IF(AND(AK$6&lt;=$H139,AK$6+6&gt;=$G139),1,"")</x:f>
      </x:c>
      <x:c r="AL139" s="167" t="str">
        <x:f>IF(AND(AL$6&lt;=$H139,AL$6+6&gt;=$G139),1,"")</x:f>
      </x:c>
      <x:c r="AM139" s="167" t="str">
        <x:f>IF(AND(AM$6&lt;=$H139,AM$6+6&gt;=$G139),1,"")</x:f>
      </x:c>
      <x:c r="AN139" s="167" t="str">
        <x:f>IF(AND(AN$6&lt;=$H139,AN$6+6&gt;=$G139),1,"")</x:f>
      </x:c>
      <x:c r="AO139" s="167" t="str">
        <x:f>IF(AND(AO$6&lt;=$H139,AO$6+6&gt;=$G139),1,"")</x:f>
      </x:c>
      <x:c r="AP139" s="167" t="str">
        <x:f>IF(AND(AP$6&lt;=$H139,AP$6+6&gt;=$G139),1,"")</x:f>
      </x:c>
      <x:c r="AQ139" s="167" t="n">
        <x:f>IF(AND(AQ$6&lt;=$H139,AQ$6+6&gt;=$G139),1,"")</x:f>
        <x:v>1</x:v>
      </x:c>
      <x:c r="AR139" s="167" t="n">
        <x:f>IF(AND(AR$6&lt;=$H139,AR$6+6&gt;=$G139),1,"")</x:f>
        <x:v>1</x:v>
      </x:c>
      <x:c r="AS139" s="167" t="str">
        <x:f>IF(AND(AS$6&lt;=$H139,AS$6+6&gt;=$G139),1,"")</x:f>
      </x:c>
      <x:c r="AT139" s="167" t="str">
        <x:f>IF(AND(AT$6&lt;=$H139,AT$6+6&gt;=$G139),1,"")</x:f>
      </x:c>
      <x:c r="AU139" s="167" t="str">
        <x:f>IF(AND(AU$6&lt;=$H139,AU$6+6&gt;=$G139),1,"")</x:f>
      </x:c>
      <x:c r="AV139" s="167" t="str">
        <x:f>IF(AND(AV$6&lt;=$H139,AV$6+6&gt;=$G139),1,"")</x:f>
      </x:c>
      <x:c r="AW139" s="167" t="str">
        <x:f>IF(AND(AW$6&lt;=$H139,AW$6+6&gt;=$G139),1,"")</x:f>
      </x:c>
      <x:c r="AX139" s="167" t="str">
        <x:f>IF(AND(AX$6&lt;=$H139,AX$6+6&gt;=$G139),1,"")</x:f>
      </x:c>
      <x:c r="AY139" s="167" t="str">
        <x:f>IF(AND(AY$6&lt;=$H139,AY$6+6&gt;=$G139),1,"")</x:f>
      </x:c>
      <x:c r="AZ139" s="167" t="str">
        <x:f>IF(AND(AZ$6&lt;=$H139,AZ$6+6&gt;=$G139),1,"")</x:f>
      </x:c>
      <x:c r="BA139" s="167" t="str">
        <x:f>IF(AND(BA$6&lt;=$H139,BA$6+6&gt;=$G139),1,"")</x:f>
      </x:c>
      <x:c r="BB139" s="167" t="str">
        <x:f>IF(AND(BB$6&lt;=$H139,BB$6+6&gt;=$G139),1,"")</x:f>
      </x:c>
      <x:c r="BC139" s="167" t="str">
        <x:f>IF(AND(BC$6&lt;=$H139,BC$6+6&gt;=$G139),1,"")</x:f>
      </x:c>
      <x:c r="BD139" s="167" t="str">
        <x:f>IF(AND(BD$6&lt;=$H139,BD$6+6&gt;=$G139),1,"")</x:f>
      </x:c>
      <x:c r="BE139" s="167" t="str">
        <x:f>IF(AND(BE$6&lt;=$H139,BE$6+6&gt;=$G139),1,"")</x:f>
      </x:c>
      <x:c r="BF139" s="167" t="str">
        <x:f>IF(AND(BF$6&lt;=$H139,BF$6+6&gt;=$G139),1,"")</x:f>
      </x:c>
      <x:c r="BG139" s="167" t="str">
        <x:f>IF(AND(BG$6&lt;=$H139,BG$6+6&gt;=$G139),1,"")</x:f>
      </x:c>
      <x:c r="BH139" s="167" t="str">
        <x:f>IF(AND(BH$6&lt;=$H139,BH$6+6&gt;=$G139),1,"")</x:f>
      </x:c>
      <x:c r="BI139" s="167" t="str">
        <x:f>IF(AND(BI$6&lt;=$H139,BI$6+6&gt;=$G139),1,"")</x:f>
      </x:c>
      <x:c r="BJ139" s="167" t="str">
        <x:f>IF(AND(BJ$6&lt;=$H139,BJ$6+6&gt;=$G139),1,"")</x:f>
      </x:c>
      <x:c r="BK139" s="167" t="str">
        <x:f>IF(AND(BK$6&lt;=$H139,BK$6+6&gt;=$G139),1,"")</x:f>
      </x:c>
      <x:c r="BL139" s="167" t="str">
        <x:f>IF(AND(BL$6&lt;=$H139,BL$6+6&gt;=$G139),1,"")</x:f>
      </x:c>
      <x:c r="BM139" s="167" t="str">
        <x:f>IF(AND(BM$6&lt;=$H139,BM$6+6&gt;=$G139),1,"")</x:f>
      </x:c>
      <x:c r="BN139" s="167" t="str">
        <x:f>IF(AND(BN$6&lt;=$H139,BN$6+6&gt;=$G139),1,"")</x:f>
      </x:c>
      <x:c r="BO139" s="168" t="str">
        <x:f>IF(AND(BO$6&lt;=$H139,BO$6+6&gt;=$G139),1,"")</x:f>
      </x:c>
    </x:row>
    <x:row r="140" ht="24" customHeight="1">
      <x:c r="A140" s="68" t="str">
        <x:f>'Task Register'!A138</x:f>
        <x:v>T-713</x:v>
      </x:c>
      <x:c r="B140" s="68" t="str">
        <x:f>'Task Register'!B138</x:f>
        <x:v>M7</x:v>
      </x:c>
      <x:c r="C140" s="68" t="str">
        <x:f>'Task Register'!C138</x:f>
        <x:v>Runtime/Hardware</x:v>
      </x:c>
      <x:c r="D140" s="68" t="str">
        <x:f>'Task Register'!D138</x:f>
        <x:v>Implement the hardware backend and provenance path</x:v>
      </x:c>
      <x:c r="E140" s="68" t="str">
        <x:f>'Task Register'!E138</x:f>
        <x:v>T-103, T-401, T-705, T-709, T-712</x:v>
      </x:c>
      <x:c r="F140" s="68" t="str">
        <x:f>'Task Register'!F138</x:f>
        <x:v>Blocked</x:v>
      </x:c>
      <x:c r="G140" s="94" t="n">
        <x:f>'Task Register'!I138</x:f>
        <x:v>46483</x:v>
      </x:c>
      <x:c r="H140" s="94" t="n">
        <x:f>'Task Register'!J138</x:f>
        <x:v>46491</x:v>
      </x:c>
      <x:c r="I140" s="166" t="str">
        <x:f>IF(AND(I$6&lt;=$H140,I$6+6&gt;=$G140),1,"")</x:f>
      </x:c>
      <x:c r="J140" s="167" t="str">
        <x:f>IF(AND(J$6&lt;=$H140,J$6+6&gt;=$G140),1,"")</x:f>
      </x:c>
      <x:c r="K140" s="167" t="str">
        <x:f>IF(AND(K$6&lt;=$H140,K$6+6&gt;=$G140),1,"")</x:f>
      </x:c>
      <x:c r="L140" s="167" t="str">
        <x:f>IF(AND(L$6&lt;=$H140,L$6+6&gt;=$G140),1,"")</x:f>
      </x:c>
      <x:c r="M140" s="167" t="str">
        <x:f>IF(AND(M$6&lt;=$H140,M$6+6&gt;=$G140),1,"")</x:f>
      </x:c>
      <x:c r="N140" s="167" t="str">
        <x:f>IF(AND(N$6&lt;=$H140,N$6+6&gt;=$G140),1,"")</x:f>
      </x:c>
      <x:c r="O140" s="167" t="str">
        <x:f>IF(AND(O$6&lt;=$H140,O$6+6&gt;=$G140),1,"")</x:f>
      </x:c>
      <x:c r="P140" s="167" t="str">
        <x:f>IF(AND(P$6&lt;=$H140,P$6+6&gt;=$G140),1,"")</x:f>
      </x:c>
      <x:c r="Q140" s="167" t="str">
        <x:f>IF(AND(Q$6&lt;=$H140,Q$6+6&gt;=$G140),1,"")</x:f>
      </x:c>
      <x:c r="R140" s="167" t="str">
        <x:f>IF(AND(R$6&lt;=$H140,R$6+6&gt;=$G140),1,"")</x:f>
      </x:c>
      <x:c r="S140" s="167" t="str">
        <x:f>IF(AND(S$6&lt;=$H140,S$6+6&gt;=$G140),1,"")</x:f>
      </x:c>
      <x:c r="T140" s="167" t="str">
        <x:f>IF(AND(T$6&lt;=$H140,T$6+6&gt;=$G140),1,"")</x:f>
      </x:c>
      <x:c r="U140" s="167" t="str">
        <x:f>IF(AND(U$6&lt;=$H140,U$6+6&gt;=$G140),1,"")</x:f>
      </x:c>
      <x:c r="V140" s="167" t="str">
        <x:f>IF(AND(V$6&lt;=$H140,V$6+6&gt;=$G140),1,"")</x:f>
      </x:c>
      <x:c r="W140" s="167" t="str">
        <x:f>IF(AND(W$6&lt;=$H140,W$6+6&gt;=$G140),1,"")</x:f>
      </x:c>
      <x:c r="X140" s="167" t="str">
        <x:f>IF(AND(X$6&lt;=$H140,X$6+6&gt;=$G140),1,"")</x:f>
      </x:c>
      <x:c r="Y140" s="167" t="str">
        <x:f>IF(AND(Y$6&lt;=$H140,Y$6+6&gt;=$G140),1,"")</x:f>
      </x:c>
      <x:c r="Z140" s="167" t="str">
        <x:f>IF(AND(Z$6&lt;=$H140,Z$6+6&gt;=$G140),1,"")</x:f>
      </x:c>
      <x:c r="AA140" s="167" t="str">
        <x:f>IF(AND(AA$6&lt;=$H140,AA$6+6&gt;=$G140),1,"")</x:f>
      </x:c>
      <x:c r="AB140" s="167" t="str">
        <x:f>IF(AND(AB$6&lt;=$H140,AB$6+6&gt;=$G140),1,"")</x:f>
      </x:c>
      <x:c r="AC140" s="167" t="str">
        <x:f>IF(AND(AC$6&lt;=$H140,AC$6+6&gt;=$G140),1,"")</x:f>
      </x:c>
      <x:c r="AD140" s="167" t="str">
        <x:f>IF(AND(AD$6&lt;=$H140,AD$6+6&gt;=$G140),1,"")</x:f>
      </x:c>
      <x:c r="AE140" s="167" t="str">
        <x:f>IF(AND(AE$6&lt;=$H140,AE$6+6&gt;=$G140),1,"")</x:f>
      </x:c>
      <x:c r="AF140" s="167" t="str">
        <x:f>IF(AND(AF$6&lt;=$H140,AF$6+6&gt;=$G140),1,"")</x:f>
      </x:c>
      <x:c r="AG140" s="167" t="str">
        <x:f>IF(AND(AG$6&lt;=$H140,AG$6+6&gt;=$G140),1,"")</x:f>
      </x:c>
      <x:c r="AH140" s="167" t="str">
        <x:f>IF(AND(AH$6&lt;=$H140,AH$6+6&gt;=$G140),1,"")</x:f>
      </x:c>
      <x:c r="AI140" s="167" t="str">
        <x:f>IF(AND(AI$6&lt;=$H140,AI$6+6&gt;=$G140),1,"")</x:f>
      </x:c>
      <x:c r="AJ140" s="167" t="str">
        <x:f>IF(AND(AJ$6&lt;=$H140,AJ$6+6&gt;=$G140),1,"")</x:f>
      </x:c>
      <x:c r="AK140" s="167" t="str">
        <x:f>IF(AND(AK$6&lt;=$H140,AK$6+6&gt;=$G140),1,"")</x:f>
      </x:c>
      <x:c r="AL140" s="167" t="str">
        <x:f>IF(AND(AL$6&lt;=$H140,AL$6+6&gt;=$G140),1,"")</x:f>
      </x:c>
      <x:c r="AM140" s="167" t="str">
        <x:f>IF(AND(AM$6&lt;=$H140,AM$6+6&gt;=$G140),1,"")</x:f>
      </x:c>
      <x:c r="AN140" s="167" t="str">
        <x:f>IF(AND(AN$6&lt;=$H140,AN$6+6&gt;=$G140),1,"")</x:f>
      </x:c>
      <x:c r="AO140" s="167" t="str">
        <x:f>IF(AND(AO$6&lt;=$H140,AO$6+6&gt;=$G140),1,"")</x:f>
      </x:c>
      <x:c r="AP140" s="167" t="str">
        <x:f>IF(AND(AP$6&lt;=$H140,AP$6+6&gt;=$G140),1,"")</x:f>
      </x:c>
      <x:c r="AQ140" s="167" t="str">
        <x:f>IF(AND(AQ$6&lt;=$H140,AQ$6+6&gt;=$G140),1,"")</x:f>
      </x:c>
      <x:c r="AR140" s="167" t="n">
        <x:f>IF(AND(AR$6&lt;=$H140,AR$6+6&gt;=$G140),1,"")</x:f>
        <x:v>1</x:v>
      </x:c>
      <x:c r="AS140" s="167" t="n">
        <x:f>IF(AND(AS$6&lt;=$H140,AS$6+6&gt;=$G140),1,"")</x:f>
        <x:v>1</x:v>
      </x:c>
      <x:c r="AT140" s="167" t="str">
        <x:f>IF(AND(AT$6&lt;=$H140,AT$6+6&gt;=$G140),1,"")</x:f>
      </x:c>
      <x:c r="AU140" s="167" t="str">
        <x:f>IF(AND(AU$6&lt;=$H140,AU$6+6&gt;=$G140),1,"")</x:f>
      </x:c>
      <x:c r="AV140" s="167" t="str">
        <x:f>IF(AND(AV$6&lt;=$H140,AV$6+6&gt;=$G140),1,"")</x:f>
      </x:c>
      <x:c r="AW140" s="167" t="str">
        <x:f>IF(AND(AW$6&lt;=$H140,AW$6+6&gt;=$G140),1,"")</x:f>
      </x:c>
      <x:c r="AX140" s="167" t="str">
        <x:f>IF(AND(AX$6&lt;=$H140,AX$6+6&gt;=$G140),1,"")</x:f>
      </x:c>
      <x:c r="AY140" s="167" t="str">
        <x:f>IF(AND(AY$6&lt;=$H140,AY$6+6&gt;=$G140),1,"")</x:f>
      </x:c>
      <x:c r="AZ140" s="167" t="str">
        <x:f>IF(AND(AZ$6&lt;=$H140,AZ$6+6&gt;=$G140),1,"")</x:f>
      </x:c>
      <x:c r="BA140" s="167" t="str">
        <x:f>IF(AND(BA$6&lt;=$H140,BA$6+6&gt;=$G140),1,"")</x:f>
      </x:c>
      <x:c r="BB140" s="167" t="str">
        <x:f>IF(AND(BB$6&lt;=$H140,BB$6+6&gt;=$G140),1,"")</x:f>
      </x:c>
      <x:c r="BC140" s="167" t="str">
        <x:f>IF(AND(BC$6&lt;=$H140,BC$6+6&gt;=$G140),1,"")</x:f>
      </x:c>
      <x:c r="BD140" s="167" t="str">
        <x:f>IF(AND(BD$6&lt;=$H140,BD$6+6&gt;=$G140),1,"")</x:f>
      </x:c>
      <x:c r="BE140" s="167" t="str">
        <x:f>IF(AND(BE$6&lt;=$H140,BE$6+6&gt;=$G140),1,"")</x:f>
      </x:c>
      <x:c r="BF140" s="167" t="str">
        <x:f>IF(AND(BF$6&lt;=$H140,BF$6+6&gt;=$G140),1,"")</x:f>
      </x:c>
      <x:c r="BG140" s="167" t="str">
        <x:f>IF(AND(BG$6&lt;=$H140,BG$6+6&gt;=$G140),1,"")</x:f>
      </x:c>
      <x:c r="BH140" s="167" t="str">
        <x:f>IF(AND(BH$6&lt;=$H140,BH$6+6&gt;=$G140),1,"")</x:f>
      </x:c>
      <x:c r="BI140" s="167" t="str">
        <x:f>IF(AND(BI$6&lt;=$H140,BI$6+6&gt;=$G140),1,"")</x:f>
      </x:c>
      <x:c r="BJ140" s="167" t="str">
        <x:f>IF(AND(BJ$6&lt;=$H140,BJ$6+6&gt;=$G140),1,"")</x:f>
      </x:c>
      <x:c r="BK140" s="167" t="str">
        <x:f>IF(AND(BK$6&lt;=$H140,BK$6+6&gt;=$G140),1,"")</x:f>
      </x:c>
      <x:c r="BL140" s="167" t="str">
        <x:f>IF(AND(BL$6&lt;=$H140,BL$6+6&gt;=$G140),1,"")</x:f>
      </x:c>
      <x:c r="BM140" s="167" t="str">
        <x:f>IF(AND(BM$6&lt;=$H140,BM$6+6&gt;=$G140),1,"")</x:f>
      </x:c>
      <x:c r="BN140" s="167" t="str">
        <x:f>IF(AND(BN$6&lt;=$H140,BN$6+6&gt;=$G140),1,"")</x:f>
      </x:c>
      <x:c r="BO140" s="168" t="str">
        <x:f>IF(AND(BO$6&lt;=$H140,BO$6+6&gt;=$G140),1,"")</x:f>
      </x:c>
    </x:row>
    <x:row r="141" ht="24" customHeight="1">
      <x:c r="A141" s="68" t="str">
        <x:f>'Task Register'!A139</x:f>
        <x:v>T-714</x:v>
      </x:c>
      <x:c r="B141" s="68" t="str">
        <x:f>'Task Register'!B139</x:f>
        <x:v>M7</x:v>
      </x:c>
      <x:c r="C141" s="68" t="str">
        <x:f>'Task Register'!C139</x:f>
        <x:v>Safety Validation</x:v>
      </x:c>
      <x:c r="D141" s="68" t="str">
        <x:f>'Task Register'!D139</x:f>
        <x:v>Run fault-injection and recovery tests</x:v>
      </x:c>
      <x:c r="E141" s="68" t="str">
        <x:f>'Task Register'!E139</x:f>
        <x:v>T-703, T-705, T-709, T-713</x:v>
      </x:c>
      <x:c r="F141" s="68" t="str">
        <x:f>'Task Register'!F139</x:f>
        <x:v>Blocked</x:v>
      </x:c>
      <x:c r="G141" s="94" t="n">
        <x:f>'Task Register'!I139</x:f>
        <x:v>46492</x:v>
      </x:c>
      <x:c r="H141" s="94" t="n">
        <x:f>'Task Register'!J139</x:f>
        <x:v>46497</x:v>
      </x:c>
      <x:c r="I141" s="166" t="str">
        <x:f>IF(AND(I$6&lt;=$H141,I$6+6&gt;=$G141),1,"")</x:f>
      </x:c>
      <x:c r="J141" s="167" t="str">
        <x:f>IF(AND(J$6&lt;=$H141,J$6+6&gt;=$G141),1,"")</x:f>
      </x:c>
      <x:c r="K141" s="167" t="str">
        <x:f>IF(AND(K$6&lt;=$H141,K$6+6&gt;=$G141),1,"")</x:f>
      </x:c>
      <x:c r="L141" s="167" t="str">
        <x:f>IF(AND(L$6&lt;=$H141,L$6+6&gt;=$G141),1,"")</x:f>
      </x:c>
      <x:c r="M141" s="167" t="str">
        <x:f>IF(AND(M$6&lt;=$H141,M$6+6&gt;=$G141),1,"")</x:f>
      </x:c>
      <x:c r="N141" s="167" t="str">
        <x:f>IF(AND(N$6&lt;=$H141,N$6+6&gt;=$G141),1,"")</x:f>
      </x:c>
      <x:c r="O141" s="167" t="str">
        <x:f>IF(AND(O$6&lt;=$H141,O$6+6&gt;=$G141),1,"")</x:f>
      </x:c>
      <x:c r="P141" s="167" t="str">
        <x:f>IF(AND(P$6&lt;=$H141,P$6+6&gt;=$G141),1,"")</x:f>
      </x:c>
      <x:c r="Q141" s="167" t="str">
        <x:f>IF(AND(Q$6&lt;=$H141,Q$6+6&gt;=$G141),1,"")</x:f>
      </x:c>
      <x:c r="R141" s="167" t="str">
        <x:f>IF(AND(R$6&lt;=$H141,R$6+6&gt;=$G141),1,"")</x:f>
      </x:c>
      <x:c r="S141" s="167" t="str">
        <x:f>IF(AND(S$6&lt;=$H141,S$6+6&gt;=$G141),1,"")</x:f>
      </x:c>
      <x:c r="T141" s="167" t="str">
        <x:f>IF(AND(T$6&lt;=$H141,T$6+6&gt;=$G141),1,"")</x:f>
      </x:c>
      <x:c r="U141" s="167" t="str">
        <x:f>IF(AND(U$6&lt;=$H141,U$6+6&gt;=$G141),1,"")</x:f>
      </x:c>
      <x:c r="V141" s="167" t="str">
        <x:f>IF(AND(V$6&lt;=$H141,V$6+6&gt;=$G141),1,"")</x:f>
      </x:c>
      <x:c r="W141" s="167" t="str">
        <x:f>IF(AND(W$6&lt;=$H141,W$6+6&gt;=$G141),1,"")</x:f>
      </x:c>
      <x:c r="X141" s="167" t="str">
        <x:f>IF(AND(X$6&lt;=$H141,X$6+6&gt;=$G141),1,"")</x:f>
      </x:c>
      <x:c r="Y141" s="167" t="str">
        <x:f>IF(AND(Y$6&lt;=$H141,Y$6+6&gt;=$G141),1,"")</x:f>
      </x:c>
      <x:c r="Z141" s="167" t="str">
        <x:f>IF(AND(Z$6&lt;=$H141,Z$6+6&gt;=$G141),1,"")</x:f>
      </x:c>
      <x:c r="AA141" s="167" t="str">
        <x:f>IF(AND(AA$6&lt;=$H141,AA$6+6&gt;=$G141),1,"")</x:f>
      </x:c>
      <x:c r="AB141" s="167" t="str">
        <x:f>IF(AND(AB$6&lt;=$H141,AB$6+6&gt;=$G141),1,"")</x:f>
      </x:c>
      <x:c r="AC141" s="167" t="str">
        <x:f>IF(AND(AC$6&lt;=$H141,AC$6+6&gt;=$G141),1,"")</x:f>
      </x:c>
      <x:c r="AD141" s="167" t="str">
        <x:f>IF(AND(AD$6&lt;=$H141,AD$6+6&gt;=$G141),1,"")</x:f>
      </x:c>
      <x:c r="AE141" s="167" t="str">
        <x:f>IF(AND(AE$6&lt;=$H141,AE$6+6&gt;=$G141),1,"")</x:f>
      </x:c>
      <x:c r="AF141" s="167" t="str">
        <x:f>IF(AND(AF$6&lt;=$H141,AF$6+6&gt;=$G141),1,"")</x:f>
      </x:c>
      <x:c r="AG141" s="167" t="str">
        <x:f>IF(AND(AG$6&lt;=$H141,AG$6+6&gt;=$G141),1,"")</x:f>
      </x:c>
      <x:c r="AH141" s="167" t="str">
        <x:f>IF(AND(AH$6&lt;=$H141,AH$6+6&gt;=$G141),1,"")</x:f>
      </x:c>
      <x:c r="AI141" s="167" t="str">
        <x:f>IF(AND(AI$6&lt;=$H141,AI$6+6&gt;=$G141),1,"")</x:f>
      </x:c>
      <x:c r="AJ141" s="167" t="str">
        <x:f>IF(AND(AJ$6&lt;=$H141,AJ$6+6&gt;=$G141),1,"")</x:f>
      </x:c>
      <x:c r="AK141" s="167" t="str">
        <x:f>IF(AND(AK$6&lt;=$H141,AK$6+6&gt;=$G141),1,"")</x:f>
      </x:c>
      <x:c r="AL141" s="167" t="str">
        <x:f>IF(AND(AL$6&lt;=$H141,AL$6+6&gt;=$G141),1,"")</x:f>
      </x:c>
      <x:c r="AM141" s="167" t="str">
        <x:f>IF(AND(AM$6&lt;=$H141,AM$6+6&gt;=$G141),1,"")</x:f>
      </x:c>
      <x:c r="AN141" s="167" t="str">
        <x:f>IF(AND(AN$6&lt;=$H141,AN$6+6&gt;=$G141),1,"")</x:f>
      </x:c>
      <x:c r="AO141" s="167" t="str">
        <x:f>IF(AND(AO$6&lt;=$H141,AO$6+6&gt;=$G141),1,"")</x:f>
      </x:c>
      <x:c r="AP141" s="167" t="str">
        <x:f>IF(AND(AP$6&lt;=$H141,AP$6+6&gt;=$G141),1,"")</x:f>
      </x:c>
      <x:c r="AQ141" s="167" t="str">
        <x:f>IF(AND(AQ$6&lt;=$H141,AQ$6+6&gt;=$G141),1,"")</x:f>
      </x:c>
      <x:c r="AR141" s="167" t="str">
        <x:f>IF(AND(AR$6&lt;=$H141,AR$6+6&gt;=$G141),1,"")</x:f>
      </x:c>
      <x:c r="AS141" s="167" t="n">
        <x:f>IF(AND(AS$6&lt;=$H141,AS$6+6&gt;=$G141),1,"")</x:f>
        <x:v>1</x:v>
      </x:c>
      <x:c r="AT141" s="167" t="n">
        <x:f>IF(AND(AT$6&lt;=$H141,AT$6+6&gt;=$G141),1,"")</x:f>
        <x:v>1</x:v>
      </x:c>
      <x:c r="AU141" s="167" t="str">
        <x:f>IF(AND(AU$6&lt;=$H141,AU$6+6&gt;=$G141),1,"")</x:f>
      </x:c>
      <x:c r="AV141" s="167" t="str">
        <x:f>IF(AND(AV$6&lt;=$H141,AV$6+6&gt;=$G141),1,"")</x:f>
      </x:c>
      <x:c r="AW141" s="167" t="str">
        <x:f>IF(AND(AW$6&lt;=$H141,AW$6+6&gt;=$G141),1,"")</x:f>
      </x:c>
      <x:c r="AX141" s="167" t="str">
        <x:f>IF(AND(AX$6&lt;=$H141,AX$6+6&gt;=$G141),1,"")</x:f>
      </x:c>
      <x:c r="AY141" s="167" t="str">
        <x:f>IF(AND(AY$6&lt;=$H141,AY$6+6&gt;=$G141),1,"")</x:f>
      </x:c>
      <x:c r="AZ141" s="167" t="str">
        <x:f>IF(AND(AZ$6&lt;=$H141,AZ$6+6&gt;=$G141),1,"")</x:f>
      </x:c>
      <x:c r="BA141" s="167" t="str">
        <x:f>IF(AND(BA$6&lt;=$H141,BA$6+6&gt;=$G141),1,"")</x:f>
      </x:c>
      <x:c r="BB141" s="167" t="str">
        <x:f>IF(AND(BB$6&lt;=$H141,BB$6+6&gt;=$G141),1,"")</x:f>
      </x:c>
      <x:c r="BC141" s="167" t="str">
        <x:f>IF(AND(BC$6&lt;=$H141,BC$6+6&gt;=$G141),1,"")</x:f>
      </x:c>
      <x:c r="BD141" s="167" t="str">
        <x:f>IF(AND(BD$6&lt;=$H141,BD$6+6&gt;=$G141),1,"")</x:f>
      </x:c>
      <x:c r="BE141" s="167" t="str">
        <x:f>IF(AND(BE$6&lt;=$H141,BE$6+6&gt;=$G141),1,"")</x:f>
      </x:c>
      <x:c r="BF141" s="167" t="str">
        <x:f>IF(AND(BF$6&lt;=$H141,BF$6+6&gt;=$G141),1,"")</x:f>
      </x:c>
      <x:c r="BG141" s="167" t="str">
        <x:f>IF(AND(BG$6&lt;=$H141,BG$6+6&gt;=$G141),1,"")</x:f>
      </x:c>
      <x:c r="BH141" s="167" t="str">
        <x:f>IF(AND(BH$6&lt;=$H141,BH$6+6&gt;=$G141),1,"")</x:f>
      </x:c>
      <x:c r="BI141" s="167" t="str">
        <x:f>IF(AND(BI$6&lt;=$H141,BI$6+6&gt;=$G141),1,"")</x:f>
      </x:c>
      <x:c r="BJ141" s="167" t="str">
        <x:f>IF(AND(BJ$6&lt;=$H141,BJ$6+6&gt;=$G141),1,"")</x:f>
      </x:c>
      <x:c r="BK141" s="167" t="str">
        <x:f>IF(AND(BK$6&lt;=$H141,BK$6+6&gt;=$G141),1,"")</x:f>
      </x:c>
      <x:c r="BL141" s="167" t="str">
        <x:f>IF(AND(BL$6&lt;=$H141,BL$6+6&gt;=$G141),1,"")</x:f>
      </x:c>
      <x:c r="BM141" s="167" t="str">
        <x:f>IF(AND(BM$6&lt;=$H141,BM$6+6&gt;=$G141),1,"")</x:f>
      </x:c>
      <x:c r="BN141" s="167" t="str">
        <x:f>IF(AND(BN$6&lt;=$H141,BN$6+6&gt;=$G141),1,"")</x:f>
      </x:c>
      <x:c r="BO141" s="168" t="str">
        <x:f>IF(AND(BO$6&lt;=$H141,BO$6+6&gt;=$G141),1,"")</x:f>
      </x:c>
    </x:row>
    <x:row r="142" ht="24" customHeight="1">
      <x:c r="A142" s="68" t="str">
        <x:f>'Task Register'!A140</x:f>
        <x:v>T-715</x:v>
      </x:c>
      <x:c r="B142" s="68" t="str">
        <x:f>'Task Register'!B140</x:f>
        <x:v>M7</x:v>
      </x:c>
      <x:c r="C142" s="68" t="str">
        <x:f>'Task Register'!C140</x:f>
        <x:v>Hardware Validation/Painting</x:v>
      </x:c>
      <x:c r="D142" s="68" t="str">
        <x:f>'Task Register'!D140</x:f>
        <x:v>Conduct supervised wet painting trials</x:v>
      </x:c>
      <x:c r="E142" s="68" t="str">
        <x:f>'Task Register'!E140</x:f>
        <x:v>T-710, T-711, T-712, T-714</x:v>
      </x:c>
      <x:c r="F142" s="68" t="str">
        <x:f>'Task Register'!F140</x:f>
        <x:v>Blocked</x:v>
      </x:c>
      <x:c r="G142" s="94" t="n">
        <x:f>'Task Register'!I140</x:f>
        <x:v>46498</x:v>
      </x:c>
      <x:c r="H142" s="94" t="n">
        <x:f>'Task Register'!J140</x:f>
        <x:v>46505</x:v>
      </x:c>
      <x:c r="I142" s="166" t="str">
        <x:f>IF(AND(I$6&lt;=$H142,I$6+6&gt;=$G142),1,"")</x:f>
      </x:c>
      <x:c r="J142" s="167" t="str">
        <x:f>IF(AND(J$6&lt;=$H142,J$6+6&gt;=$G142),1,"")</x:f>
      </x:c>
      <x:c r="K142" s="167" t="str">
        <x:f>IF(AND(K$6&lt;=$H142,K$6+6&gt;=$G142),1,"")</x:f>
      </x:c>
      <x:c r="L142" s="167" t="str">
        <x:f>IF(AND(L$6&lt;=$H142,L$6+6&gt;=$G142),1,"")</x:f>
      </x:c>
      <x:c r="M142" s="167" t="str">
        <x:f>IF(AND(M$6&lt;=$H142,M$6+6&gt;=$G142),1,"")</x:f>
      </x:c>
      <x:c r="N142" s="167" t="str">
        <x:f>IF(AND(N$6&lt;=$H142,N$6+6&gt;=$G142),1,"")</x:f>
      </x:c>
      <x:c r="O142" s="167" t="str">
        <x:f>IF(AND(O$6&lt;=$H142,O$6+6&gt;=$G142),1,"")</x:f>
      </x:c>
      <x:c r="P142" s="167" t="str">
        <x:f>IF(AND(P$6&lt;=$H142,P$6+6&gt;=$G142),1,"")</x:f>
      </x:c>
      <x:c r="Q142" s="167" t="str">
        <x:f>IF(AND(Q$6&lt;=$H142,Q$6+6&gt;=$G142),1,"")</x:f>
      </x:c>
      <x:c r="R142" s="167" t="str">
        <x:f>IF(AND(R$6&lt;=$H142,R$6+6&gt;=$G142),1,"")</x:f>
      </x:c>
      <x:c r="S142" s="167" t="str">
        <x:f>IF(AND(S$6&lt;=$H142,S$6+6&gt;=$G142),1,"")</x:f>
      </x:c>
      <x:c r="T142" s="167" t="str">
        <x:f>IF(AND(T$6&lt;=$H142,T$6+6&gt;=$G142),1,"")</x:f>
      </x:c>
      <x:c r="U142" s="167" t="str">
        <x:f>IF(AND(U$6&lt;=$H142,U$6+6&gt;=$G142),1,"")</x:f>
      </x:c>
      <x:c r="V142" s="167" t="str">
        <x:f>IF(AND(V$6&lt;=$H142,V$6+6&gt;=$G142),1,"")</x:f>
      </x:c>
      <x:c r="W142" s="167" t="str">
        <x:f>IF(AND(W$6&lt;=$H142,W$6+6&gt;=$G142),1,"")</x:f>
      </x:c>
      <x:c r="X142" s="167" t="str">
        <x:f>IF(AND(X$6&lt;=$H142,X$6+6&gt;=$G142),1,"")</x:f>
      </x:c>
      <x:c r="Y142" s="167" t="str">
        <x:f>IF(AND(Y$6&lt;=$H142,Y$6+6&gt;=$G142),1,"")</x:f>
      </x:c>
      <x:c r="Z142" s="167" t="str">
        <x:f>IF(AND(Z$6&lt;=$H142,Z$6+6&gt;=$G142),1,"")</x:f>
      </x:c>
      <x:c r="AA142" s="167" t="str">
        <x:f>IF(AND(AA$6&lt;=$H142,AA$6+6&gt;=$G142),1,"")</x:f>
      </x:c>
      <x:c r="AB142" s="167" t="str">
        <x:f>IF(AND(AB$6&lt;=$H142,AB$6+6&gt;=$G142),1,"")</x:f>
      </x:c>
      <x:c r="AC142" s="167" t="str">
        <x:f>IF(AND(AC$6&lt;=$H142,AC$6+6&gt;=$G142),1,"")</x:f>
      </x:c>
      <x:c r="AD142" s="167" t="str">
        <x:f>IF(AND(AD$6&lt;=$H142,AD$6+6&gt;=$G142),1,"")</x:f>
      </x:c>
      <x:c r="AE142" s="167" t="str">
        <x:f>IF(AND(AE$6&lt;=$H142,AE$6+6&gt;=$G142),1,"")</x:f>
      </x:c>
      <x:c r="AF142" s="167" t="str">
        <x:f>IF(AND(AF$6&lt;=$H142,AF$6+6&gt;=$G142),1,"")</x:f>
      </x:c>
      <x:c r="AG142" s="167" t="str">
        <x:f>IF(AND(AG$6&lt;=$H142,AG$6+6&gt;=$G142),1,"")</x:f>
      </x:c>
      <x:c r="AH142" s="167" t="str">
        <x:f>IF(AND(AH$6&lt;=$H142,AH$6+6&gt;=$G142),1,"")</x:f>
      </x:c>
      <x:c r="AI142" s="167" t="str">
        <x:f>IF(AND(AI$6&lt;=$H142,AI$6+6&gt;=$G142),1,"")</x:f>
      </x:c>
      <x:c r="AJ142" s="167" t="str">
        <x:f>IF(AND(AJ$6&lt;=$H142,AJ$6+6&gt;=$G142),1,"")</x:f>
      </x:c>
      <x:c r="AK142" s="167" t="str">
        <x:f>IF(AND(AK$6&lt;=$H142,AK$6+6&gt;=$G142),1,"")</x:f>
      </x:c>
      <x:c r="AL142" s="167" t="str">
        <x:f>IF(AND(AL$6&lt;=$H142,AL$6+6&gt;=$G142),1,"")</x:f>
      </x:c>
      <x:c r="AM142" s="167" t="str">
        <x:f>IF(AND(AM$6&lt;=$H142,AM$6+6&gt;=$G142),1,"")</x:f>
      </x:c>
      <x:c r="AN142" s="167" t="str">
        <x:f>IF(AND(AN$6&lt;=$H142,AN$6+6&gt;=$G142),1,"")</x:f>
      </x:c>
      <x:c r="AO142" s="167" t="str">
        <x:f>IF(AND(AO$6&lt;=$H142,AO$6+6&gt;=$G142),1,"")</x:f>
      </x:c>
      <x:c r="AP142" s="167" t="str">
        <x:f>IF(AND(AP$6&lt;=$H142,AP$6+6&gt;=$G142),1,"")</x:f>
      </x:c>
      <x:c r="AQ142" s="167" t="str">
        <x:f>IF(AND(AQ$6&lt;=$H142,AQ$6+6&gt;=$G142),1,"")</x:f>
      </x:c>
      <x:c r="AR142" s="167" t="str">
        <x:f>IF(AND(AR$6&lt;=$H142,AR$6+6&gt;=$G142),1,"")</x:f>
      </x:c>
      <x:c r="AS142" s="167" t="str">
        <x:f>IF(AND(AS$6&lt;=$H142,AS$6+6&gt;=$G142),1,"")</x:f>
      </x:c>
      <x:c r="AT142" s="167" t="n">
        <x:f>IF(AND(AT$6&lt;=$H142,AT$6+6&gt;=$G142),1,"")</x:f>
        <x:v>1</x:v>
      </x:c>
      <x:c r="AU142" s="167" t="n">
        <x:f>IF(AND(AU$6&lt;=$H142,AU$6+6&gt;=$G142),1,"")</x:f>
        <x:v>1</x:v>
      </x:c>
      <x:c r="AV142" s="167" t="str">
        <x:f>IF(AND(AV$6&lt;=$H142,AV$6+6&gt;=$G142),1,"")</x:f>
      </x:c>
      <x:c r="AW142" s="167" t="str">
        <x:f>IF(AND(AW$6&lt;=$H142,AW$6+6&gt;=$G142),1,"")</x:f>
      </x:c>
      <x:c r="AX142" s="167" t="str">
        <x:f>IF(AND(AX$6&lt;=$H142,AX$6+6&gt;=$G142),1,"")</x:f>
      </x:c>
      <x:c r="AY142" s="167" t="str">
        <x:f>IF(AND(AY$6&lt;=$H142,AY$6+6&gt;=$G142),1,"")</x:f>
      </x:c>
      <x:c r="AZ142" s="167" t="str">
        <x:f>IF(AND(AZ$6&lt;=$H142,AZ$6+6&gt;=$G142),1,"")</x:f>
      </x:c>
      <x:c r="BA142" s="167" t="str">
        <x:f>IF(AND(BA$6&lt;=$H142,BA$6+6&gt;=$G142),1,"")</x:f>
      </x:c>
      <x:c r="BB142" s="167" t="str">
        <x:f>IF(AND(BB$6&lt;=$H142,BB$6+6&gt;=$G142),1,"")</x:f>
      </x:c>
      <x:c r="BC142" s="167" t="str">
        <x:f>IF(AND(BC$6&lt;=$H142,BC$6+6&gt;=$G142),1,"")</x:f>
      </x:c>
      <x:c r="BD142" s="167" t="str">
        <x:f>IF(AND(BD$6&lt;=$H142,BD$6+6&gt;=$G142),1,"")</x:f>
      </x:c>
      <x:c r="BE142" s="167" t="str">
        <x:f>IF(AND(BE$6&lt;=$H142,BE$6+6&gt;=$G142),1,"")</x:f>
      </x:c>
      <x:c r="BF142" s="167" t="str">
        <x:f>IF(AND(BF$6&lt;=$H142,BF$6+6&gt;=$G142),1,"")</x:f>
      </x:c>
      <x:c r="BG142" s="167" t="str">
        <x:f>IF(AND(BG$6&lt;=$H142,BG$6+6&gt;=$G142),1,"")</x:f>
      </x:c>
      <x:c r="BH142" s="167" t="str">
        <x:f>IF(AND(BH$6&lt;=$H142,BH$6+6&gt;=$G142),1,"")</x:f>
      </x:c>
      <x:c r="BI142" s="167" t="str">
        <x:f>IF(AND(BI$6&lt;=$H142,BI$6+6&gt;=$G142),1,"")</x:f>
      </x:c>
      <x:c r="BJ142" s="167" t="str">
        <x:f>IF(AND(BJ$6&lt;=$H142,BJ$6+6&gt;=$G142),1,"")</x:f>
      </x:c>
      <x:c r="BK142" s="167" t="str">
        <x:f>IF(AND(BK$6&lt;=$H142,BK$6+6&gt;=$G142),1,"")</x:f>
      </x:c>
      <x:c r="BL142" s="167" t="str">
        <x:f>IF(AND(BL$6&lt;=$H142,BL$6+6&gt;=$G142),1,"")</x:f>
      </x:c>
      <x:c r="BM142" s="167" t="str">
        <x:f>IF(AND(BM$6&lt;=$H142,BM$6+6&gt;=$G142),1,"")</x:f>
      </x:c>
      <x:c r="BN142" s="167" t="str">
        <x:f>IF(AND(BN$6&lt;=$H142,BN$6+6&gt;=$G142),1,"")</x:f>
      </x:c>
      <x:c r="BO142" s="168" t="str">
        <x:f>IF(AND(BO$6&lt;=$H142,BO$6+6&gt;=$G142),1,"")</x:f>
      </x:c>
    </x:row>
    <x:row r="143" ht="24" customHeight="1">
      <x:c r="A143" s="68" t="str">
        <x:f>'Task Register'!A141</x:f>
        <x:v>T-716</x:v>
      </x:c>
      <x:c r="B143" s="68" t="str">
        <x:f>'Task Register'!B141</x:f>
        <x:v>M7</x:v>
      </x:c>
      <x:c r="C143" s="68" t="str">
        <x:f>'Task Register'!C141</x:f>
        <x:v>Active-Inference Transfer Validation</x:v>
      </x:c>
      <x:c r="D143" s="68" t="str">
        <x:f>'Task Register'!D141</x:f>
        <x:v>Run sensor-equivalent inference in shadow mode</x:v>
      </x:c>
      <x:c r="E143" s="68" t="str">
        <x:f>'Task Register'!E141</x:f>
        <x:v>M2, T-713, T-715</x:v>
      </x:c>
      <x:c r="F143" s="68" t="str">
        <x:f>'Task Register'!F141</x:f>
        <x:v>Blocked</x:v>
      </x:c>
      <x:c r="G143" s="94" t="n">
        <x:f>'Task Register'!I141</x:f>
        <x:v>46506</x:v>
      </x:c>
      <x:c r="H143" s="94" t="n">
        <x:f>'Task Register'!J141</x:f>
        <x:v>46512</x:v>
      </x:c>
      <x:c r="I143" s="166" t="str">
        <x:f>IF(AND(I$6&lt;=$H143,I$6+6&gt;=$G143),1,"")</x:f>
      </x:c>
      <x:c r="J143" s="167" t="str">
        <x:f>IF(AND(J$6&lt;=$H143,J$6+6&gt;=$G143),1,"")</x:f>
      </x:c>
      <x:c r="K143" s="167" t="str">
        <x:f>IF(AND(K$6&lt;=$H143,K$6+6&gt;=$G143),1,"")</x:f>
      </x:c>
      <x:c r="L143" s="167" t="str">
        <x:f>IF(AND(L$6&lt;=$H143,L$6+6&gt;=$G143),1,"")</x:f>
      </x:c>
      <x:c r="M143" s="167" t="str">
        <x:f>IF(AND(M$6&lt;=$H143,M$6+6&gt;=$G143),1,"")</x:f>
      </x:c>
      <x:c r="N143" s="167" t="str">
        <x:f>IF(AND(N$6&lt;=$H143,N$6+6&gt;=$G143),1,"")</x:f>
      </x:c>
      <x:c r="O143" s="167" t="str">
        <x:f>IF(AND(O$6&lt;=$H143,O$6+6&gt;=$G143),1,"")</x:f>
      </x:c>
      <x:c r="P143" s="167" t="str">
        <x:f>IF(AND(P$6&lt;=$H143,P$6+6&gt;=$G143),1,"")</x:f>
      </x:c>
      <x:c r="Q143" s="167" t="str">
        <x:f>IF(AND(Q$6&lt;=$H143,Q$6+6&gt;=$G143),1,"")</x:f>
      </x:c>
      <x:c r="R143" s="167" t="str">
        <x:f>IF(AND(R$6&lt;=$H143,R$6+6&gt;=$G143),1,"")</x:f>
      </x:c>
      <x:c r="S143" s="167" t="str">
        <x:f>IF(AND(S$6&lt;=$H143,S$6+6&gt;=$G143),1,"")</x:f>
      </x:c>
      <x:c r="T143" s="167" t="str">
        <x:f>IF(AND(T$6&lt;=$H143,T$6+6&gt;=$G143),1,"")</x:f>
      </x:c>
      <x:c r="U143" s="167" t="str">
        <x:f>IF(AND(U$6&lt;=$H143,U$6+6&gt;=$G143),1,"")</x:f>
      </x:c>
      <x:c r="V143" s="167" t="str">
        <x:f>IF(AND(V$6&lt;=$H143,V$6+6&gt;=$G143),1,"")</x:f>
      </x:c>
      <x:c r="W143" s="167" t="str">
        <x:f>IF(AND(W$6&lt;=$H143,W$6+6&gt;=$G143),1,"")</x:f>
      </x:c>
      <x:c r="X143" s="167" t="str">
        <x:f>IF(AND(X$6&lt;=$H143,X$6+6&gt;=$G143),1,"")</x:f>
      </x:c>
      <x:c r="Y143" s="167" t="str">
        <x:f>IF(AND(Y$6&lt;=$H143,Y$6+6&gt;=$G143),1,"")</x:f>
      </x:c>
      <x:c r="Z143" s="167" t="str">
        <x:f>IF(AND(Z$6&lt;=$H143,Z$6+6&gt;=$G143),1,"")</x:f>
      </x:c>
      <x:c r="AA143" s="167" t="str">
        <x:f>IF(AND(AA$6&lt;=$H143,AA$6+6&gt;=$G143),1,"")</x:f>
      </x:c>
      <x:c r="AB143" s="167" t="str">
        <x:f>IF(AND(AB$6&lt;=$H143,AB$6+6&gt;=$G143),1,"")</x:f>
      </x:c>
      <x:c r="AC143" s="167" t="str">
        <x:f>IF(AND(AC$6&lt;=$H143,AC$6+6&gt;=$G143),1,"")</x:f>
      </x:c>
      <x:c r="AD143" s="167" t="str">
        <x:f>IF(AND(AD$6&lt;=$H143,AD$6+6&gt;=$G143),1,"")</x:f>
      </x:c>
      <x:c r="AE143" s="167" t="str">
        <x:f>IF(AND(AE$6&lt;=$H143,AE$6+6&gt;=$G143),1,"")</x:f>
      </x:c>
      <x:c r="AF143" s="167" t="str">
        <x:f>IF(AND(AF$6&lt;=$H143,AF$6+6&gt;=$G143),1,"")</x:f>
      </x:c>
      <x:c r="AG143" s="167" t="str">
        <x:f>IF(AND(AG$6&lt;=$H143,AG$6+6&gt;=$G143),1,"")</x:f>
      </x:c>
      <x:c r="AH143" s="167" t="str">
        <x:f>IF(AND(AH$6&lt;=$H143,AH$6+6&gt;=$G143),1,"")</x:f>
      </x:c>
      <x:c r="AI143" s="167" t="str">
        <x:f>IF(AND(AI$6&lt;=$H143,AI$6+6&gt;=$G143),1,"")</x:f>
      </x:c>
      <x:c r="AJ143" s="167" t="str">
        <x:f>IF(AND(AJ$6&lt;=$H143,AJ$6+6&gt;=$G143),1,"")</x:f>
      </x:c>
      <x:c r="AK143" s="167" t="str">
        <x:f>IF(AND(AK$6&lt;=$H143,AK$6+6&gt;=$G143),1,"")</x:f>
      </x:c>
      <x:c r="AL143" s="167" t="str">
        <x:f>IF(AND(AL$6&lt;=$H143,AL$6+6&gt;=$G143),1,"")</x:f>
      </x:c>
      <x:c r="AM143" s="167" t="str">
        <x:f>IF(AND(AM$6&lt;=$H143,AM$6+6&gt;=$G143),1,"")</x:f>
      </x:c>
      <x:c r="AN143" s="167" t="str">
        <x:f>IF(AND(AN$6&lt;=$H143,AN$6+6&gt;=$G143),1,"")</x:f>
      </x:c>
      <x:c r="AO143" s="167" t="str">
        <x:f>IF(AND(AO$6&lt;=$H143,AO$6+6&gt;=$G143),1,"")</x:f>
      </x:c>
      <x:c r="AP143" s="167" t="str">
        <x:f>IF(AND(AP$6&lt;=$H143,AP$6+6&gt;=$G143),1,"")</x:f>
      </x:c>
      <x:c r="AQ143" s="167" t="str">
        <x:f>IF(AND(AQ$6&lt;=$H143,AQ$6+6&gt;=$G143),1,"")</x:f>
      </x:c>
      <x:c r="AR143" s="167" t="str">
        <x:f>IF(AND(AR$6&lt;=$H143,AR$6+6&gt;=$G143),1,"")</x:f>
      </x:c>
      <x:c r="AS143" s="167" t="str">
        <x:f>IF(AND(AS$6&lt;=$H143,AS$6+6&gt;=$G143),1,"")</x:f>
      </x:c>
      <x:c r="AT143" s="167" t="str">
        <x:f>IF(AND(AT$6&lt;=$H143,AT$6+6&gt;=$G143),1,"")</x:f>
      </x:c>
      <x:c r="AU143" s="167" t="n">
        <x:f>IF(AND(AU$6&lt;=$H143,AU$6+6&gt;=$G143),1,"")</x:f>
        <x:v>1</x:v>
      </x:c>
      <x:c r="AV143" s="167" t="n">
        <x:f>IF(AND(AV$6&lt;=$H143,AV$6+6&gt;=$G143),1,"")</x:f>
        <x:v>1</x:v>
      </x:c>
      <x:c r="AW143" s="167" t="str">
        <x:f>IF(AND(AW$6&lt;=$H143,AW$6+6&gt;=$G143),1,"")</x:f>
      </x:c>
      <x:c r="AX143" s="167" t="str">
        <x:f>IF(AND(AX$6&lt;=$H143,AX$6+6&gt;=$G143),1,"")</x:f>
      </x:c>
      <x:c r="AY143" s="167" t="str">
        <x:f>IF(AND(AY$6&lt;=$H143,AY$6+6&gt;=$G143),1,"")</x:f>
      </x:c>
      <x:c r="AZ143" s="167" t="str">
        <x:f>IF(AND(AZ$6&lt;=$H143,AZ$6+6&gt;=$G143),1,"")</x:f>
      </x:c>
      <x:c r="BA143" s="167" t="str">
        <x:f>IF(AND(BA$6&lt;=$H143,BA$6+6&gt;=$G143),1,"")</x:f>
      </x:c>
      <x:c r="BB143" s="167" t="str">
        <x:f>IF(AND(BB$6&lt;=$H143,BB$6+6&gt;=$G143),1,"")</x:f>
      </x:c>
      <x:c r="BC143" s="167" t="str">
        <x:f>IF(AND(BC$6&lt;=$H143,BC$6+6&gt;=$G143),1,"")</x:f>
      </x:c>
      <x:c r="BD143" s="167" t="str">
        <x:f>IF(AND(BD$6&lt;=$H143,BD$6+6&gt;=$G143),1,"")</x:f>
      </x:c>
      <x:c r="BE143" s="167" t="str">
        <x:f>IF(AND(BE$6&lt;=$H143,BE$6+6&gt;=$G143),1,"")</x:f>
      </x:c>
      <x:c r="BF143" s="167" t="str">
        <x:f>IF(AND(BF$6&lt;=$H143,BF$6+6&gt;=$G143),1,"")</x:f>
      </x:c>
      <x:c r="BG143" s="167" t="str">
        <x:f>IF(AND(BG$6&lt;=$H143,BG$6+6&gt;=$G143),1,"")</x:f>
      </x:c>
      <x:c r="BH143" s="167" t="str">
        <x:f>IF(AND(BH$6&lt;=$H143,BH$6+6&gt;=$G143),1,"")</x:f>
      </x:c>
      <x:c r="BI143" s="167" t="str">
        <x:f>IF(AND(BI$6&lt;=$H143,BI$6+6&gt;=$G143),1,"")</x:f>
      </x:c>
      <x:c r="BJ143" s="167" t="str">
        <x:f>IF(AND(BJ$6&lt;=$H143,BJ$6+6&gt;=$G143),1,"")</x:f>
      </x:c>
      <x:c r="BK143" s="167" t="str">
        <x:f>IF(AND(BK$6&lt;=$H143,BK$6+6&gt;=$G143),1,"")</x:f>
      </x:c>
      <x:c r="BL143" s="167" t="str">
        <x:f>IF(AND(BL$6&lt;=$H143,BL$6+6&gt;=$G143),1,"")</x:f>
      </x:c>
      <x:c r="BM143" s="167" t="str">
        <x:f>IF(AND(BM$6&lt;=$H143,BM$6+6&gt;=$G143),1,"")</x:f>
      </x:c>
      <x:c r="BN143" s="167" t="str">
        <x:f>IF(AND(BN$6&lt;=$H143,BN$6+6&gt;=$G143),1,"")</x:f>
      </x:c>
      <x:c r="BO143" s="168" t="str">
        <x:f>IF(AND(BO$6&lt;=$H143,BO$6+6&gt;=$G143),1,"")</x:f>
      </x:c>
    </x:row>
    <x:row r="144" ht="24" customHeight="1">
      <x:c r="A144" s="68" t="str">
        <x:f>'Task Register'!A142</x:f>
        <x:v>T-717</x:v>
      </x:c>
      <x:c r="B144" s="68" t="str">
        <x:f>'Task Register'!B142</x:f>
        <x:v>M7</x:v>
      </x:c>
      <x:c r="C144" s="68" t="str">
        <x:f>'Task Register'!C142</x:f>
        <x:v>Hardware Research/Safety</x:v>
      </x:c>
      <x:c r="D144" s="68" t="str">
        <x:f>'Task Register'!D142</x:f>
        <x:v>Conduct bounded autonomous research runs</x:v>
      </x:c>
      <x:c r="E144" s="68" t="str">
        <x:f>'Task Register'!E142</x:f>
        <x:v>AI-315, T-714, T-716</x:v>
      </x:c>
      <x:c r="F144" s="68" t="str">
        <x:f>'Task Register'!F142</x:f>
        <x:v>Blocked</x:v>
      </x:c>
      <x:c r="G144" s="94" t="n">
        <x:f>'Task Register'!I142</x:f>
        <x:v>46513</x:v>
      </x:c>
      <x:c r="H144" s="94" t="n">
        <x:f>'Task Register'!J142</x:f>
        <x:v>46518</x:v>
      </x:c>
      <x:c r="I144" s="166" t="str">
        <x:f>IF(AND(I$6&lt;=$H144,I$6+6&gt;=$G144),1,"")</x:f>
      </x:c>
      <x:c r="J144" s="167" t="str">
        <x:f>IF(AND(J$6&lt;=$H144,J$6+6&gt;=$G144),1,"")</x:f>
      </x:c>
      <x:c r="K144" s="167" t="str">
        <x:f>IF(AND(K$6&lt;=$H144,K$6+6&gt;=$G144),1,"")</x:f>
      </x:c>
      <x:c r="L144" s="167" t="str">
        <x:f>IF(AND(L$6&lt;=$H144,L$6+6&gt;=$G144),1,"")</x:f>
      </x:c>
      <x:c r="M144" s="167" t="str">
        <x:f>IF(AND(M$6&lt;=$H144,M$6+6&gt;=$G144),1,"")</x:f>
      </x:c>
      <x:c r="N144" s="167" t="str">
        <x:f>IF(AND(N$6&lt;=$H144,N$6+6&gt;=$G144),1,"")</x:f>
      </x:c>
      <x:c r="O144" s="167" t="str">
        <x:f>IF(AND(O$6&lt;=$H144,O$6+6&gt;=$G144),1,"")</x:f>
      </x:c>
      <x:c r="P144" s="167" t="str">
        <x:f>IF(AND(P$6&lt;=$H144,P$6+6&gt;=$G144),1,"")</x:f>
      </x:c>
      <x:c r="Q144" s="167" t="str">
        <x:f>IF(AND(Q$6&lt;=$H144,Q$6+6&gt;=$G144),1,"")</x:f>
      </x:c>
      <x:c r="R144" s="167" t="str">
        <x:f>IF(AND(R$6&lt;=$H144,R$6+6&gt;=$G144),1,"")</x:f>
      </x:c>
      <x:c r="S144" s="167" t="str">
        <x:f>IF(AND(S$6&lt;=$H144,S$6+6&gt;=$G144),1,"")</x:f>
      </x:c>
      <x:c r="T144" s="167" t="str">
        <x:f>IF(AND(T$6&lt;=$H144,T$6+6&gt;=$G144),1,"")</x:f>
      </x:c>
      <x:c r="U144" s="167" t="str">
        <x:f>IF(AND(U$6&lt;=$H144,U$6+6&gt;=$G144),1,"")</x:f>
      </x:c>
      <x:c r="V144" s="167" t="str">
        <x:f>IF(AND(V$6&lt;=$H144,V$6+6&gt;=$G144),1,"")</x:f>
      </x:c>
      <x:c r="W144" s="167" t="str">
        <x:f>IF(AND(W$6&lt;=$H144,W$6+6&gt;=$G144),1,"")</x:f>
      </x:c>
      <x:c r="X144" s="167" t="str">
        <x:f>IF(AND(X$6&lt;=$H144,X$6+6&gt;=$G144),1,"")</x:f>
      </x:c>
      <x:c r="Y144" s="167" t="str">
        <x:f>IF(AND(Y$6&lt;=$H144,Y$6+6&gt;=$G144),1,"")</x:f>
      </x:c>
      <x:c r="Z144" s="167" t="str">
        <x:f>IF(AND(Z$6&lt;=$H144,Z$6+6&gt;=$G144),1,"")</x:f>
      </x:c>
      <x:c r="AA144" s="167" t="str">
        <x:f>IF(AND(AA$6&lt;=$H144,AA$6+6&gt;=$G144),1,"")</x:f>
      </x:c>
      <x:c r="AB144" s="167" t="str">
        <x:f>IF(AND(AB$6&lt;=$H144,AB$6+6&gt;=$G144),1,"")</x:f>
      </x:c>
      <x:c r="AC144" s="167" t="str">
        <x:f>IF(AND(AC$6&lt;=$H144,AC$6+6&gt;=$G144),1,"")</x:f>
      </x:c>
      <x:c r="AD144" s="167" t="str">
        <x:f>IF(AND(AD$6&lt;=$H144,AD$6+6&gt;=$G144),1,"")</x:f>
      </x:c>
      <x:c r="AE144" s="167" t="str">
        <x:f>IF(AND(AE$6&lt;=$H144,AE$6+6&gt;=$G144),1,"")</x:f>
      </x:c>
      <x:c r="AF144" s="167" t="str">
        <x:f>IF(AND(AF$6&lt;=$H144,AF$6+6&gt;=$G144),1,"")</x:f>
      </x:c>
      <x:c r="AG144" s="167" t="str">
        <x:f>IF(AND(AG$6&lt;=$H144,AG$6+6&gt;=$G144),1,"")</x:f>
      </x:c>
      <x:c r="AH144" s="167" t="str">
        <x:f>IF(AND(AH$6&lt;=$H144,AH$6+6&gt;=$G144),1,"")</x:f>
      </x:c>
      <x:c r="AI144" s="167" t="str">
        <x:f>IF(AND(AI$6&lt;=$H144,AI$6+6&gt;=$G144),1,"")</x:f>
      </x:c>
      <x:c r="AJ144" s="167" t="str">
        <x:f>IF(AND(AJ$6&lt;=$H144,AJ$6+6&gt;=$G144),1,"")</x:f>
      </x:c>
      <x:c r="AK144" s="167" t="str">
        <x:f>IF(AND(AK$6&lt;=$H144,AK$6+6&gt;=$G144),1,"")</x:f>
      </x:c>
      <x:c r="AL144" s="167" t="str">
        <x:f>IF(AND(AL$6&lt;=$H144,AL$6+6&gt;=$G144),1,"")</x:f>
      </x:c>
      <x:c r="AM144" s="167" t="str">
        <x:f>IF(AND(AM$6&lt;=$H144,AM$6+6&gt;=$G144),1,"")</x:f>
      </x:c>
      <x:c r="AN144" s="167" t="str">
        <x:f>IF(AND(AN$6&lt;=$H144,AN$6+6&gt;=$G144),1,"")</x:f>
      </x:c>
      <x:c r="AO144" s="167" t="str">
        <x:f>IF(AND(AO$6&lt;=$H144,AO$6+6&gt;=$G144),1,"")</x:f>
      </x:c>
      <x:c r="AP144" s="167" t="str">
        <x:f>IF(AND(AP$6&lt;=$H144,AP$6+6&gt;=$G144),1,"")</x:f>
      </x:c>
      <x:c r="AQ144" s="167" t="str">
        <x:f>IF(AND(AQ$6&lt;=$H144,AQ$6+6&gt;=$G144),1,"")</x:f>
      </x:c>
      <x:c r="AR144" s="167" t="str">
        <x:f>IF(AND(AR$6&lt;=$H144,AR$6+6&gt;=$G144),1,"")</x:f>
      </x:c>
      <x:c r="AS144" s="167" t="str">
        <x:f>IF(AND(AS$6&lt;=$H144,AS$6+6&gt;=$G144),1,"")</x:f>
      </x:c>
      <x:c r="AT144" s="167" t="str">
        <x:f>IF(AND(AT$6&lt;=$H144,AT$6+6&gt;=$G144),1,"")</x:f>
      </x:c>
      <x:c r="AU144" s="167" t="str">
        <x:f>IF(AND(AU$6&lt;=$H144,AU$6+6&gt;=$G144),1,"")</x:f>
      </x:c>
      <x:c r="AV144" s="167" t="n">
        <x:f>IF(AND(AV$6&lt;=$H144,AV$6+6&gt;=$G144),1,"")</x:f>
        <x:v>1</x:v>
      </x:c>
      <x:c r="AW144" s="167" t="n">
        <x:f>IF(AND(AW$6&lt;=$H144,AW$6+6&gt;=$G144),1,"")</x:f>
        <x:v>1</x:v>
      </x:c>
      <x:c r="AX144" s="167" t="str">
        <x:f>IF(AND(AX$6&lt;=$H144,AX$6+6&gt;=$G144),1,"")</x:f>
      </x:c>
      <x:c r="AY144" s="167" t="str">
        <x:f>IF(AND(AY$6&lt;=$H144,AY$6+6&gt;=$G144),1,"")</x:f>
      </x:c>
      <x:c r="AZ144" s="167" t="str">
        <x:f>IF(AND(AZ$6&lt;=$H144,AZ$6+6&gt;=$G144),1,"")</x:f>
      </x:c>
      <x:c r="BA144" s="167" t="str">
        <x:f>IF(AND(BA$6&lt;=$H144,BA$6+6&gt;=$G144),1,"")</x:f>
      </x:c>
      <x:c r="BB144" s="167" t="str">
        <x:f>IF(AND(BB$6&lt;=$H144,BB$6+6&gt;=$G144),1,"")</x:f>
      </x:c>
      <x:c r="BC144" s="167" t="str">
        <x:f>IF(AND(BC$6&lt;=$H144,BC$6+6&gt;=$G144),1,"")</x:f>
      </x:c>
      <x:c r="BD144" s="167" t="str">
        <x:f>IF(AND(BD$6&lt;=$H144,BD$6+6&gt;=$G144),1,"")</x:f>
      </x:c>
      <x:c r="BE144" s="167" t="str">
        <x:f>IF(AND(BE$6&lt;=$H144,BE$6+6&gt;=$G144),1,"")</x:f>
      </x:c>
      <x:c r="BF144" s="167" t="str">
        <x:f>IF(AND(BF$6&lt;=$H144,BF$6+6&gt;=$G144),1,"")</x:f>
      </x:c>
      <x:c r="BG144" s="167" t="str">
        <x:f>IF(AND(BG$6&lt;=$H144,BG$6+6&gt;=$G144),1,"")</x:f>
      </x:c>
      <x:c r="BH144" s="167" t="str">
        <x:f>IF(AND(BH$6&lt;=$H144,BH$6+6&gt;=$G144),1,"")</x:f>
      </x:c>
      <x:c r="BI144" s="167" t="str">
        <x:f>IF(AND(BI$6&lt;=$H144,BI$6+6&gt;=$G144),1,"")</x:f>
      </x:c>
      <x:c r="BJ144" s="167" t="str">
        <x:f>IF(AND(BJ$6&lt;=$H144,BJ$6+6&gt;=$G144),1,"")</x:f>
      </x:c>
      <x:c r="BK144" s="167" t="str">
        <x:f>IF(AND(BK$6&lt;=$H144,BK$6+6&gt;=$G144),1,"")</x:f>
      </x:c>
      <x:c r="BL144" s="167" t="str">
        <x:f>IF(AND(BL$6&lt;=$H144,BL$6+6&gt;=$G144),1,"")</x:f>
      </x:c>
      <x:c r="BM144" s="167" t="str">
        <x:f>IF(AND(BM$6&lt;=$H144,BM$6+6&gt;=$G144),1,"")</x:f>
      </x:c>
      <x:c r="BN144" s="167" t="str">
        <x:f>IF(AND(BN$6&lt;=$H144,BN$6+6&gt;=$G144),1,"")</x:f>
      </x:c>
      <x:c r="BO144" s="168" t="str">
        <x:f>IF(AND(BO$6&lt;=$H144,BO$6+6&gt;=$G144),1,"")</x:f>
      </x:c>
    </x:row>
    <x:row r="145" ht="24" customHeight="1">
      <x:c r="A145" s="68" t="str">
        <x:f>'Task Register'!A143</x:f>
        <x:v>T-718</x:v>
      </x:c>
      <x:c r="B145" s="68" t="str">
        <x:f>'Task Register'!B143</x:f>
        <x:v>M7</x:v>
      </x:c>
      <x:c r="C145" s="68" t="str">
        <x:f>'Task Register'!C143</x:f>
        <x:v>Validation</x:v>
      </x:c>
      <x:c r="D145" s="68" t="str">
        <x:f>'Task Register'!D143</x:f>
        <x:v>M7 hardware-readiness gate</x:v>
      </x:c>
      <x:c r="E145" s="68" t="str">
        <x:f>'Task Register'!E143</x:f>
        <x:v>T-714, T-715, T-716, T-717</x:v>
      </x:c>
      <x:c r="F145" s="68" t="str">
        <x:f>'Task Register'!F143</x:f>
        <x:v>Blocked</x:v>
      </x:c>
      <x:c r="G145" s="94" t="n">
        <x:f>'Task Register'!I143</x:f>
        <x:v>46519</x:v>
      </x:c>
      <x:c r="H145" s="94" t="n">
        <x:f>'Task Register'!J143</x:f>
        <x:v>46519</x:v>
      </x:c>
      <x:c r="I145" s="166" t="str">
        <x:f>IF(AND(I$6&lt;=$H145,I$6+6&gt;=$G145),1,"")</x:f>
      </x:c>
      <x:c r="J145" s="167" t="str">
        <x:f>IF(AND(J$6&lt;=$H145,J$6+6&gt;=$G145),1,"")</x:f>
      </x:c>
      <x:c r="K145" s="167" t="str">
        <x:f>IF(AND(K$6&lt;=$H145,K$6+6&gt;=$G145),1,"")</x:f>
      </x:c>
      <x:c r="L145" s="167" t="str">
        <x:f>IF(AND(L$6&lt;=$H145,L$6+6&gt;=$G145),1,"")</x:f>
      </x:c>
      <x:c r="M145" s="167" t="str">
        <x:f>IF(AND(M$6&lt;=$H145,M$6+6&gt;=$G145),1,"")</x:f>
      </x:c>
      <x:c r="N145" s="167" t="str">
        <x:f>IF(AND(N$6&lt;=$H145,N$6+6&gt;=$G145),1,"")</x:f>
      </x:c>
      <x:c r="O145" s="167" t="str">
        <x:f>IF(AND(O$6&lt;=$H145,O$6+6&gt;=$G145),1,"")</x:f>
      </x:c>
      <x:c r="P145" s="167" t="str">
        <x:f>IF(AND(P$6&lt;=$H145,P$6+6&gt;=$G145),1,"")</x:f>
      </x:c>
      <x:c r="Q145" s="167" t="str">
        <x:f>IF(AND(Q$6&lt;=$H145,Q$6+6&gt;=$G145),1,"")</x:f>
      </x:c>
      <x:c r="R145" s="167" t="str">
        <x:f>IF(AND(R$6&lt;=$H145,R$6+6&gt;=$G145),1,"")</x:f>
      </x:c>
      <x:c r="S145" s="167" t="str">
        <x:f>IF(AND(S$6&lt;=$H145,S$6+6&gt;=$G145),1,"")</x:f>
      </x:c>
      <x:c r="T145" s="167" t="str">
        <x:f>IF(AND(T$6&lt;=$H145,T$6+6&gt;=$G145),1,"")</x:f>
      </x:c>
      <x:c r="U145" s="167" t="str">
        <x:f>IF(AND(U$6&lt;=$H145,U$6+6&gt;=$G145),1,"")</x:f>
      </x:c>
      <x:c r="V145" s="167" t="str">
        <x:f>IF(AND(V$6&lt;=$H145,V$6+6&gt;=$G145),1,"")</x:f>
      </x:c>
      <x:c r="W145" s="167" t="str">
        <x:f>IF(AND(W$6&lt;=$H145,W$6+6&gt;=$G145),1,"")</x:f>
      </x:c>
      <x:c r="X145" s="167" t="str">
        <x:f>IF(AND(X$6&lt;=$H145,X$6+6&gt;=$G145),1,"")</x:f>
      </x:c>
      <x:c r="Y145" s="167" t="str">
        <x:f>IF(AND(Y$6&lt;=$H145,Y$6+6&gt;=$G145),1,"")</x:f>
      </x:c>
      <x:c r="Z145" s="167" t="str">
        <x:f>IF(AND(Z$6&lt;=$H145,Z$6+6&gt;=$G145),1,"")</x:f>
      </x:c>
      <x:c r="AA145" s="167" t="str">
        <x:f>IF(AND(AA$6&lt;=$H145,AA$6+6&gt;=$G145),1,"")</x:f>
      </x:c>
      <x:c r="AB145" s="167" t="str">
        <x:f>IF(AND(AB$6&lt;=$H145,AB$6+6&gt;=$G145),1,"")</x:f>
      </x:c>
      <x:c r="AC145" s="167" t="str">
        <x:f>IF(AND(AC$6&lt;=$H145,AC$6+6&gt;=$G145),1,"")</x:f>
      </x:c>
      <x:c r="AD145" s="167" t="str">
        <x:f>IF(AND(AD$6&lt;=$H145,AD$6+6&gt;=$G145),1,"")</x:f>
      </x:c>
      <x:c r="AE145" s="167" t="str">
        <x:f>IF(AND(AE$6&lt;=$H145,AE$6+6&gt;=$G145),1,"")</x:f>
      </x:c>
      <x:c r="AF145" s="167" t="str">
        <x:f>IF(AND(AF$6&lt;=$H145,AF$6+6&gt;=$G145),1,"")</x:f>
      </x:c>
      <x:c r="AG145" s="167" t="str">
        <x:f>IF(AND(AG$6&lt;=$H145,AG$6+6&gt;=$G145),1,"")</x:f>
      </x:c>
      <x:c r="AH145" s="167" t="str">
        <x:f>IF(AND(AH$6&lt;=$H145,AH$6+6&gt;=$G145),1,"")</x:f>
      </x:c>
      <x:c r="AI145" s="167" t="str">
        <x:f>IF(AND(AI$6&lt;=$H145,AI$6+6&gt;=$G145),1,"")</x:f>
      </x:c>
      <x:c r="AJ145" s="167" t="str">
        <x:f>IF(AND(AJ$6&lt;=$H145,AJ$6+6&gt;=$G145),1,"")</x:f>
      </x:c>
      <x:c r="AK145" s="167" t="str">
        <x:f>IF(AND(AK$6&lt;=$H145,AK$6+6&gt;=$G145),1,"")</x:f>
      </x:c>
      <x:c r="AL145" s="167" t="str">
        <x:f>IF(AND(AL$6&lt;=$H145,AL$6+6&gt;=$G145),1,"")</x:f>
      </x:c>
      <x:c r="AM145" s="167" t="str">
        <x:f>IF(AND(AM$6&lt;=$H145,AM$6+6&gt;=$G145),1,"")</x:f>
      </x:c>
      <x:c r="AN145" s="167" t="str">
        <x:f>IF(AND(AN$6&lt;=$H145,AN$6+6&gt;=$G145),1,"")</x:f>
      </x:c>
      <x:c r="AO145" s="167" t="str">
        <x:f>IF(AND(AO$6&lt;=$H145,AO$6+6&gt;=$G145),1,"")</x:f>
      </x:c>
      <x:c r="AP145" s="167" t="str">
        <x:f>IF(AND(AP$6&lt;=$H145,AP$6+6&gt;=$G145),1,"")</x:f>
      </x:c>
      <x:c r="AQ145" s="167" t="str">
        <x:f>IF(AND(AQ$6&lt;=$H145,AQ$6+6&gt;=$G145),1,"")</x:f>
      </x:c>
      <x:c r="AR145" s="167" t="str">
        <x:f>IF(AND(AR$6&lt;=$H145,AR$6+6&gt;=$G145),1,"")</x:f>
      </x:c>
      <x:c r="AS145" s="167" t="str">
        <x:f>IF(AND(AS$6&lt;=$H145,AS$6+6&gt;=$G145),1,"")</x:f>
      </x:c>
      <x:c r="AT145" s="167" t="str">
        <x:f>IF(AND(AT$6&lt;=$H145,AT$6+6&gt;=$G145),1,"")</x:f>
      </x:c>
      <x:c r="AU145" s="167" t="str">
        <x:f>IF(AND(AU$6&lt;=$H145,AU$6+6&gt;=$G145),1,"")</x:f>
      </x:c>
      <x:c r="AV145" s="167" t="str">
        <x:f>IF(AND(AV$6&lt;=$H145,AV$6+6&gt;=$G145),1,"")</x:f>
      </x:c>
      <x:c r="AW145" s="167" t="n">
        <x:f>IF(AND(AW$6&lt;=$H145,AW$6+6&gt;=$G145),1,"")</x:f>
        <x:v>1</x:v>
      </x:c>
      <x:c r="AX145" s="167" t="str">
        <x:f>IF(AND(AX$6&lt;=$H145,AX$6+6&gt;=$G145),1,"")</x:f>
      </x:c>
      <x:c r="AY145" s="167" t="str">
        <x:f>IF(AND(AY$6&lt;=$H145,AY$6+6&gt;=$G145),1,"")</x:f>
      </x:c>
      <x:c r="AZ145" s="167" t="str">
        <x:f>IF(AND(AZ$6&lt;=$H145,AZ$6+6&gt;=$G145),1,"")</x:f>
      </x:c>
      <x:c r="BA145" s="167" t="str">
        <x:f>IF(AND(BA$6&lt;=$H145,BA$6+6&gt;=$G145),1,"")</x:f>
      </x:c>
      <x:c r="BB145" s="167" t="str">
        <x:f>IF(AND(BB$6&lt;=$H145,BB$6+6&gt;=$G145),1,"")</x:f>
      </x:c>
      <x:c r="BC145" s="167" t="str">
        <x:f>IF(AND(BC$6&lt;=$H145,BC$6+6&gt;=$G145),1,"")</x:f>
      </x:c>
      <x:c r="BD145" s="167" t="str">
        <x:f>IF(AND(BD$6&lt;=$H145,BD$6+6&gt;=$G145),1,"")</x:f>
      </x:c>
      <x:c r="BE145" s="167" t="str">
        <x:f>IF(AND(BE$6&lt;=$H145,BE$6+6&gt;=$G145),1,"")</x:f>
      </x:c>
      <x:c r="BF145" s="167" t="str">
        <x:f>IF(AND(BF$6&lt;=$H145,BF$6+6&gt;=$G145),1,"")</x:f>
      </x:c>
      <x:c r="BG145" s="167" t="str">
        <x:f>IF(AND(BG$6&lt;=$H145,BG$6+6&gt;=$G145),1,"")</x:f>
      </x:c>
      <x:c r="BH145" s="167" t="str">
        <x:f>IF(AND(BH$6&lt;=$H145,BH$6+6&gt;=$G145),1,"")</x:f>
      </x:c>
      <x:c r="BI145" s="167" t="str">
        <x:f>IF(AND(BI$6&lt;=$H145,BI$6+6&gt;=$G145),1,"")</x:f>
      </x:c>
      <x:c r="BJ145" s="167" t="str">
        <x:f>IF(AND(BJ$6&lt;=$H145,BJ$6+6&gt;=$G145),1,"")</x:f>
      </x:c>
      <x:c r="BK145" s="167" t="str">
        <x:f>IF(AND(BK$6&lt;=$H145,BK$6+6&gt;=$G145),1,"")</x:f>
      </x:c>
      <x:c r="BL145" s="167" t="str">
        <x:f>IF(AND(BL$6&lt;=$H145,BL$6+6&gt;=$G145),1,"")</x:f>
      </x:c>
      <x:c r="BM145" s="167" t="str">
        <x:f>IF(AND(BM$6&lt;=$H145,BM$6+6&gt;=$G145),1,"")</x:f>
      </x:c>
      <x:c r="BN145" s="167" t="str">
        <x:f>IF(AND(BN$6&lt;=$H145,BN$6+6&gt;=$G145),1,"")</x:f>
      </x:c>
      <x:c r="BO145" s="168" t="str">
        <x:f>IF(AND(BO$6&lt;=$H145,BO$6+6&gt;=$G145),1,"")</x:f>
      </x:c>
    </x:row>
    <x:row r="146" ht="24" customHeight="1">
      <x:c r="A146" s="68" t="str">
        <x:f>'Task Register'!A144</x:f>
        <x:v>T-801</x:v>
      </x:c>
      <x:c r="B146" s="68" t="str">
        <x:f>'Task Register'!B144</x:f>
        <x:v>M8</x:v>
      </x:c>
      <x:c r="C146" s="68" t="str">
        <x:f>'Task Register'!C144</x:f>
        <x:v>Research Design</x:v>
      </x:c>
      <x:c r="D146" s="68" t="str">
        <x:f>'Task Register'!D144</x:f>
        <x:v>Define the study registry and evidence levels</x:v>
      </x:c>
      <x:c r="E146" s="68" t="str">
        <x:f>'Task Register'!E144</x:f>
        <x:v>AI-115</x:v>
      </x:c>
      <x:c r="F146" s="68" t="str">
        <x:f>'Task Register'!F144</x:f>
        <x:v>Blocked</x:v>
      </x:c>
      <x:c r="G146" s="94" t="n">
        <x:f>'Task Register'!I144</x:f>
        <x:v>46293</x:v>
      </x:c>
      <x:c r="H146" s="94" t="n">
        <x:f>'Task Register'!J144</x:f>
        <x:v>46294</x:v>
      </x:c>
      <x:c r="I146" s="166" t="str">
        <x:f>IF(AND(I$6&lt;=$H146,I$6+6&gt;=$G146),1,"")</x:f>
      </x:c>
      <x:c r="J146" s="167" t="str">
        <x:f>IF(AND(J$6&lt;=$H146,J$6+6&gt;=$G146),1,"")</x:f>
      </x:c>
      <x:c r="K146" s="167" t="str">
        <x:f>IF(AND(K$6&lt;=$H146,K$6+6&gt;=$G146),1,"")</x:f>
      </x:c>
      <x:c r="L146" s="167" t="str">
        <x:f>IF(AND(L$6&lt;=$H146,L$6+6&gt;=$G146),1,"")</x:f>
      </x:c>
      <x:c r="M146" s="167" t="str">
        <x:f>IF(AND(M$6&lt;=$H146,M$6+6&gt;=$G146),1,"")</x:f>
      </x:c>
      <x:c r="N146" s="167" t="str">
        <x:f>IF(AND(N$6&lt;=$H146,N$6+6&gt;=$G146),1,"")</x:f>
      </x:c>
      <x:c r="O146" s="167" t="str">
        <x:f>IF(AND(O$6&lt;=$H146,O$6+6&gt;=$G146),1,"")</x:f>
      </x:c>
      <x:c r="P146" s="167" t="str">
        <x:f>IF(AND(P$6&lt;=$H146,P$6+6&gt;=$G146),1,"")</x:f>
      </x:c>
      <x:c r="Q146" s="167" t="n">
        <x:f>IF(AND(Q$6&lt;=$H146,Q$6+6&gt;=$G146),1,"")</x:f>
        <x:v>1</x:v>
      </x:c>
      <x:c r="R146" s="167" t="str">
        <x:f>IF(AND(R$6&lt;=$H146,R$6+6&gt;=$G146),1,"")</x:f>
      </x:c>
      <x:c r="S146" s="167" t="str">
        <x:f>IF(AND(S$6&lt;=$H146,S$6+6&gt;=$G146),1,"")</x:f>
      </x:c>
      <x:c r="T146" s="167" t="str">
        <x:f>IF(AND(T$6&lt;=$H146,T$6+6&gt;=$G146),1,"")</x:f>
      </x:c>
      <x:c r="U146" s="167" t="str">
        <x:f>IF(AND(U$6&lt;=$H146,U$6+6&gt;=$G146),1,"")</x:f>
      </x:c>
      <x:c r="V146" s="167" t="str">
        <x:f>IF(AND(V$6&lt;=$H146,V$6+6&gt;=$G146),1,"")</x:f>
      </x:c>
      <x:c r="W146" s="167" t="str">
        <x:f>IF(AND(W$6&lt;=$H146,W$6+6&gt;=$G146),1,"")</x:f>
      </x:c>
      <x:c r="X146" s="167" t="str">
        <x:f>IF(AND(X$6&lt;=$H146,X$6+6&gt;=$G146),1,"")</x:f>
      </x:c>
      <x:c r="Y146" s="167" t="str">
        <x:f>IF(AND(Y$6&lt;=$H146,Y$6+6&gt;=$G146),1,"")</x:f>
      </x:c>
      <x:c r="Z146" s="167" t="str">
        <x:f>IF(AND(Z$6&lt;=$H146,Z$6+6&gt;=$G146),1,"")</x:f>
      </x:c>
      <x:c r="AA146" s="167" t="str">
        <x:f>IF(AND(AA$6&lt;=$H146,AA$6+6&gt;=$G146),1,"")</x:f>
      </x:c>
      <x:c r="AB146" s="167" t="str">
        <x:f>IF(AND(AB$6&lt;=$H146,AB$6+6&gt;=$G146),1,"")</x:f>
      </x:c>
      <x:c r="AC146" s="167" t="str">
        <x:f>IF(AND(AC$6&lt;=$H146,AC$6+6&gt;=$G146),1,"")</x:f>
      </x:c>
      <x:c r="AD146" s="167" t="str">
        <x:f>IF(AND(AD$6&lt;=$H146,AD$6+6&gt;=$G146),1,"")</x:f>
      </x:c>
      <x:c r="AE146" s="167" t="str">
        <x:f>IF(AND(AE$6&lt;=$H146,AE$6+6&gt;=$G146),1,"")</x:f>
      </x:c>
      <x:c r="AF146" s="167" t="str">
        <x:f>IF(AND(AF$6&lt;=$H146,AF$6+6&gt;=$G146),1,"")</x:f>
      </x:c>
      <x:c r="AG146" s="167" t="str">
        <x:f>IF(AND(AG$6&lt;=$H146,AG$6+6&gt;=$G146),1,"")</x:f>
      </x:c>
      <x:c r="AH146" s="167" t="str">
        <x:f>IF(AND(AH$6&lt;=$H146,AH$6+6&gt;=$G146),1,"")</x:f>
      </x:c>
      <x:c r="AI146" s="167" t="str">
        <x:f>IF(AND(AI$6&lt;=$H146,AI$6+6&gt;=$G146),1,"")</x:f>
      </x:c>
      <x:c r="AJ146" s="167" t="str">
        <x:f>IF(AND(AJ$6&lt;=$H146,AJ$6+6&gt;=$G146),1,"")</x:f>
      </x:c>
      <x:c r="AK146" s="167" t="str">
        <x:f>IF(AND(AK$6&lt;=$H146,AK$6+6&gt;=$G146),1,"")</x:f>
      </x:c>
      <x:c r="AL146" s="167" t="str">
        <x:f>IF(AND(AL$6&lt;=$H146,AL$6+6&gt;=$G146),1,"")</x:f>
      </x:c>
      <x:c r="AM146" s="167" t="str">
        <x:f>IF(AND(AM$6&lt;=$H146,AM$6+6&gt;=$G146),1,"")</x:f>
      </x:c>
      <x:c r="AN146" s="167" t="str">
        <x:f>IF(AND(AN$6&lt;=$H146,AN$6+6&gt;=$G146),1,"")</x:f>
      </x:c>
      <x:c r="AO146" s="167" t="str">
        <x:f>IF(AND(AO$6&lt;=$H146,AO$6+6&gt;=$G146),1,"")</x:f>
      </x:c>
      <x:c r="AP146" s="167" t="str">
        <x:f>IF(AND(AP$6&lt;=$H146,AP$6+6&gt;=$G146),1,"")</x:f>
      </x:c>
      <x:c r="AQ146" s="167" t="str">
        <x:f>IF(AND(AQ$6&lt;=$H146,AQ$6+6&gt;=$G146),1,"")</x:f>
      </x:c>
      <x:c r="AR146" s="167" t="str">
        <x:f>IF(AND(AR$6&lt;=$H146,AR$6+6&gt;=$G146),1,"")</x:f>
      </x:c>
      <x:c r="AS146" s="167" t="str">
        <x:f>IF(AND(AS$6&lt;=$H146,AS$6+6&gt;=$G146),1,"")</x:f>
      </x:c>
      <x:c r="AT146" s="167" t="str">
        <x:f>IF(AND(AT$6&lt;=$H146,AT$6+6&gt;=$G146),1,"")</x:f>
      </x:c>
      <x:c r="AU146" s="167" t="str">
        <x:f>IF(AND(AU$6&lt;=$H146,AU$6+6&gt;=$G146),1,"")</x:f>
      </x:c>
      <x:c r="AV146" s="167" t="str">
        <x:f>IF(AND(AV$6&lt;=$H146,AV$6+6&gt;=$G146),1,"")</x:f>
      </x:c>
      <x:c r="AW146" s="167" t="str">
        <x:f>IF(AND(AW$6&lt;=$H146,AW$6+6&gt;=$G146),1,"")</x:f>
      </x:c>
      <x:c r="AX146" s="167" t="str">
        <x:f>IF(AND(AX$6&lt;=$H146,AX$6+6&gt;=$G146),1,"")</x:f>
      </x:c>
      <x:c r="AY146" s="167" t="str">
        <x:f>IF(AND(AY$6&lt;=$H146,AY$6+6&gt;=$G146),1,"")</x:f>
      </x:c>
      <x:c r="AZ146" s="167" t="str">
        <x:f>IF(AND(AZ$6&lt;=$H146,AZ$6+6&gt;=$G146),1,"")</x:f>
      </x:c>
      <x:c r="BA146" s="167" t="str">
        <x:f>IF(AND(BA$6&lt;=$H146,BA$6+6&gt;=$G146),1,"")</x:f>
      </x:c>
      <x:c r="BB146" s="167" t="str">
        <x:f>IF(AND(BB$6&lt;=$H146,BB$6+6&gt;=$G146),1,"")</x:f>
      </x:c>
      <x:c r="BC146" s="167" t="str">
        <x:f>IF(AND(BC$6&lt;=$H146,BC$6+6&gt;=$G146),1,"")</x:f>
      </x:c>
      <x:c r="BD146" s="167" t="str">
        <x:f>IF(AND(BD$6&lt;=$H146,BD$6+6&gt;=$G146),1,"")</x:f>
      </x:c>
      <x:c r="BE146" s="167" t="str">
        <x:f>IF(AND(BE$6&lt;=$H146,BE$6+6&gt;=$G146),1,"")</x:f>
      </x:c>
      <x:c r="BF146" s="167" t="str">
        <x:f>IF(AND(BF$6&lt;=$H146,BF$6+6&gt;=$G146),1,"")</x:f>
      </x:c>
      <x:c r="BG146" s="167" t="str">
        <x:f>IF(AND(BG$6&lt;=$H146,BG$6+6&gt;=$G146),1,"")</x:f>
      </x:c>
      <x:c r="BH146" s="167" t="str">
        <x:f>IF(AND(BH$6&lt;=$H146,BH$6+6&gt;=$G146),1,"")</x:f>
      </x:c>
      <x:c r="BI146" s="167" t="str">
        <x:f>IF(AND(BI$6&lt;=$H146,BI$6+6&gt;=$G146),1,"")</x:f>
      </x:c>
      <x:c r="BJ146" s="167" t="str">
        <x:f>IF(AND(BJ$6&lt;=$H146,BJ$6+6&gt;=$G146),1,"")</x:f>
      </x:c>
      <x:c r="BK146" s="167" t="str">
        <x:f>IF(AND(BK$6&lt;=$H146,BK$6+6&gt;=$G146),1,"")</x:f>
      </x:c>
      <x:c r="BL146" s="167" t="str">
        <x:f>IF(AND(BL$6&lt;=$H146,BL$6+6&gt;=$G146),1,"")</x:f>
      </x:c>
      <x:c r="BM146" s="167" t="str">
        <x:f>IF(AND(BM$6&lt;=$H146,BM$6+6&gt;=$G146),1,"")</x:f>
      </x:c>
      <x:c r="BN146" s="167" t="str">
        <x:f>IF(AND(BN$6&lt;=$H146,BN$6+6&gt;=$G146),1,"")</x:f>
      </x:c>
      <x:c r="BO146" s="168" t="str">
        <x:f>IF(AND(BO$6&lt;=$H146,BO$6+6&gt;=$G146),1,"")</x:f>
      </x:c>
    </x:row>
    <x:row r="147" ht="24" customHeight="1">
      <x:c r="A147" s="68" t="str">
        <x:f>'Task Register'!A145</x:f>
        <x:v>T-802</x:v>
      </x:c>
      <x:c r="B147" s="68" t="str">
        <x:f>'Task Register'!B145</x:f>
        <x:v>M8</x:v>
      </x:c>
      <x:c r="C147" s="68" t="str">
        <x:f>'Task Register'!C145</x:f>
        <x:v>Research Ops</x:v>
      </x:c>
      <x:c r="D147" s="68" t="str">
        <x:f>'Task Register'!D145</x:f>
        <x:v>Finalize experiment manifests and inheritance rules</x:v>
      </x:c>
      <x:c r="E147" s="68" t="str">
        <x:f>'Task Register'!E145</x:f>
        <x:v>T-003, AI-112, T-801</x:v>
      </x:c>
      <x:c r="F147" s="68" t="str">
        <x:f>'Task Register'!F145</x:f>
        <x:v>Blocked</x:v>
      </x:c>
      <x:c r="G147" s="94" t="n">
        <x:f>'Task Register'!I145</x:f>
        <x:v>46295</x:v>
      </x:c>
      <x:c r="H147" s="94" t="n">
        <x:f>'Task Register'!J145</x:f>
        <x:v>46296</x:v>
      </x:c>
      <x:c r="I147" s="166" t="str">
        <x:f>IF(AND(I$6&lt;=$H147,I$6+6&gt;=$G147),1,"")</x:f>
      </x:c>
      <x:c r="J147" s="167" t="str">
        <x:f>IF(AND(J$6&lt;=$H147,J$6+6&gt;=$G147),1,"")</x:f>
      </x:c>
      <x:c r="K147" s="167" t="str">
        <x:f>IF(AND(K$6&lt;=$H147,K$6+6&gt;=$G147),1,"")</x:f>
      </x:c>
      <x:c r="L147" s="167" t="str">
        <x:f>IF(AND(L$6&lt;=$H147,L$6+6&gt;=$G147),1,"")</x:f>
      </x:c>
      <x:c r="M147" s="167" t="str">
        <x:f>IF(AND(M$6&lt;=$H147,M$6+6&gt;=$G147),1,"")</x:f>
      </x:c>
      <x:c r="N147" s="167" t="str">
        <x:f>IF(AND(N$6&lt;=$H147,N$6+6&gt;=$G147),1,"")</x:f>
      </x:c>
      <x:c r="O147" s="167" t="str">
        <x:f>IF(AND(O$6&lt;=$H147,O$6+6&gt;=$G147),1,"")</x:f>
      </x:c>
      <x:c r="P147" s="167" t="str">
        <x:f>IF(AND(P$6&lt;=$H147,P$6+6&gt;=$G147),1,"")</x:f>
      </x:c>
      <x:c r="Q147" s="167" t="n">
        <x:f>IF(AND(Q$6&lt;=$H147,Q$6+6&gt;=$G147),1,"")</x:f>
        <x:v>1</x:v>
      </x:c>
      <x:c r="R147" s="167" t="str">
        <x:f>IF(AND(R$6&lt;=$H147,R$6+6&gt;=$G147),1,"")</x:f>
      </x:c>
      <x:c r="S147" s="167" t="str">
        <x:f>IF(AND(S$6&lt;=$H147,S$6+6&gt;=$G147),1,"")</x:f>
      </x:c>
      <x:c r="T147" s="167" t="str">
        <x:f>IF(AND(T$6&lt;=$H147,T$6+6&gt;=$G147),1,"")</x:f>
      </x:c>
      <x:c r="U147" s="167" t="str">
        <x:f>IF(AND(U$6&lt;=$H147,U$6+6&gt;=$G147),1,"")</x:f>
      </x:c>
      <x:c r="V147" s="167" t="str">
        <x:f>IF(AND(V$6&lt;=$H147,V$6+6&gt;=$G147),1,"")</x:f>
      </x:c>
      <x:c r="W147" s="167" t="str">
        <x:f>IF(AND(W$6&lt;=$H147,W$6+6&gt;=$G147),1,"")</x:f>
      </x:c>
      <x:c r="X147" s="167" t="str">
        <x:f>IF(AND(X$6&lt;=$H147,X$6+6&gt;=$G147),1,"")</x:f>
      </x:c>
      <x:c r="Y147" s="167" t="str">
        <x:f>IF(AND(Y$6&lt;=$H147,Y$6+6&gt;=$G147),1,"")</x:f>
      </x:c>
      <x:c r="Z147" s="167" t="str">
        <x:f>IF(AND(Z$6&lt;=$H147,Z$6+6&gt;=$G147),1,"")</x:f>
      </x:c>
      <x:c r="AA147" s="167" t="str">
        <x:f>IF(AND(AA$6&lt;=$H147,AA$6+6&gt;=$G147),1,"")</x:f>
      </x:c>
      <x:c r="AB147" s="167" t="str">
        <x:f>IF(AND(AB$6&lt;=$H147,AB$6+6&gt;=$G147),1,"")</x:f>
      </x:c>
      <x:c r="AC147" s="167" t="str">
        <x:f>IF(AND(AC$6&lt;=$H147,AC$6+6&gt;=$G147),1,"")</x:f>
      </x:c>
      <x:c r="AD147" s="167" t="str">
        <x:f>IF(AND(AD$6&lt;=$H147,AD$6+6&gt;=$G147),1,"")</x:f>
      </x:c>
      <x:c r="AE147" s="167" t="str">
        <x:f>IF(AND(AE$6&lt;=$H147,AE$6+6&gt;=$G147),1,"")</x:f>
      </x:c>
      <x:c r="AF147" s="167" t="str">
        <x:f>IF(AND(AF$6&lt;=$H147,AF$6+6&gt;=$G147),1,"")</x:f>
      </x:c>
      <x:c r="AG147" s="167" t="str">
        <x:f>IF(AND(AG$6&lt;=$H147,AG$6+6&gt;=$G147),1,"")</x:f>
      </x:c>
      <x:c r="AH147" s="167" t="str">
        <x:f>IF(AND(AH$6&lt;=$H147,AH$6+6&gt;=$G147),1,"")</x:f>
      </x:c>
      <x:c r="AI147" s="167" t="str">
        <x:f>IF(AND(AI$6&lt;=$H147,AI$6+6&gt;=$G147),1,"")</x:f>
      </x:c>
      <x:c r="AJ147" s="167" t="str">
        <x:f>IF(AND(AJ$6&lt;=$H147,AJ$6+6&gt;=$G147),1,"")</x:f>
      </x:c>
      <x:c r="AK147" s="167" t="str">
        <x:f>IF(AND(AK$6&lt;=$H147,AK$6+6&gt;=$G147),1,"")</x:f>
      </x:c>
      <x:c r="AL147" s="167" t="str">
        <x:f>IF(AND(AL$6&lt;=$H147,AL$6+6&gt;=$G147),1,"")</x:f>
      </x:c>
      <x:c r="AM147" s="167" t="str">
        <x:f>IF(AND(AM$6&lt;=$H147,AM$6+6&gt;=$G147),1,"")</x:f>
      </x:c>
      <x:c r="AN147" s="167" t="str">
        <x:f>IF(AND(AN$6&lt;=$H147,AN$6+6&gt;=$G147),1,"")</x:f>
      </x:c>
      <x:c r="AO147" s="167" t="str">
        <x:f>IF(AND(AO$6&lt;=$H147,AO$6+6&gt;=$G147),1,"")</x:f>
      </x:c>
      <x:c r="AP147" s="167" t="str">
        <x:f>IF(AND(AP$6&lt;=$H147,AP$6+6&gt;=$G147),1,"")</x:f>
      </x:c>
      <x:c r="AQ147" s="167" t="str">
        <x:f>IF(AND(AQ$6&lt;=$H147,AQ$6+6&gt;=$G147),1,"")</x:f>
      </x:c>
      <x:c r="AR147" s="167" t="str">
        <x:f>IF(AND(AR$6&lt;=$H147,AR$6+6&gt;=$G147),1,"")</x:f>
      </x:c>
      <x:c r="AS147" s="167" t="str">
        <x:f>IF(AND(AS$6&lt;=$H147,AS$6+6&gt;=$G147),1,"")</x:f>
      </x:c>
      <x:c r="AT147" s="167" t="str">
        <x:f>IF(AND(AT$6&lt;=$H147,AT$6+6&gt;=$G147),1,"")</x:f>
      </x:c>
      <x:c r="AU147" s="167" t="str">
        <x:f>IF(AND(AU$6&lt;=$H147,AU$6+6&gt;=$G147),1,"")</x:f>
      </x:c>
      <x:c r="AV147" s="167" t="str">
        <x:f>IF(AND(AV$6&lt;=$H147,AV$6+6&gt;=$G147),1,"")</x:f>
      </x:c>
      <x:c r="AW147" s="167" t="str">
        <x:f>IF(AND(AW$6&lt;=$H147,AW$6+6&gt;=$G147),1,"")</x:f>
      </x:c>
      <x:c r="AX147" s="167" t="str">
        <x:f>IF(AND(AX$6&lt;=$H147,AX$6+6&gt;=$G147),1,"")</x:f>
      </x:c>
      <x:c r="AY147" s="167" t="str">
        <x:f>IF(AND(AY$6&lt;=$H147,AY$6+6&gt;=$G147),1,"")</x:f>
      </x:c>
      <x:c r="AZ147" s="167" t="str">
        <x:f>IF(AND(AZ$6&lt;=$H147,AZ$6+6&gt;=$G147),1,"")</x:f>
      </x:c>
      <x:c r="BA147" s="167" t="str">
        <x:f>IF(AND(BA$6&lt;=$H147,BA$6+6&gt;=$G147),1,"")</x:f>
      </x:c>
      <x:c r="BB147" s="167" t="str">
        <x:f>IF(AND(BB$6&lt;=$H147,BB$6+6&gt;=$G147),1,"")</x:f>
      </x:c>
      <x:c r="BC147" s="167" t="str">
        <x:f>IF(AND(BC$6&lt;=$H147,BC$6+6&gt;=$G147),1,"")</x:f>
      </x:c>
      <x:c r="BD147" s="167" t="str">
        <x:f>IF(AND(BD$6&lt;=$H147,BD$6+6&gt;=$G147),1,"")</x:f>
      </x:c>
      <x:c r="BE147" s="167" t="str">
        <x:f>IF(AND(BE$6&lt;=$H147,BE$6+6&gt;=$G147),1,"")</x:f>
      </x:c>
      <x:c r="BF147" s="167" t="str">
        <x:f>IF(AND(BF$6&lt;=$H147,BF$6+6&gt;=$G147),1,"")</x:f>
      </x:c>
      <x:c r="BG147" s="167" t="str">
        <x:f>IF(AND(BG$6&lt;=$H147,BG$6+6&gt;=$G147),1,"")</x:f>
      </x:c>
      <x:c r="BH147" s="167" t="str">
        <x:f>IF(AND(BH$6&lt;=$H147,BH$6+6&gt;=$G147),1,"")</x:f>
      </x:c>
      <x:c r="BI147" s="167" t="str">
        <x:f>IF(AND(BI$6&lt;=$H147,BI$6+6&gt;=$G147),1,"")</x:f>
      </x:c>
      <x:c r="BJ147" s="167" t="str">
        <x:f>IF(AND(BJ$6&lt;=$H147,BJ$6+6&gt;=$G147),1,"")</x:f>
      </x:c>
      <x:c r="BK147" s="167" t="str">
        <x:f>IF(AND(BK$6&lt;=$H147,BK$6+6&gt;=$G147),1,"")</x:f>
      </x:c>
      <x:c r="BL147" s="167" t="str">
        <x:f>IF(AND(BL$6&lt;=$H147,BL$6+6&gt;=$G147),1,"")</x:f>
      </x:c>
      <x:c r="BM147" s="167" t="str">
        <x:f>IF(AND(BM$6&lt;=$H147,BM$6+6&gt;=$G147),1,"")</x:f>
      </x:c>
      <x:c r="BN147" s="167" t="str">
        <x:f>IF(AND(BN$6&lt;=$H147,BN$6+6&gt;=$G147),1,"")</x:f>
      </x:c>
      <x:c r="BO147" s="168" t="str">
        <x:f>IF(AND(BO$6&lt;=$H147,BO$6+6&gt;=$G147),1,"")</x:f>
      </x:c>
    </x:row>
    <x:row r="148" ht="24" customHeight="1">
      <x:c r="A148" s="68" t="str">
        <x:f>'Task Register'!A146</x:f>
        <x:v>T-803</x:v>
      </x:c>
      <x:c r="B148" s="68" t="str">
        <x:f>'Task Register'!B146</x:f>
        <x:v>M8</x:v>
      </x:c>
      <x:c r="C148" s="68" t="str">
        <x:f>'Task Register'!C146</x:f>
        <x:v>Research Tooling</x:v>
      </x:c>
      <x:c r="D148" s="68" t="str">
        <x:f>'Task Register'!D146</x:f>
        <x:v>Build the common measurement and analysis pipeline</x:v>
      </x:c>
      <x:c r="E148" s="68" t="str">
        <x:f>'Task Register'!E146</x:f>
        <x:v>T-408, T-802</x:v>
      </x:c>
      <x:c r="F148" s="68" t="str">
        <x:f>'Task Register'!F146</x:f>
        <x:v>Blocked</x:v>
      </x:c>
      <x:c r="G148" s="94" t="n">
        <x:f>'Task Register'!I146</x:f>
        <x:v>46297</x:v>
      </x:c>
      <x:c r="H148" s="94" t="n">
        <x:f>'Task Register'!J146</x:f>
        <x:v>46303</x:v>
      </x:c>
      <x:c r="I148" s="166" t="str">
        <x:f>IF(AND(I$6&lt;=$H148,I$6+6&gt;=$G148),1,"")</x:f>
      </x:c>
      <x:c r="J148" s="167" t="str">
        <x:f>IF(AND(J$6&lt;=$H148,J$6+6&gt;=$G148),1,"")</x:f>
      </x:c>
      <x:c r="K148" s="167" t="str">
        <x:f>IF(AND(K$6&lt;=$H148,K$6+6&gt;=$G148),1,"")</x:f>
      </x:c>
      <x:c r="L148" s="167" t="str">
        <x:f>IF(AND(L$6&lt;=$H148,L$6+6&gt;=$G148),1,"")</x:f>
      </x:c>
      <x:c r="M148" s="167" t="str">
        <x:f>IF(AND(M$6&lt;=$H148,M$6+6&gt;=$G148),1,"")</x:f>
      </x:c>
      <x:c r="N148" s="167" t="str">
        <x:f>IF(AND(N$6&lt;=$H148,N$6+6&gt;=$G148),1,"")</x:f>
      </x:c>
      <x:c r="O148" s="167" t="str">
        <x:f>IF(AND(O$6&lt;=$H148,O$6+6&gt;=$G148),1,"")</x:f>
      </x:c>
      <x:c r="P148" s="167" t="str">
        <x:f>IF(AND(P$6&lt;=$H148,P$6+6&gt;=$G148),1,"")</x:f>
      </x:c>
      <x:c r="Q148" s="167" t="n">
        <x:f>IF(AND(Q$6&lt;=$H148,Q$6+6&gt;=$G148),1,"")</x:f>
        <x:v>1</x:v>
      </x:c>
      <x:c r="R148" s="167" t="n">
        <x:f>IF(AND(R$6&lt;=$H148,R$6+6&gt;=$G148),1,"")</x:f>
        <x:v>1</x:v>
      </x:c>
      <x:c r="S148" s="167" t="str">
        <x:f>IF(AND(S$6&lt;=$H148,S$6+6&gt;=$G148),1,"")</x:f>
      </x:c>
      <x:c r="T148" s="167" t="str">
        <x:f>IF(AND(T$6&lt;=$H148,T$6+6&gt;=$G148),1,"")</x:f>
      </x:c>
      <x:c r="U148" s="167" t="str">
        <x:f>IF(AND(U$6&lt;=$H148,U$6+6&gt;=$G148),1,"")</x:f>
      </x:c>
      <x:c r="V148" s="167" t="str">
        <x:f>IF(AND(V$6&lt;=$H148,V$6+6&gt;=$G148),1,"")</x:f>
      </x:c>
      <x:c r="W148" s="167" t="str">
        <x:f>IF(AND(W$6&lt;=$H148,W$6+6&gt;=$G148),1,"")</x:f>
      </x:c>
      <x:c r="X148" s="167" t="str">
        <x:f>IF(AND(X$6&lt;=$H148,X$6+6&gt;=$G148),1,"")</x:f>
      </x:c>
      <x:c r="Y148" s="167" t="str">
        <x:f>IF(AND(Y$6&lt;=$H148,Y$6+6&gt;=$G148),1,"")</x:f>
      </x:c>
      <x:c r="Z148" s="167" t="str">
        <x:f>IF(AND(Z$6&lt;=$H148,Z$6+6&gt;=$G148),1,"")</x:f>
      </x:c>
      <x:c r="AA148" s="167" t="str">
        <x:f>IF(AND(AA$6&lt;=$H148,AA$6+6&gt;=$G148),1,"")</x:f>
      </x:c>
      <x:c r="AB148" s="167" t="str">
        <x:f>IF(AND(AB$6&lt;=$H148,AB$6+6&gt;=$G148),1,"")</x:f>
      </x:c>
      <x:c r="AC148" s="167" t="str">
        <x:f>IF(AND(AC$6&lt;=$H148,AC$6+6&gt;=$G148),1,"")</x:f>
      </x:c>
      <x:c r="AD148" s="167" t="str">
        <x:f>IF(AND(AD$6&lt;=$H148,AD$6+6&gt;=$G148),1,"")</x:f>
      </x:c>
      <x:c r="AE148" s="167" t="str">
        <x:f>IF(AND(AE$6&lt;=$H148,AE$6+6&gt;=$G148),1,"")</x:f>
      </x:c>
      <x:c r="AF148" s="167" t="str">
        <x:f>IF(AND(AF$6&lt;=$H148,AF$6+6&gt;=$G148),1,"")</x:f>
      </x:c>
      <x:c r="AG148" s="167" t="str">
        <x:f>IF(AND(AG$6&lt;=$H148,AG$6+6&gt;=$G148),1,"")</x:f>
      </x:c>
      <x:c r="AH148" s="167" t="str">
        <x:f>IF(AND(AH$6&lt;=$H148,AH$6+6&gt;=$G148),1,"")</x:f>
      </x:c>
      <x:c r="AI148" s="167" t="str">
        <x:f>IF(AND(AI$6&lt;=$H148,AI$6+6&gt;=$G148),1,"")</x:f>
      </x:c>
      <x:c r="AJ148" s="167" t="str">
        <x:f>IF(AND(AJ$6&lt;=$H148,AJ$6+6&gt;=$G148),1,"")</x:f>
      </x:c>
      <x:c r="AK148" s="167" t="str">
        <x:f>IF(AND(AK$6&lt;=$H148,AK$6+6&gt;=$G148),1,"")</x:f>
      </x:c>
      <x:c r="AL148" s="167" t="str">
        <x:f>IF(AND(AL$6&lt;=$H148,AL$6+6&gt;=$G148),1,"")</x:f>
      </x:c>
      <x:c r="AM148" s="167" t="str">
        <x:f>IF(AND(AM$6&lt;=$H148,AM$6+6&gt;=$G148),1,"")</x:f>
      </x:c>
      <x:c r="AN148" s="167" t="str">
        <x:f>IF(AND(AN$6&lt;=$H148,AN$6+6&gt;=$G148),1,"")</x:f>
      </x:c>
      <x:c r="AO148" s="167" t="str">
        <x:f>IF(AND(AO$6&lt;=$H148,AO$6+6&gt;=$G148),1,"")</x:f>
      </x:c>
      <x:c r="AP148" s="167" t="str">
        <x:f>IF(AND(AP$6&lt;=$H148,AP$6+6&gt;=$G148),1,"")</x:f>
      </x:c>
      <x:c r="AQ148" s="167" t="str">
        <x:f>IF(AND(AQ$6&lt;=$H148,AQ$6+6&gt;=$G148),1,"")</x:f>
      </x:c>
      <x:c r="AR148" s="167" t="str">
        <x:f>IF(AND(AR$6&lt;=$H148,AR$6+6&gt;=$G148),1,"")</x:f>
      </x:c>
      <x:c r="AS148" s="167" t="str">
        <x:f>IF(AND(AS$6&lt;=$H148,AS$6+6&gt;=$G148),1,"")</x:f>
      </x:c>
      <x:c r="AT148" s="167" t="str">
        <x:f>IF(AND(AT$6&lt;=$H148,AT$6+6&gt;=$G148),1,"")</x:f>
      </x:c>
      <x:c r="AU148" s="167" t="str">
        <x:f>IF(AND(AU$6&lt;=$H148,AU$6+6&gt;=$G148),1,"")</x:f>
      </x:c>
      <x:c r="AV148" s="167" t="str">
        <x:f>IF(AND(AV$6&lt;=$H148,AV$6+6&gt;=$G148),1,"")</x:f>
      </x:c>
      <x:c r="AW148" s="167" t="str">
        <x:f>IF(AND(AW$6&lt;=$H148,AW$6+6&gt;=$G148),1,"")</x:f>
      </x:c>
      <x:c r="AX148" s="167" t="str">
        <x:f>IF(AND(AX$6&lt;=$H148,AX$6+6&gt;=$G148),1,"")</x:f>
      </x:c>
      <x:c r="AY148" s="167" t="str">
        <x:f>IF(AND(AY$6&lt;=$H148,AY$6+6&gt;=$G148),1,"")</x:f>
      </x:c>
      <x:c r="AZ148" s="167" t="str">
        <x:f>IF(AND(AZ$6&lt;=$H148,AZ$6+6&gt;=$G148),1,"")</x:f>
      </x:c>
      <x:c r="BA148" s="167" t="str">
        <x:f>IF(AND(BA$6&lt;=$H148,BA$6+6&gt;=$G148),1,"")</x:f>
      </x:c>
      <x:c r="BB148" s="167" t="str">
        <x:f>IF(AND(BB$6&lt;=$H148,BB$6+6&gt;=$G148),1,"")</x:f>
      </x:c>
      <x:c r="BC148" s="167" t="str">
        <x:f>IF(AND(BC$6&lt;=$H148,BC$6+6&gt;=$G148),1,"")</x:f>
      </x:c>
      <x:c r="BD148" s="167" t="str">
        <x:f>IF(AND(BD$6&lt;=$H148,BD$6+6&gt;=$G148),1,"")</x:f>
      </x:c>
      <x:c r="BE148" s="167" t="str">
        <x:f>IF(AND(BE$6&lt;=$H148,BE$6+6&gt;=$G148),1,"")</x:f>
      </x:c>
      <x:c r="BF148" s="167" t="str">
        <x:f>IF(AND(BF$6&lt;=$H148,BF$6+6&gt;=$G148),1,"")</x:f>
      </x:c>
      <x:c r="BG148" s="167" t="str">
        <x:f>IF(AND(BG$6&lt;=$H148,BG$6+6&gt;=$G148),1,"")</x:f>
      </x:c>
      <x:c r="BH148" s="167" t="str">
        <x:f>IF(AND(BH$6&lt;=$H148,BH$6+6&gt;=$G148),1,"")</x:f>
      </x:c>
      <x:c r="BI148" s="167" t="str">
        <x:f>IF(AND(BI$6&lt;=$H148,BI$6+6&gt;=$G148),1,"")</x:f>
      </x:c>
      <x:c r="BJ148" s="167" t="str">
        <x:f>IF(AND(BJ$6&lt;=$H148,BJ$6+6&gt;=$G148),1,"")</x:f>
      </x:c>
      <x:c r="BK148" s="167" t="str">
        <x:f>IF(AND(BK$6&lt;=$H148,BK$6+6&gt;=$G148),1,"")</x:f>
      </x:c>
      <x:c r="BL148" s="167" t="str">
        <x:f>IF(AND(BL$6&lt;=$H148,BL$6+6&gt;=$G148),1,"")</x:f>
      </x:c>
      <x:c r="BM148" s="167" t="str">
        <x:f>IF(AND(BM$6&lt;=$H148,BM$6+6&gt;=$G148),1,"")</x:f>
      </x:c>
      <x:c r="BN148" s="167" t="str">
        <x:f>IF(AND(BN$6&lt;=$H148,BN$6+6&gt;=$G148),1,"")</x:f>
      </x:c>
      <x:c r="BO148" s="168" t="str">
        <x:f>IF(AND(BO$6&lt;=$H148,BO$6+6&gt;=$G148),1,"")</x:f>
      </x:c>
    </x:row>
    <x:row r="149" ht="24" customHeight="1">
      <x:c r="A149" s="68" t="str">
        <x:f>'Task Register'!A147</x:f>
        <x:v>T-804</x:v>
      </x:c>
      <x:c r="B149" s="68" t="str">
        <x:f>'Task Register'!B147</x:f>
        <x:v>M8</x:v>
      </x:c>
      <x:c r="C149" s="68" t="str">
        <x:f>'Task Register'!C147</x:f>
        <x:v>Experimental Design</x:v>
      </x:c>
      <x:c r="D149" s="68" t="str">
        <x:f>'Task Register'!D147</x:f>
        <x:v>Define replication, stopping, and analysis plans</x:v>
      </x:c>
      <x:c r="E149" s="68" t="str">
        <x:f>'Task Register'!E147</x:f>
        <x:v>T-801, T-803</x:v>
      </x:c>
      <x:c r="F149" s="68" t="str">
        <x:f>'Task Register'!F147</x:f>
        <x:v>Blocked</x:v>
      </x:c>
      <x:c r="G149" s="94" t="n">
        <x:f>'Task Register'!I147</x:f>
        <x:v>46304</x:v>
      </x:c>
      <x:c r="H149" s="94" t="n">
        <x:f>'Task Register'!J147</x:f>
        <x:v>46308</x:v>
      </x:c>
      <x:c r="I149" s="166" t="str">
        <x:f>IF(AND(I$6&lt;=$H149,I$6+6&gt;=$G149),1,"")</x:f>
      </x:c>
      <x:c r="J149" s="167" t="str">
        <x:f>IF(AND(J$6&lt;=$H149,J$6+6&gt;=$G149),1,"")</x:f>
      </x:c>
      <x:c r="K149" s="167" t="str">
        <x:f>IF(AND(K$6&lt;=$H149,K$6+6&gt;=$G149),1,"")</x:f>
      </x:c>
      <x:c r="L149" s="167" t="str">
        <x:f>IF(AND(L$6&lt;=$H149,L$6+6&gt;=$G149),1,"")</x:f>
      </x:c>
      <x:c r="M149" s="167" t="str">
        <x:f>IF(AND(M$6&lt;=$H149,M$6+6&gt;=$G149),1,"")</x:f>
      </x:c>
      <x:c r="N149" s="167" t="str">
        <x:f>IF(AND(N$6&lt;=$H149,N$6+6&gt;=$G149),1,"")</x:f>
      </x:c>
      <x:c r="O149" s="167" t="str">
        <x:f>IF(AND(O$6&lt;=$H149,O$6+6&gt;=$G149),1,"")</x:f>
      </x:c>
      <x:c r="P149" s="167" t="str">
        <x:f>IF(AND(P$6&lt;=$H149,P$6+6&gt;=$G149),1,"")</x:f>
      </x:c>
      <x:c r="Q149" s="167" t="str">
        <x:f>IF(AND(Q$6&lt;=$H149,Q$6+6&gt;=$G149),1,"")</x:f>
      </x:c>
      <x:c r="R149" s="167" t="n">
        <x:f>IF(AND(R$6&lt;=$H149,R$6+6&gt;=$G149),1,"")</x:f>
        <x:v>1</x:v>
      </x:c>
      <x:c r="S149" s="167" t="n">
        <x:f>IF(AND(S$6&lt;=$H149,S$6+6&gt;=$G149),1,"")</x:f>
        <x:v>1</x:v>
      </x:c>
      <x:c r="T149" s="167" t="str">
        <x:f>IF(AND(T$6&lt;=$H149,T$6+6&gt;=$G149),1,"")</x:f>
      </x:c>
      <x:c r="U149" s="167" t="str">
        <x:f>IF(AND(U$6&lt;=$H149,U$6+6&gt;=$G149),1,"")</x:f>
      </x:c>
      <x:c r="V149" s="167" t="str">
        <x:f>IF(AND(V$6&lt;=$H149,V$6+6&gt;=$G149),1,"")</x:f>
      </x:c>
      <x:c r="W149" s="167" t="str">
        <x:f>IF(AND(W$6&lt;=$H149,W$6+6&gt;=$G149),1,"")</x:f>
      </x:c>
      <x:c r="X149" s="167" t="str">
        <x:f>IF(AND(X$6&lt;=$H149,X$6+6&gt;=$G149),1,"")</x:f>
      </x:c>
      <x:c r="Y149" s="167" t="str">
        <x:f>IF(AND(Y$6&lt;=$H149,Y$6+6&gt;=$G149),1,"")</x:f>
      </x:c>
      <x:c r="Z149" s="167" t="str">
        <x:f>IF(AND(Z$6&lt;=$H149,Z$6+6&gt;=$G149),1,"")</x:f>
      </x:c>
      <x:c r="AA149" s="167" t="str">
        <x:f>IF(AND(AA$6&lt;=$H149,AA$6+6&gt;=$G149),1,"")</x:f>
      </x:c>
      <x:c r="AB149" s="167" t="str">
        <x:f>IF(AND(AB$6&lt;=$H149,AB$6+6&gt;=$G149),1,"")</x:f>
      </x:c>
      <x:c r="AC149" s="167" t="str">
        <x:f>IF(AND(AC$6&lt;=$H149,AC$6+6&gt;=$G149),1,"")</x:f>
      </x:c>
      <x:c r="AD149" s="167" t="str">
        <x:f>IF(AND(AD$6&lt;=$H149,AD$6+6&gt;=$G149),1,"")</x:f>
      </x:c>
      <x:c r="AE149" s="167" t="str">
        <x:f>IF(AND(AE$6&lt;=$H149,AE$6+6&gt;=$G149),1,"")</x:f>
      </x:c>
      <x:c r="AF149" s="167" t="str">
        <x:f>IF(AND(AF$6&lt;=$H149,AF$6+6&gt;=$G149),1,"")</x:f>
      </x:c>
      <x:c r="AG149" s="167" t="str">
        <x:f>IF(AND(AG$6&lt;=$H149,AG$6+6&gt;=$G149),1,"")</x:f>
      </x:c>
      <x:c r="AH149" s="167" t="str">
        <x:f>IF(AND(AH$6&lt;=$H149,AH$6+6&gt;=$G149),1,"")</x:f>
      </x:c>
      <x:c r="AI149" s="167" t="str">
        <x:f>IF(AND(AI$6&lt;=$H149,AI$6+6&gt;=$G149),1,"")</x:f>
      </x:c>
      <x:c r="AJ149" s="167" t="str">
        <x:f>IF(AND(AJ$6&lt;=$H149,AJ$6+6&gt;=$G149),1,"")</x:f>
      </x:c>
      <x:c r="AK149" s="167" t="str">
        <x:f>IF(AND(AK$6&lt;=$H149,AK$6+6&gt;=$G149),1,"")</x:f>
      </x:c>
      <x:c r="AL149" s="167" t="str">
        <x:f>IF(AND(AL$6&lt;=$H149,AL$6+6&gt;=$G149),1,"")</x:f>
      </x:c>
      <x:c r="AM149" s="167" t="str">
        <x:f>IF(AND(AM$6&lt;=$H149,AM$6+6&gt;=$G149),1,"")</x:f>
      </x:c>
      <x:c r="AN149" s="167" t="str">
        <x:f>IF(AND(AN$6&lt;=$H149,AN$6+6&gt;=$G149),1,"")</x:f>
      </x:c>
      <x:c r="AO149" s="167" t="str">
        <x:f>IF(AND(AO$6&lt;=$H149,AO$6+6&gt;=$G149),1,"")</x:f>
      </x:c>
      <x:c r="AP149" s="167" t="str">
        <x:f>IF(AND(AP$6&lt;=$H149,AP$6+6&gt;=$G149),1,"")</x:f>
      </x:c>
      <x:c r="AQ149" s="167" t="str">
        <x:f>IF(AND(AQ$6&lt;=$H149,AQ$6+6&gt;=$G149),1,"")</x:f>
      </x:c>
      <x:c r="AR149" s="167" t="str">
        <x:f>IF(AND(AR$6&lt;=$H149,AR$6+6&gt;=$G149),1,"")</x:f>
      </x:c>
      <x:c r="AS149" s="167" t="str">
        <x:f>IF(AND(AS$6&lt;=$H149,AS$6+6&gt;=$G149),1,"")</x:f>
      </x:c>
      <x:c r="AT149" s="167" t="str">
        <x:f>IF(AND(AT$6&lt;=$H149,AT$6+6&gt;=$G149),1,"")</x:f>
      </x:c>
      <x:c r="AU149" s="167" t="str">
        <x:f>IF(AND(AU$6&lt;=$H149,AU$6+6&gt;=$G149),1,"")</x:f>
      </x:c>
      <x:c r="AV149" s="167" t="str">
        <x:f>IF(AND(AV$6&lt;=$H149,AV$6+6&gt;=$G149),1,"")</x:f>
      </x:c>
      <x:c r="AW149" s="167" t="str">
        <x:f>IF(AND(AW$6&lt;=$H149,AW$6+6&gt;=$G149),1,"")</x:f>
      </x:c>
      <x:c r="AX149" s="167" t="str">
        <x:f>IF(AND(AX$6&lt;=$H149,AX$6+6&gt;=$G149),1,"")</x:f>
      </x:c>
      <x:c r="AY149" s="167" t="str">
        <x:f>IF(AND(AY$6&lt;=$H149,AY$6+6&gt;=$G149),1,"")</x:f>
      </x:c>
      <x:c r="AZ149" s="167" t="str">
        <x:f>IF(AND(AZ$6&lt;=$H149,AZ$6+6&gt;=$G149),1,"")</x:f>
      </x:c>
      <x:c r="BA149" s="167" t="str">
        <x:f>IF(AND(BA$6&lt;=$H149,BA$6+6&gt;=$G149),1,"")</x:f>
      </x:c>
      <x:c r="BB149" s="167" t="str">
        <x:f>IF(AND(BB$6&lt;=$H149,BB$6+6&gt;=$G149),1,"")</x:f>
      </x:c>
      <x:c r="BC149" s="167" t="str">
        <x:f>IF(AND(BC$6&lt;=$H149,BC$6+6&gt;=$G149),1,"")</x:f>
      </x:c>
      <x:c r="BD149" s="167" t="str">
        <x:f>IF(AND(BD$6&lt;=$H149,BD$6+6&gt;=$G149),1,"")</x:f>
      </x:c>
      <x:c r="BE149" s="167" t="str">
        <x:f>IF(AND(BE$6&lt;=$H149,BE$6+6&gt;=$G149),1,"")</x:f>
      </x:c>
      <x:c r="BF149" s="167" t="str">
        <x:f>IF(AND(BF$6&lt;=$H149,BF$6+6&gt;=$G149),1,"")</x:f>
      </x:c>
      <x:c r="BG149" s="167" t="str">
        <x:f>IF(AND(BG$6&lt;=$H149,BG$6+6&gt;=$G149),1,"")</x:f>
      </x:c>
      <x:c r="BH149" s="167" t="str">
        <x:f>IF(AND(BH$6&lt;=$H149,BH$6+6&gt;=$G149),1,"")</x:f>
      </x:c>
      <x:c r="BI149" s="167" t="str">
        <x:f>IF(AND(BI$6&lt;=$H149,BI$6+6&gt;=$G149),1,"")</x:f>
      </x:c>
      <x:c r="BJ149" s="167" t="str">
        <x:f>IF(AND(BJ$6&lt;=$H149,BJ$6+6&gt;=$G149),1,"")</x:f>
      </x:c>
      <x:c r="BK149" s="167" t="str">
        <x:f>IF(AND(BK$6&lt;=$H149,BK$6+6&gt;=$G149),1,"")</x:f>
      </x:c>
      <x:c r="BL149" s="167" t="str">
        <x:f>IF(AND(BL$6&lt;=$H149,BL$6+6&gt;=$G149),1,"")</x:f>
      </x:c>
      <x:c r="BM149" s="167" t="str">
        <x:f>IF(AND(BM$6&lt;=$H149,BM$6+6&gt;=$G149),1,"")</x:f>
      </x:c>
      <x:c r="BN149" s="167" t="str">
        <x:f>IF(AND(BN$6&lt;=$H149,BN$6+6&gt;=$G149),1,"")</x:f>
      </x:c>
      <x:c r="BO149" s="168" t="str">
        <x:f>IF(AND(BO$6&lt;=$H149,BO$6+6&gt;=$G149),1,"")</x:f>
      </x:c>
    </x:row>
    <x:row r="150" ht="24" customHeight="1">
      <x:c r="A150" s="68" t="str">
        <x:f>'Task Register'!A148</x:f>
        <x:v>T-805</x:v>
      </x:c>
      <x:c r="B150" s="68" t="str">
        <x:f>'Task Register'!B148</x:f>
        <x:v>M8</x:v>
      </x:c>
      <x:c r="C150" s="68" t="str">
        <x:f>'Task Register'!C148</x:f>
        <x:v>Validation/Research Ops</x:v>
      </x:c>
      <x:c r="D150" s="68" t="str">
        <x:f>'Task Register'!D148</x:f>
        <x:v>Maintain the capability-readiness matrix</x:v>
      </x:c>
      <x:c r="E150" s="68" t="str">
        <x:f>'Task Register'!E148</x:f>
        <x:v>T-801, T-802</x:v>
      </x:c>
      <x:c r="F150" s="68" t="str">
        <x:f>'Task Register'!F148</x:f>
        <x:v>Blocked</x:v>
      </x:c>
      <x:c r="G150" s="94" t="n">
        <x:f>'Task Register'!I148</x:f>
        <x:v>46309</x:v>
      </x:c>
      <x:c r="H150" s="94" t="n">
        <x:f>'Task Register'!J148</x:f>
        <x:v>46309</x:v>
      </x:c>
      <x:c r="I150" s="166" t="str">
        <x:f>IF(AND(I$6&lt;=$H150,I$6+6&gt;=$G150),1,"")</x:f>
      </x:c>
      <x:c r="J150" s="167" t="str">
        <x:f>IF(AND(J$6&lt;=$H150,J$6+6&gt;=$G150),1,"")</x:f>
      </x:c>
      <x:c r="K150" s="167" t="str">
        <x:f>IF(AND(K$6&lt;=$H150,K$6+6&gt;=$G150),1,"")</x:f>
      </x:c>
      <x:c r="L150" s="167" t="str">
        <x:f>IF(AND(L$6&lt;=$H150,L$6+6&gt;=$G150),1,"")</x:f>
      </x:c>
      <x:c r="M150" s="167" t="str">
        <x:f>IF(AND(M$6&lt;=$H150,M$6+6&gt;=$G150),1,"")</x:f>
      </x:c>
      <x:c r="N150" s="167" t="str">
        <x:f>IF(AND(N$6&lt;=$H150,N$6+6&gt;=$G150),1,"")</x:f>
      </x:c>
      <x:c r="O150" s="167" t="str">
        <x:f>IF(AND(O$6&lt;=$H150,O$6+6&gt;=$G150),1,"")</x:f>
      </x:c>
      <x:c r="P150" s="167" t="str">
        <x:f>IF(AND(P$6&lt;=$H150,P$6+6&gt;=$G150),1,"")</x:f>
      </x:c>
      <x:c r="Q150" s="167" t="str">
        <x:f>IF(AND(Q$6&lt;=$H150,Q$6+6&gt;=$G150),1,"")</x:f>
      </x:c>
      <x:c r="R150" s="167" t="str">
        <x:f>IF(AND(R$6&lt;=$H150,R$6+6&gt;=$G150),1,"")</x:f>
      </x:c>
      <x:c r="S150" s="167" t="n">
        <x:f>IF(AND(S$6&lt;=$H150,S$6+6&gt;=$G150),1,"")</x:f>
        <x:v>1</x:v>
      </x:c>
      <x:c r="T150" s="167" t="str">
        <x:f>IF(AND(T$6&lt;=$H150,T$6+6&gt;=$G150),1,"")</x:f>
      </x:c>
      <x:c r="U150" s="167" t="str">
        <x:f>IF(AND(U$6&lt;=$H150,U$6+6&gt;=$G150),1,"")</x:f>
      </x:c>
      <x:c r="V150" s="167" t="str">
        <x:f>IF(AND(V$6&lt;=$H150,V$6+6&gt;=$G150),1,"")</x:f>
      </x:c>
      <x:c r="W150" s="167" t="str">
        <x:f>IF(AND(W$6&lt;=$H150,W$6+6&gt;=$G150),1,"")</x:f>
      </x:c>
      <x:c r="X150" s="167" t="str">
        <x:f>IF(AND(X$6&lt;=$H150,X$6+6&gt;=$G150),1,"")</x:f>
      </x:c>
      <x:c r="Y150" s="167" t="str">
        <x:f>IF(AND(Y$6&lt;=$H150,Y$6+6&gt;=$G150),1,"")</x:f>
      </x:c>
      <x:c r="Z150" s="167" t="str">
        <x:f>IF(AND(Z$6&lt;=$H150,Z$6+6&gt;=$G150),1,"")</x:f>
      </x:c>
      <x:c r="AA150" s="167" t="str">
        <x:f>IF(AND(AA$6&lt;=$H150,AA$6+6&gt;=$G150),1,"")</x:f>
      </x:c>
      <x:c r="AB150" s="167" t="str">
        <x:f>IF(AND(AB$6&lt;=$H150,AB$6+6&gt;=$G150),1,"")</x:f>
      </x:c>
      <x:c r="AC150" s="167" t="str">
        <x:f>IF(AND(AC$6&lt;=$H150,AC$6+6&gt;=$G150),1,"")</x:f>
      </x:c>
      <x:c r="AD150" s="167" t="str">
        <x:f>IF(AND(AD$6&lt;=$H150,AD$6+6&gt;=$G150),1,"")</x:f>
      </x:c>
      <x:c r="AE150" s="167" t="str">
        <x:f>IF(AND(AE$6&lt;=$H150,AE$6+6&gt;=$G150),1,"")</x:f>
      </x:c>
      <x:c r="AF150" s="167" t="str">
        <x:f>IF(AND(AF$6&lt;=$H150,AF$6+6&gt;=$G150),1,"")</x:f>
      </x:c>
      <x:c r="AG150" s="167" t="str">
        <x:f>IF(AND(AG$6&lt;=$H150,AG$6+6&gt;=$G150),1,"")</x:f>
      </x:c>
      <x:c r="AH150" s="167" t="str">
        <x:f>IF(AND(AH$6&lt;=$H150,AH$6+6&gt;=$G150),1,"")</x:f>
      </x:c>
      <x:c r="AI150" s="167" t="str">
        <x:f>IF(AND(AI$6&lt;=$H150,AI$6+6&gt;=$G150),1,"")</x:f>
      </x:c>
      <x:c r="AJ150" s="167" t="str">
        <x:f>IF(AND(AJ$6&lt;=$H150,AJ$6+6&gt;=$G150),1,"")</x:f>
      </x:c>
      <x:c r="AK150" s="167" t="str">
        <x:f>IF(AND(AK$6&lt;=$H150,AK$6+6&gt;=$G150),1,"")</x:f>
      </x:c>
      <x:c r="AL150" s="167" t="str">
        <x:f>IF(AND(AL$6&lt;=$H150,AL$6+6&gt;=$G150),1,"")</x:f>
      </x:c>
      <x:c r="AM150" s="167" t="str">
        <x:f>IF(AND(AM$6&lt;=$H150,AM$6+6&gt;=$G150),1,"")</x:f>
      </x:c>
      <x:c r="AN150" s="167" t="str">
        <x:f>IF(AND(AN$6&lt;=$H150,AN$6+6&gt;=$G150),1,"")</x:f>
      </x:c>
      <x:c r="AO150" s="167" t="str">
        <x:f>IF(AND(AO$6&lt;=$H150,AO$6+6&gt;=$G150),1,"")</x:f>
      </x:c>
      <x:c r="AP150" s="167" t="str">
        <x:f>IF(AND(AP$6&lt;=$H150,AP$6+6&gt;=$G150),1,"")</x:f>
      </x:c>
      <x:c r="AQ150" s="167" t="str">
        <x:f>IF(AND(AQ$6&lt;=$H150,AQ$6+6&gt;=$G150),1,"")</x:f>
      </x:c>
      <x:c r="AR150" s="167" t="str">
        <x:f>IF(AND(AR$6&lt;=$H150,AR$6+6&gt;=$G150),1,"")</x:f>
      </x:c>
      <x:c r="AS150" s="167" t="str">
        <x:f>IF(AND(AS$6&lt;=$H150,AS$6+6&gt;=$G150),1,"")</x:f>
      </x:c>
      <x:c r="AT150" s="167" t="str">
        <x:f>IF(AND(AT$6&lt;=$H150,AT$6+6&gt;=$G150),1,"")</x:f>
      </x:c>
      <x:c r="AU150" s="167" t="str">
        <x:f>IF(AND(AU$6&lt;=$H150,AU$6+6&gt;=$G150),1,"")</x:f>
      </x:c>
      <x:c r="AV150" s="167" t="str">
        <x:f>IF(AND(AV$6&lt;=$H150,AV$6+6&gt;=$G150),1,"")</x:f>
      </x:c>
      <x:c r="AW150" s="167" t="str">
        <x:f>IF(AND(AW$6&lt;=$H150,AW$6+6&gt;=$G150),1,"")</x:f>
      </x:c>
      <x:c r="AX150" s="167" t="str">
        <x:f>IF(AND(AX$6&lt;=$H150,AX$6+6&gt;=$G150),1,"")</x:f>
      </x:c>
      <x:c r="AY150" s="167" t="str">
        <x:f>IF(AND(AY$6&lt;=$H150,AY$6+6&gt;=$G150),1,"")</x:f>
      </x:c>
      <x:c r="AZ150" s="167" t="str">
        <x:f>IF(AND(AZ$6&lt;=$H150,AZ$6+6&gt;=$G150),1,"")</x:f>
      </x:c>
      <x:c r="BA150" s="167" t="str">
        <x:f>IF(AND(BA$6&lt;=$H150,BA$6+6&gt;=$G150),1,"")</x:f>
      </x:c>
      <x:c r="BB150" s="167" t="str">
        <x:f>IF(AND(BB$6&lt;=$H150,BB$6+6&gt;=$G150),1,"")</x:f>
      </x:c>
      <x:c r="BC150" s="167" t="str">
        <x:f>IF(AND(BC$6&lt;=$H150,BC$6+6&gt;=$G150),1,"")</x:f>
      </x:c>
      <x:c r="BD150" s="167" t="str">
        <x:f>IF(AND(BD$6&lt;=$H150,BD$6+6&gt;=$G150),1,"")</x:f>
      </x:c>
      <x:c r="BE150" s="167" t="str">
        <x:f>IF(AND(BE$6&lt;=$H150,BE$6+6&gt;=$G150),1,"")</x:f>
      </x:c>
      <x:c r="BF150" s="167" t="str">
        <x:f>IF(AND(BF$6&lt;=$H150,BF$6+6&gt;=$G150),1,"")</x:f>
      </x:c>
      <x:c r="BG150" s="167" t="str">
        <x:f>IF(AND(BG$6&lt;=$H150,BG$6+6&gt;=$G150),1,"")</x:f>
      </x:c>
      <x:c r="BH150" s="167" t="str">
        <x:f>IF(AND(BH$6&lt;=$H150,BH$6+6&gt;=$G150),1,"")</x:f>
      </x:c>
      <x:c r="BI150" s="167" t="str">
        <x:f>IF(AND(BI$6&lt;=$H150,BI$6+6&gt;=$G150),1,"")</x:f>
      </x:c>
      <x:c r="BJ150" s="167" t="str">
        <x:f>IF(AND(BJ$6&lt;=$H150,BJ$6+6&gt;=$G150),1,"")</x:f>
      </x:c>
      <x:c r="BK150" s="167" t="str">
        <x:f>IF(AND(BK$6&lt;=$H150,BK$6+6&gt;=$G150),1,"")</x:f>
      </x:c>
      <x:c r="BL150" s="167" t="str">
        <x:f>IF(AND(BL$6&lt;=$H150,BL$6+6&gt;=$G150),1,"")</x:f>
      </x:c>
      <x:c r="BM150" s="167" t="str">
        <x:f>IF(AND(BM$6&lt;=$H150,BM$6+6&gt;=$G150),1,"")</x:f>
      </x:c>
      <x:c r="BN150" s="167" t="str">
        <x:f>IF(AND(BN$6&lt;=$H150,BN$6+6&gt;=$G150),1,"")</x:f>
      </x:c>
      <x:c r="BO150" s="168" t="str">
        <x:f>IF(AND(BO$6&lt;=$H150,BO$6+6&gt;=$G150),1,"")</x:f>
      </x:c>
    </x:row>
    <x:row r="151" ht="24" customHeight="1">
      <x:c r="A151" s="68" t="str">
        <x:f>'Task Register'!A149</x:f>
        <x:v>T-806</x:v>
      </x:c>
      <x:c r="B151" s="68" t="str">
        <x:f>'Task Register'!B149</x:f>
        <x:v>M8</x:v>
      </x:c>
      <x:c r="C151" s="68" t="str">
        <x:f>'Task Register'!C149</x:f>
        <x:v>Baseline Research</x:v>
      </x:c>
      <x:c r="D151" s="68" t="str">
        <x:f>'Task Register'!D149</x:f>
        <x:v>Publish the formal baseline and approximation report</x:v>
      </x:c>
      <x:c r="E151" s="68" t="str">
        <x:f>'Task Register'!E149</x:f>
        <x:v>AI-114, AI-115, T-802, T-803</x:v>
      </x:c>
      <x:c r="F151" s="68" t="str">
        <x:f>'Task Register'!F149</x:f>
        <x:v>Blocked</x:v>
      </x:c>
      <x:c r="G151" s="94" t="n">
        <x:f>'Task Register'!I149</x:f>
        <x:v>46310</x:v>
      </x:c>
      <x:c r="H151" s="94" t="n">
        <x:f>'Task Register'!J149</x:f>
        <x:v>46315</x:v>
      </x:c>
      <x:c r="I151" s="166" t="str">
        <x:f>IF(AND(I$6&lt;=$H151,I$6+6&gt;=$G151),1,"")</x:f>
      </x:c>
      <x:c r="J151" s="167" t="str">
        <x:f>IF(AND(J$6&lt;=$H151,J$6+6&gt;=$G151),1,"")</x:f>
      </x:c>
      <x:c r="K151" s="167" t="str">
        <x:f>IF(AND(K$6&lt;=$H151,K$6+6&gt;=$G151),1,"")</x:f>
      </x:c>
      <x:c r="L151" s="167" t="str">
        <x:f>IF(AND(L$6&lt;=$H151,L$6+6&gt;=$G151),1,"")</x:f>
      </x:c>
      <x:c r="M151" s="167" t="str">
        <x:f>IF(AND(M$6&lt;=$H151,M$6+6&gt;=$G151),1,"")</x:f>
      </x:c>
      <x:c r="N151" s="167" t="str">
        <x:f>IF(AND(N$6&lt;=$H151,N$6+6&gt;=$G151),1,"")</x:f>
      </x:c>
      <x:c r="O151" s="167" t="str">
        <x:f>IF(AND(O$6&lt;=$H151,O$6+6&gt;=$G151),1,"")</x:f>
      </x:c>
      <x:c r="P151" s="167" t="str">
        <x:f>IF(AND(P$6&lt;=$H151,P$6+6&gt;=$G151),1,"")</x:f>
      </x:c>
      <x:c r="Q151" s="167" t="str">
        <x:f>IF(AND(Q$6&lt;=$H151,Q$6+6&gt;=$G151),1,"")</x:f>
      </x:c>
      <x:c r="R151" s="167" t="str">
        <x:f>IF(AND(R$6&lt;=$H151,R$6+6&gt;=$G151),1,"")</x:f>
      </x:c>
      <x:c r="S151" s="167" t="n">
        <x:f>IF(AND(S$6&lt;=$H151,S$6+6&gt;=$G151),1,"")</x:f>
        <x:v>1</x:v>
      </x:c>
      <x:c r="T151" s="167" t="n">
        <x:f>IF(AND(T$6&lt;=$H151,T$6+6&gt;=$G151),1,"")</x:f>
        <x:v>1</x:v>
      </x:c>
      <x:c r="U151" s="167" t="str">
        <x:f>IF(AND(U$6&lt;=$H151,U$6+6&gt;=$G151),1,"")</x:f>
      </x:c>
      <x:c r="V151" s="167" t="str">
        <x:f>IF(AND(V$6&lt;=$H151,V$6+6&gt;=$G151),1,"")</x:f>
      </x:c>
      <x:c r="W151" s="167" t="str">
        <x:f>IF(AND(W$6&lt;=$H151,W$6+6&gt;=$G151),1,"")</x:f>
      </x:c>
      <x:c r="X151" s="167" t="str">
        <x:f>IF(AND(X$6&lt;=$H151,X$6+6&gt;=$G151),1,"")</x:f>
      </x:c>
      <x:c r="Y151" s="167" t="str">
        <x:f>IF(AND(Y$6&lt;=$H151,Y$6+6&gt;=$G151),1,"")</x:f>
      </x:c>
      <x:c r="Z151" s="167" t="str">
        <x:f>IF(AND(Z$6&lt;=$H151,Z$6+6&gt;=$G151),1,"")</x:f>
      </x:c>
      <x:c r="AA151" s="167" t="str">
        <x:f>IF(AND(AA$6&lt;=$H151,AA$6+6&gt;=$G151),1,"")</x:f>
      </x:c>
      <x:c r="AB151" s="167" t="str">
        <x:f>IF(AND(AB$6&lt;=$H151,AB$6+6&gt;=$G151),1,"")</x:f>
      </x:c>
      <x:c r="AC151" s="167" t="str">
        <x:f>IF(AND(AC$6&lt;=$H151,AC$6+6&gt;=$G151),1,"")</x:f>
      </x:c>
      <x:c r="AD151" s="167" t="str">
        <x:f>IF(AND(AD$6&lt;=$H151,AD$6+6&gt;=$G151),1,"")</x:f>
      </x:c>
      <x:c r="AE151" s="167" t="str">
        <x:f>IF(AND(AE$6&lt;=$H151,AE$6+6&gt;=$G151),1,"")</x:f>
      </x:c>
      <x:c r="AF151" s="167" t="str">
        <x:f>IF(AND(AF$6&lt;=$H151,AF$6+6&gt;=$G151),1,"")</x:f>
      </x:c>
      <x:c r="AG151" s="167" t="str">
        <x:f>IF(AND(AG$6&lt;=$H151,AG$6+6&gt;=$G151),1,"")</x:f>
      </x:c>
      <x:c r="AH151" s="167" t="str">
        <x:f>IF(AND(AH$6&lt;=$H151,AH$6+6&gt;=$G151),1,"")</x:f>
      </x:c>
      <x:c r="AI151" s="167" t="str">
        <x:f>IF(AND(AI$6&lt;=$H151,AI$6+6&gt;=$G151),1,"")</x:f>
      </x:c>
      <x:c r="AJ151" s="167" t="str">
        <x:f>IF(AND(AJ$6&lt;=$H151,AJ$6+6&gt;=$G151),1,"")</x:f>
      </x:c>
      <x:c r="AK151" s="167" t="str">
        <x:f>IF(AND(AK$6&lt;=$H151,AK$6+6&gt;=$G151),1,"")</x:f>
      </x:c>
      <x:c r="AL151" s="167" t="str">
        <x:f>IF(AND(AL$6&lt;=$H151,AL$6+6&gt;=$G151),1,"")</x:f>
      </x:c>
      <x:c r="AM151" s="167" t="str">
        <x:f>IF(AND(AM$6&lt;=$H151,AM$6+6&gt;=$G151),1,"")</x:f>
      </x:c>
      <x:c r="AN151" s="167" t="str">
        <x:f>IF(AND(AN$6&lt;=$H151,AN$6+6&gt;=$G151),1,"")</x:f>
      </x:c>
      <x:c r="AO151" s="167" t="str">
        <x:f>IF(AND(AO$6&lt;=$H151,AO$6+6&gt;=$G151),1,"")</x:f>
      </x:c>
      <x:c r="AP151" s="167" t="str">
        <x:f>IF(AND(AP$6&lt;=$H151,AP$6+6&gt;=$G151),1,"")</x:f>
      </x:c>
      <x:c r="AQ151" s="167" t="str">
        <x:f>IF(AND(AQ$6&lt;=$H151,AQ$6+6&gt;=$G151),1,"")</x:f>
      </x:c>
      <x:c r="AR151" s="167" t="str">
        <x:f>IF(AND(AR$6&lt;=$H151,AR$6+6&gt;=$G151),1,"")</x:f>
      </x:c>
      <x:c r="AS151" s="167" t="str">
        <x:f>IF(AND(AS$6&lt;=$H151,AS$6+6&gt;=$G151),1,"")</x:f>
      </x:c>
      <x:c r="AT151" s="167" t="str">
        <x:f>IF(AND(AT$6&lt;=$H151,AT$6+6&gt;=$G151),1,"")</x:f>
      </x:c>
      <x:c r="AU151" s="167" t="str">
        <x:f>IF(AND(AU$6&lt;=$H151,AU$6+6&gt;=$G151),1,"")</x:f>
      </x:c>
      <x:c r="AV151" s="167" t="str">
        <x:f>IF(AND(AV$6&lt;=$H151,AV$6+6&gt;=$G151),1,"")</x:f>
      </x:c>
      <x:c r="AW151" s="167" t="str">
        <x:f>IF(AND(AW$6&lt;=$H151,AW$6+6&gt;=$G151),1,"")</x:f>
      </x:c>
      <x:c r="AX151" s="167" t="str">
        <x:f>IF(AND(AX$6&lt;=$H151,AX$6+6&gt;=$G151),1,"")</x:f>
      </x:c>
      <x:c r="AY151" s="167" t="str">
        <x:f>IF(AND(AY$6&lt;=$H151,AY$6+6&gt;=$G151),1,"")</x:f>
      </x:c>
      <x:c r="AZ151" s="167" t="str">
        <x:f>IF(AND(AZ$6&lt;=$H151,AZ$6+6&gt;=$G151),1,"")</x:f>
      </x:c>
      <x:c r="BA151" s="167" t="str">
        <x:f>IF(AND(BA$6&lt;=$H151,BA$6+6&gt;=$G151),1,"")</x:f>
      </x:c>
      <x:c r="BB151" s="167" t="str">
        <x:f>IF(AND(BB$6&lt;=$H151,BB$6+6&gt;=$G151),1,"")</x:f>
      </x:c>
      <x:c r="BC151" s="167" t="str">
        <x:f>IF(AND(BC$6&lt;=$H151,BC$6+6&gt;=$G151),1,"")</x:f>
      </x:c>
      <x:c r="BD151" s="167" t="str">
        <x:f>IF(AND(BD$6&lt;=$H151,BD$6+6&gt;=$G151),1,"")</x:f>
      </x:c>
      <x:c r="BE151" s="167" t="str">
        <x:f>IF(AND(BE$6&lt;=$H151,BE$6+6&gt;=$G151),1,"")</x:f>
      </x:c>
      <x:c r="BF151" s="167" t="str">
        <x:f>IF(AND(BF$6&lt;=$H151,BF$6+6&gt;=$G151),1,"")</x:f>
      </x:c>
      <x:c r="BG151" s="167" t="str">
        <x:f>IF(AND(BG$6&lt;=$H151,BG$6+6&gt;=$G151),1,"")</x:f>
      </x:c>
      <x:c r="BH151" s="167" t="str">
        <x:f>IF(AND(BH$6&lt;=$H151,BH$6+6&gt;=$G151),1,"")</x:f>
      </x:c>
      <x:c r="BI151" s="167" t="str">
        <x:f>IF(AND(BI$6&lt;=$H151,BI$6+6&gt;=$G151),1,"")</x:f>
      </x:c>
      <x:c r="BJ151" s="167" t="str">
        <x:f>IF(AND(BJ$6&lt;=$H151,BJ$6+6&gt;=$G151),1,"")</x:f>
      </x:c>
      <x:c r="BK151" s="167" t="str">
        <x:f>IF(AND(BK$6&lt;=$H151,BK$6+6&gt;=$G151),1,"")</x:f>
      </x:c>
      <x:c r="BL151" s="167" t="str">
        <x:f>IF(AND(BL$6&lt;=$H151,BL$6+6&gt;=$G151),1,"")</x:f>
      </x:c>
      <x:c r="BM151" s="167" t="str">
        <x:f>IF(AND(BM$6&lt;=$H151,BM$6+6&gt;=$G151),1,"")</x:f>
      </x:c>
      <x:c r="BN151" s="167" t="str">
        <x:f>IF(AND(BN$6&lt;=$H151,BN$6+6&gt;=$G151),1,"")</x:f>
      </x:c>
      <x:c r="BO151" s="168" t="str">
        <x:f>IF(AND(BO$6&lt;=$H151,BO$6+6&gt;=$G151),1,"")</x:f>
      </x:c>
    </x:row>
    <x:row r="152" ht="24" customHeight="1">
      <x:c r="A152" s="68" t="str">
        <x:f>'Task Register'!A150</x:f>
        <x:v>T-816</x:v>
      </x:c>
      <x:c r="B152" s="68" t="str">
        <x:f>'Task Register'!B150</x:f>
        <x:v>M8</x:v>
      </x:c>
      <x:c r="C152" s="68" t="str">
        <x:f>'Task Register'!C150</x:f>
        <x:v>Research Communication/Art</x:v>
      </x:c>
      <x:c r="D152" s="68" t="str">
        <x:f>'Task Register'!D150</x:f>
        <x:v>Define qualitative and conceptual-artifact protocol</x:v>
      </x:c>
      <x:c r="E152" s="68" t="str">
        <x:f>'Task Register'!E150</x:f>
        <x:v>T-803</x:v>
      </x:c>
      <x:c r="F152" s="68" t="str">
        <x:f>'Task Register'!F150</x:f>
        <x:v>Blocked</x:v>
      </x:c>
      <x:c r="G152" s="94" t="n">
        <x:f>'Task Register'!I150</x:f>
        <x:v>46316</x:v>
      </x:c>
      <x:c r="H152" s="94" t="n">
        <x:f>'Task Register'!J150</x:f>
        <x:v>46318</x:v>
      </x:c>
      <x:c r="I152" s="166" t="str">
        <x:f>IF(AND(I$6&lt;=$H152,I$6+6&gt;=$G152),1,"")</x:f>
      </x:c>
      <x:c r="J152" s="167" t="str">
        <x:f>IF(AND(J$6&lt;=$H152,J$6+6&gt;=$G152),1,"")</x:f>
      </x:c>
      <x:c r="K152" s="167" t="str">
        <x:f>IF(AND(K$6&lt;=$H152,K$6+6&gt;=$G152),1,"")</x:f>
      </x:c>
      <x:c r="L152" s="167" t="str">
        <x:f>IF(AND(L$6&lt;=$H152,L$6+6&gt;=$G152),1,"")</x:f>
      </x:c>
      <x:c r="M152" s="167" t="str">
        <x:f>IF(AND(M$6&lt;=$H152,M$6+6&gt;=$G152),1,"")</x:f>
      </x:c>
      <x:c r="N152" s="167" t="str">
        <x:f>IF(AND(N$6&lt;=$H152,N$6+6&gt;=$G152),1,"")</x:f>
      </x:c>
      <x:c r="O152" s="167" t="str">
        <x:f>IF(AND(O$6&lt;=$H152,O$6+6&gt;=$G152),1,"")</x:f>
      </x:c>
      <x:c r="P152" s="167" t="str">
        <x:f>IF(AND(P$6&lt;=$H152,P$6+6&gt;=$G152),1,"")</x:f>
      </x:c>
      <x:c r="Q152" s="167" t="str">
        <x:f>IF(AND(Q$6&lt;=$H152,Q$6+6&gt;=$G152),1,"")</x:f>
      </x:c>
      <x:c r="R152" s="167" t="str">
        <x:f>IF(AND(R$6&lt;=$H152,R$6+6&gt;=$G152),1,"")</x:f>
      </x:c>
      <x:c r="S152" s="167" t="str">
        <x:f>IF(AND(S$6&lt;=$H152,S$6+6&gt;=$G152),1,"")</x:f>
      </x:c>
      <x:c r="T152" s="167" t="n">
        <x:f>IF(AND(T$6&lt;=$H152,T$6+6&gt;=$G152),1,"")</x:f>
        <x:v>1</x:v>
      </x:c>
      <x:c r="U152" s="167" t="str">
        <x:f>IF(AND(U$6&lt;=$H152,U$6+6&gt;=$G152),1,"")</x:f>
      </x:c>
      <x:c r="V152" s="167" t="str">
        <x:f>IF(AND(V$6&lt;=$H152,V$6+6&gt;=$G152),1,"")</x:f>
      </x:c>
      <x:c r="W152" s="167" t="str">
        <x:f>IF(AND(W$6&lt;=$H152,W$6+6&gt;=$G152),1,"")</x:f>
      </x:c>
      <x:c r="X152" s="167" t="str">
        <x:f>IF(AND(X$6&lt;=$H152,X$6+6&gt;=$G152),1,"")</x:f>
      </x:c>
      <x:c r="Y152" s="167" t="str">
        <x:f>IF(AND(Y$6&lt;=$H152,Y$6+6&gt;=$G152),1,"")</x:f>
      </x:c>
      <x:c r="Z152" s="167" t="str">
        <x:f>IF(AND(Z$6&lt;=$H152,Z$6+6&gt;=$G152),1,"")</x:f>
      </x:c>
      <x:c r="AA152" s="167" t="str">
        <x:f>IF(AND(AA$6&lt;=$H152,AA$6+6&gt;=$G152),1,"")</x:f>
      </x:c>
      <x:c r="AB152" s="167" t="str">
        <x:f>IF(AND(AB$6&lt;=$H152,AB$6+6&gt;=$G152),1,"")</x:f>
      </x:c>
      <x:c r="AC152" s="167" t="str">
        <x:f>IF(AND(AC$6&lt;=$H152,AC$6+6&gt;=$G152),1,"")</x:f>
      </x:c>
      <x:c r="AD152" s="167" t="str">
        <x:f>IF(AND(AD$6&lt;=$H152,AD$6+6&gt;=$G152),1,"")</x:f>
      </x:c>
      <x:c r="AE152" s="167" t="str">
        <x:f>IF(AND(AE$6&lt;=$H152,AE$6+6&gt;=$G152),1,"")</x:f>
      </x:c>
      <x:c r="AF152" s="167" t="str">
        <x:f>IF(AND(AF$6&lt;=$H152,AF$6+6&gt;=$G152),1,"")</x:f>
      </x:c>
      <x:c r="AG152" s="167" t="str">
        <x:f>IF(AND(AG$6&lt;=$H152,AG$6+6&gt;=$G152),1,"")</x:f>
      </x:c>
      <x:c r="AH152" s="167" t="str">
        <x:f>IF(AND(AH$6&lt;=$H152,AH$6+6&gt;=$G152),1,"")</x:f>
      </x:c>
      <x:c r="AI152" s="167" t="str">
        <x:f>IF(AND(AI$6&lt;=$H152,AI$6+6&gt;=$G152),1,"")</x:f>
      </x:c>
      <x:c r="AJ152" s="167" t="str">
        <x:f>IF(AND(AJ$6&lt;=$H152,AJ$6+6&gt;=$G152),1,"")</x:f>
      </x:c>
      <x:c r="AK152" s="167" t="str">
        <x:f>IF(AND(AK$6&lt;=$H152,AK$6+6&gt;=$G152),1,"")</x:f>
      </x:c>
      <x:c r="AL152" s="167" t="str">
        <x:f>IF(AND(AL$6&lt;=$H152,AL$6+6&gt;=$G152),1,"")</x:f>
      </x:c>
      <x:c r="AM152" s="167" t="str">
        <x:f>IF(AND(AM$6&lt;=$H152,AM$6+6&gt;=$G152),1,"")</x:f>
      </x:c>
      <x:c r="AN152" s="167" t="str">
        <x:f>IF(AND(AN$6&lt;=$H152,AN$6+6&gt;=$G152),1,"")</x:f>
      </x:c>
      <x:c r="AO152" s="167" t="str">
        <x:f>IF(AND(AO$6&lt;=$H152,AO$6+6&gt;=$G152),1,"")</x:f>
      </x:c>
      <x:c r="AP152" s="167" t="str">
        <x:f>IF(AND(AP$6&lt;=$H152,AP$6+6&gt;=$G152),1,"")</x:f>
      </x:c>
      <x:c r="AQ152" s="167" t="str">
        <x:f>IF(AND(AQ$6&lt;=$H152,AQ$6+6&gt;=$G152),1,"")</x:f>
      </x:c>
      <x:c r="AR152" s="167" t="str">
        <x:f>IF(AND(AR$6&lt;=$H152,AR$6+6&gt;=$G152),1,"")</x:f>
      </x:c>
      <x:c r="AS152" s="167" t="str">
        <x:f>IF(AND(AS$6&lt;=$H152,AS$6+6&gt;=$G152),1,"")</x:f>
      </x:c>
      <x:c r="AT152" s="167" t="str">
        <x:f>IF(AND(AT$6&lt;=$H152,AT$6+6&gt;=$G152),1,"")</x:f>
      </x:c>
      <x:c r="AU152" s="167" t="str">
        <x:f>IF(AND(AU$6&lt;=$H152,AU$6+6&gt;=$G152),1,"")</x:f>
      </x:c>
      <x:c r="AV152" s="167" t="str">
        <x:f>IF(AND(AV$6&lt;=$H152,AV$6+6&gt;=$G152),1,"")</x:f>
      </x:c>
      <x:c r="AW152" s="167" t="str">
        <x:f>IF(AND(AW$6&lt;=$H152,AW$6+6&gt;=$G152),1,"")</x:f>
      </x:c>
      <x:c r="AX152" s="167" t="str">
        <x:f>IF(AND(AX$6&lt;=$H152,AX$6+6&gt;=$G152),1,"")</x:f>
      </x:c>
      <x:c r="AY152" s="167" t="str">
        <x:f>IF(AND(AY$6&lt;=$H152,AY$6+6&gt;=$G152),1,"")</x:f>
      </x:c>
      <x:c r="AZ152" s="167" t="str">
        <x:f>IF(AND(AZ$6&lt;=$H152,AZ$6+6&gt;=$G152),1,"")</x:f>
      </x:c>
      <x:c r="BA152" s="167" t="str">
        <x:f>IF(AND(BA$6&lt;=$H152,BA$6+6&gt;=$G152),1,"")</x:f>
      </x:c>
      <x:c r="BB152" s="167" t="str">
        <x:f>IF(AND(BB$6&lt;=$H152,BB$6+6&gt;=$G152),1,"")</x:f>
      </x:c>
      <x:c r="BC152" s="167" t="str">
        <x:f>IF(AND(BC$6&lt;=$H152,BC$6+6&gt;=$G152),1,"")</x:f>
      </x:c>
      <x:c r="BD152" s="167" t="str">
        <x:f>IF(AND(BD$6&lt;=$H152,BD$6+6&gt;=$G152),1,"")</x:f>
      </x:c>
      <x:c r="BE152" s="167" t="str">
        <x:f>IF(AND(BE$6&lt;=$H152,BE$6+6&gt;=$G152),1,"")</x:f>
      </x:c>
      <x:c r="BF152" s="167" t="str">
        <x:f>IF(AND(BF$6&lt;=$H152,BF$6+6&gt;=$G152),1,"")</x:f>
      </x:c>
      <x:c r="BG152" s="167" t="str">
        <x:f>IF(AND(BG$6&lt;=$H152,BG$6+6&gt;=$G152),1,"")</x:f>
      </x:c>
      <x:c r="BH152" s="167" t="str">
        <x:f>IF(AND(BH$6&lt;=$H152,BH$6+6&gt;=$G152),1,"")</x:f>
      </x:c>
      <x:c r="BI152" s="167" t="str">
        <x:f>IF(AND(BI$6&lt;=$H152,BI$6+6&gt;=$G152),1,"")</x:f>
      </x:c>
      <x:c r="BJ152" s="167" t="str">
        <x:f>IF(AND(BJ$6&lt;=$H152,BJ$6+6&gt;=$G152),1,"")</x:f>
      </x:c>
      <x:c r="BK152" s="167" t="str">
        <x:f>IF(AND(BK$6&lt;=$H152,BK$6+6&gt;=$G152),1,"")</x:f>
      </x:c>
      <x:c r="BL152" s="167" t="str">
        <x:f>IF(AND(BL$6&lt;=$H152,BL$6+6&gt;=$G152),1,"")</x:f>
      </x:c>
      <x:c r="BM152" s="167" t="str">
        <x:f>IF(AND(BM$6&lt;=$H152,BM$6+6&gt;=$G152),1,"")</x:f>
      </x:c>
      <x:c r="BN152" s="167" t="str">
        <x:f>IF(AND(BN$6&lt;=$H152,BN$6+6&gt;=$G152),1,"")</x:f>
      </x:c>
      <x:c r="BO152" s="168" t="str">
        <x:f>IF(AND(BO$6&lt;=$H152,BO$6+6&gt;=$G152),1,"")</x:f>
      </x:c>
    </x:row>
    <x:row r="153" ht="24" customHeight="1">
      <x:c r="A153" s="68" t="str">
        <x:f>'Task Register'!A151</x:f>
        <x:v>T-807</x:v>
      </x:c>
      <x:c r="B153" s="68" t="str">
        <x:f>'Task Register'!B151</x:f>
        <x:v>M8</x:v>
      </x:c>
      <x:c r="C153" s="68" t="str">
        <x:f>'Task Register'!C151</x:f>
        <x:v>Research/Active Vision</x:v>
      </x:c>
      <x:c r="D153" s="68" t="str">
        <x:f>'Task Register'!D151</x:f>
        <x:v>Test H1: active foveation</x:v>
      </x:c>
      <x:c r="E153" s="68" t="str">
        <x:f>'Task Register'!E151</x:f>
        <x:v>AI-304, AI-313, T-804, T-805</x:v>
      </x:c>
      <x:c r="F153" s="68" t="str">
        <x:f>'Task Register'!F151</x:f>
        <x:v>Blocked</x:v>
      </x:c>
      <x:c r="G153" s="94" t="n">
        <x:f>'Task Register'!I151</x:f>
        <x:v>46496</x:v>
      </x:c>
      <x:c r="H153" s="94" t="n">
        <x:f>'Task Register'!J151</x:f>
        <x:v>46504</x:v>
      </x:c>
      <x:c r="I153" s="166" t="str">
        <x:f>IF(AND(I$6&lt;=$H153,I$6+6&gt;=$G153),1,"")</x:f>
      </x:c>
      <x:c r="J153" s="167" t="str">
        <x:f>IF(AND(J$6&lt;=$H153,J$6+6&gt;=$G153),1,"")</x:f>
      </x:c>
      <x:c r="K153" s="167" t="str">
        <x:f>IF(AND(K$6&lt;=$H153,K$6+6&gt;=$G153),1,"")</x:f>
      </x:c>
      <x:c r="L153" s="167" t="str">
        <x:f>IF(AND(L$6&lt;=$H153,L$6+6&gt;=$G153),1,"")</x:f>
      </x:c>
      <x:c r="M153" s="167" t="str">
        <x:f>IF(AND(M$6&lt;=$H153,M$6+6&gt;=$G153),1,"")</x:f>
      </x:c>
      <x:c r="N153" s="167" t="str">
        <x:f>IF(AND(N$6&lt;=$H153,N$6+6&gt;=$G153),1,"")</x:f>
      </x:c>
      <x:c r="O153" s="167" t="str">
        <x:f>IF(AND(O$6&lt;=$H153,O$6+6&gt;=$G153),1,"")</x:f>
      </x:c>
      <x:c r="P153" s="167" t="str">
        <x:f>IF(AND(P$6&lt;=$H153,P$6+6&gt;=$G153),1,"")</x:f>
      </x:c>
      <x:c r="Q153" s="167" t="str">
        <x:f>IF(AND(Q$6&lt;=$H153,Q$6+6&gt;=$G153),1,"")</x:f>
      </x:c>
      <x:c r="R153" s="167" t="str">
        <x:f>IF(AND(R$6&lt;=$H153,R$6+6&gt;=$G153),1,"")</x:f>
      </x:c>
      <x:c r="S153" s="167" t="str">
        <x:f>IF(AND(S$6&lt;=$H153,S$6+6&gt;=$G153),1,"")</x:f>
      </x:c>
      <x:c r="T153" s="167" t="str">
        <x:f>IF(AND(T$6&lt;=$H153,T$6+6&gt;=$G153),1,"")</x:f>
      </x:c>
      <x:c r="U153" s="167" t="str">
        <x:f>IF(AND(U$6&lt;=$H153,U$6+6&gt;=$G153),1,"")</x:f>
      </x:c>
      <x:c r="V153" s="167" t="str">
        <x:f>IF(AND(V$6&lt;=$H153,V$6+6&gt;=$G153),1,"")</x:f>
      </x:c>
      <x:c r="W153" s="167" t="str">
        <x:f>IF(AND(W$6&lt;=$H153,W$6+6&gt;=$G153),1,"")</x:f>
      </x:c>
      <x:c r="X153" s="167" t="str">
        <x:f>IF(AND(X$6&lt;=$H153,X$6+6&gt;=$G153),1,"")</x:f>
      </x:c>
      <x:c r="Y153" s="167" t="str">
        <x:f>IF(AND(Y$6&lt;=$H153,Y$6+6&gt;=$G153),1,"")</x:f>
      </x:c>
      <x:c r="Z153" s="167" t="str">
        <x:f>IF(AND(Z$6&lt;=$H153,Z$6+6&gt;=$G153),1,"")</x:f>
      </x:c>
      <x:c r="AA153" s="167" t="str">
        <x:f>IF(AND(AA$6&lt;=$H153,AA$6+6&gt;=$G153),1,"")</x:f>
      </x:c>
      <x:c r="AB153" s="167" t="str">
        <x:f>IF(AND(AB$6&lt;=$H153,AB$6+6&gt;=$G153),1,"")</x:f>
      </x:c>
      <x:c r="AC153" s="167" t="str">
        <x:f>IF(AND(AC$6&lt;=$H153,AC$6+6&gt;=$G153),1,"")</x:f>
      </x:c>
      <x:c r="AD153" s="167" t="str">
        <x:f>IF(AND(AD$6&lt;=$H153,AD$6+6&gt;=$G153),1,"")</x:f>
      </x:c>
      <x:c r="AE153" s="167" t="str">
        <x:f>IF(AND(AE$6&lt;=$H153,AE$6+6&gt;=$G153),1,"")</x:f>
      </x:c>
      <x:c r="AF153" s="167" t="str">
        <x:f>IF(AND(AF$6&lt;=$H153,AF$6+6&gt;=$G153),1,"")</x:f>
      </x:c>
      <x:c r="AG153" s="167" t="str">
        <x:f>IF(AND(AG$6&lt;=$H153,AG$6+6&gt;=$G153),1,"")</x:f>
      </x:c>
      <x:c r="AH153" s="167" t="str">
        <x:f>IF(AND(AH$6&lt;=$H153,AH$6+6&gt;=$G153),1,"")</x:f>
      </x:c>
      <x:c r="AI153" s="167" t="str">
        <x:f>IF(AND(AI$6&lt;=$H153,AI$6+6&gt;=$G153),1,"")</x:f>
      </x:c>
      <x:c r="AJ153" s="167" t="str">
        <x:f>IF(AND(AJ$6&lt;=$H153,AJ$6+6&gt;=$G153),1,"")</x:f>
      </x:c>
      <x:c r="AK153" s="167" t="str">
        <x:f>IF(AND(AK$6&lt;=$H153,AK$6+6&gt;=$G153),1,"")</x:f>
      </x:c>
      <x:c r="AL153" s="167" t="str">
        <x:f>IF(AND(AL$6&lt;=$H153,AL$6+6&gt;=$G153),1,"")</x:f>
      </x:c>
      <x:c r="AM153" s="167" t="str">
        <x:f>IF(AND(AM$6&lt;=$H153,AM$6+6&gt;=$G153),1,"")</x:f>
      </x:c>
      <x:c r="AN153" s="167" t="str">
        <x:f>IF(AND(AN$6&lt;=$H153,AN$6+6&gt;=$G153),1,"")</x:f>
      </x:c>
      <x:c r="AO153" s="167" t="str">
        <x:f>IF(AND(AO$6&lt;=$H153,AO$6+6&gt;=$G153),1,"")</x:f>
      </x:c>
      <x:c r="AP153" s="167" t="str">
        <x:f>IF(AND(AP$6&lt;=$H153,AP$6+6&gt;=$G153),1,"")</x:f>
      </x:c>
      <x:c r="AQ153" s="167" t="str">
        <x:f>IF(AND(AQ$6&lt;=$H153,AQ$6+6&gt;=$G153),1,"")</x:f>
      </x:c>
      <x:c r="AR153" s="167" t="str">
        <x:f>IF(AND(AR$6&lt;=$H153,AR$6+6&gt;=$G153),1,"")</x:f>
      </x:c>
      <x:c r="AS153" s="167" t="str">
        <x:f>IF(AND(AS$6&lt;=$H153,AS$6+6&gt;=$G153),1,"")</x:f>
      </x:c>
      <x:c r="AT153" s="167" t="n">
        <x:f>IF(AND(AT$6&lt;=$H153,AT$6+6&gt;=$G153),1,"")</x:f>
        <x:v>1</x:v>
      </x:c>
      <x:c r="AU153" s="167" t="n">
        <x:f>IF(AND(AU$6&lt;=$H153,AU$6+6&gt;=$G153),1,"")</x:f>
        <x:v>1</x:v>
      </x:c>
      <x:c r="AV153" s="167" t="str">
        <x:f>IF(AND(AV$6&lt;=$H153,AV$6+6&gt;=$G153),1,"")</x:f>
      </x:c>
      <x:c r="AW153" s="167" t="str">
        <x:f>IF(AND(AW$6&lt;=$H153,AW$6+6&gt;=$G153),1,"")</x:f>
      </x:c>
      <x:c r="AX153" s="167" t="str">
        <x:f>IF(AND(AX$6&lt;=$H153,AX$6+6&gt;=$G153),1,"")</x:f>
      </x:c>
      <x:c r="AY153" s="167" t="str">
        <x:f>IF(AND(AY$6&lt;=$H153,AY$6+6&gt;=$G153),1,"")</x:f>
      </x:c>
      <x:c r="AZ153" s="167" t="str">
        <x:f>IF(AND(AZ$6&lt;=$H153,AZ$6+6&gt;=$G153),1,"")</x:f>
      </x:c>
      <x:c r="BA153" s="167" t="str">
        <x:f>IF(AND(BA$6&lt;=$H153,BA$6+6&gt;=$G153),1,"")</x:f>
      </x:c>
      <x:c r="BB153" s="167" t="str">
        <x:f>IF(AND(BB$6&lt;=$H153,BB$6+6&gt;=$G153),1,"")</x:f>
      </x:c>
      <x:c r="BC153" s="167" t="str">
        <x:f>IF(AND(BC$6&lt;=$H153,BC$6+6&gt;=$G153),1,"")</x:f>
      </x:c>
      <x:c r="BD153" s="167" t="str">
        <x:f>IF(AND(BD$6&lt;=$H153,BD$6+6&gt;=$G153),1,"")</x:f>
      </x:c>
      <x:c r="BE153" s="167" t="str">
        <x:f>IF(AND(BE$6&lt;=$H153,BE$6+6&gt;=$G153),1,"")</x:f>
      </x:c>
      <x:c r="BF153" s="167" t="str">
        <x:f>IF(AND(BF$6&lt;=$H153,BF$6+6&gt;=$G153),1,"")</x:f>
      </x:c>
      <x:c r="BG153" s="167" t="str">
        <x:f>IF(AND(BG$6&lt;=$H153,BG$6+6&gt;=$G153),1,"")</x:f>
      </x:c>
      <x:c r="BH153" s="167" t="str">
        <x:f>IF(AND(BH$6&lt;=$H153,BH$6+6&gt;=$G153),1,"")</x:f>
      </x:c>
      <x:c r="BI153" s="167" t="str">
        <x:f>IF(AND(BI$6&lt;=$H153,BI$6+6&gt;=$G153),1,"")</x:f>
      </x:c>
      <x:c r="BJ153" s="167" t="str">
        <x:f>IF(AND(BJ$6&lt;=$H153,BJ$6+6&gt;=$G153),1,"")</x:f>
      </x:c>
      <x:c r="BK153" s="167" t="str">
        <x:f>IF(AND(BK$6&lt;=$H153,BK$6+6&gt;=$G153),1,"")</x:f>
      </x:c>
      <x:c r="BL153" s="167" t="str">
        <x:f>IF(AND(BL$6&lt;=$H153,BL$6+6&gt;=$G153),1,"")</x:f>
      </x:c>
      <x:c r="BM153" s="167" t="str">
        <x:f>IF(AND(BM$6&lt;=$H153,BM$6+6&gt;=$G153),1,"")</x:f>
      </x:c>
      <x:c r="BN153" s="167" t="str">
        <x:f>IF(AND(BN$6&lt;=$H153,BN$6+6&gt;=$G153),1,"")</x:f>
      </x:c>
      <x:c r="BO153" s="168" t="str">
        <x:f>IF(AND(BO$6&lt;=$H153,BO$6+6&gt;=$G153),1,"")</x:f>
      </x:c>
    </x:row>
    <x:row r="154" ht="24" customHeight="1">
      <x:c r="A154" s="68" t="str">
        <x:f>'Task Register'!A152</x:f>
        <x:v>T-808</x:v>
      </x:c>
      <x:c r="B154" s="68" t="str">
        <x:f>'Task Register'!B152</x:f>
        <x:v>M8</x:v>
      </x:c>
      <x:c r="C154" s="68" t="str">
        <x:f>'Task Register'!C152</x:f>
        <x:v>Research/Embodiment</x:v>
      </x:c>
      <x:c r="D154" s="68" t="str">
        <x:f>'Task Register'!D152</x:f>
        <x:v>Test H2: embodied motor prediction</x:v>
      </x:c>
      <x:c r="E154" s="68" t="str">
        <x:f>'Task Register'!E152</x:f>
        <x:v>AI-308, AI-313, T-804, T-805</x:v>
      </x:c>
      <x:c r="F154" s="68" t="str">
        <x:f>'Task Register'!F152</x:f>
        <x:v>Blocked</x:v>
      </x:c>
      <x:c r="G154" s="94" t="n">
        <x:f>'Task Register'!I152</x:f>
        <x:v>46505</x:v>
      </x:c>
      <x:c r="H154" s="94" t="n">
        <x:f>'Task Register'!J152</x:f>
        <x:v>46513</x:v>
      </x:c>
      <x:c r="I154" s="166" t="str">
        <x:f>IF(AND(I$6&lt;=$H154,I$6+6&gt;=$G154),1,"")</x:f>
      </x:c>
      <x:c r="J154" s="167" t="str">
        <x:f>IF(AND(J$6&lt;=$H154,J$6+6&gt;=$G154),1,"")</x:f>
      </x:c>
      <x:c r="K154" s="167" t="str">
        <x:f>IF(AND(K$6&lt;=$H154,K$6+6&gt;=$G154),1,"")</x:f>
      </x:c>
      <x:c r="L154" s="167" t="str">
        <x:f>IF(AND(L$6&lt;=$H154,L$6+6&gt;=$G154),1,"")</x:f>
      </x:c>
      <x:c r="M154" s="167" t="str">
        <x:f>IF(AND(M$6&lt;=$H154,M$6+6&gt;=$G154),1,"")</x:f>
      </x:c>
      <x:c r="N154" s="167" t="str">
        <x:f>IF(AND(N$6&lt;=$H154,N$6+6&gt;=$G154),1,"")</x:f>
      </x:c>
      <x:c r="O154" s="167" t="str">
        <x:f>IF(AND(O$6&lt;=$H154,O$6+6&gt;=$G154),1,"")</x:f>
      </x:c>
      <x:c r="P154" s="167" t="str">
        <x:f>IF(AND(P$6&lt;=$H154,P$6+6&gt;=$G154),1,"")</x:f>
      </x:c>
      <x:c r="Q154" s="167" t="str">
        <x:f>IF(AND(Q$6&lt;=$H154,Q$6+6&gt;=$G154),1,"")</x:f>
      </x:c>
      <x:c r="R154" s="167" t="str">
        <x:f>IF(AND(R$6&lt;=$H154,R$6+6&gt;=$G154),1,"")</x:f>
      </x:c>
      <x:c r="S154" s="167" t="str">
        <x:f>IF(AND(S$6&lt;=$H154,S$6+6&gt;=$G154),1,"")</x:f>
      </x:c>
      <x:c r="T154" s="167" t="str">
        <x:f>IF(AND(T$6&lt;=$H154,T$6+6&gt;=$G154),1,"")</x:f>
      </x:c>
      <x:c r="U154" s="167" t="str">
        <x:f>IF(AND(U$6&lt;=$H154,U$6+6&gt;=$G154),1,"")</x:f>
      </x:c>
      <x:c r="V154" s="167" t="str">
        <x:f>IF(AND(V$6&lt;=$H154,V$6+6&gt;=$G154),1,"")</x:f>
      </x:c>
      <x:c r="W154" s="167" t="str">
        <x:f>IF(AND(W$6&lt;=$H154,W$6+6&gt;=$G154),1,"")</x:f>
      </x:c>
      <x:c r="X154" s="167" t="str">
        <x:f>IF(AND(X$6&lt;=$H154,X$6+6&gt;=$G154),1,"")</x:f>
      </x:c>
      <x:c r="Y154" s="167" t="str">
        <x:f>IF(AND(Y$6&lt;=$H154,Y$6+6&gt;=$G154),1,"")</x:f>
      </x:c>
      <x:c r="Z154" s="167" t="str">
        <x:f>IF(AND(Z$6&lt;=$H154,Z$6+6&gt;=$G154),1,"")</x:f>
      </x:c>
      <x:c r="AA154" s="167" t="str">
        <x:f>IF(AND(AA$6&lt;=$H154,AA$6+6&gt;=$G154),1,"")</x:f>
      </x:c>
      <x:c r="AB154" s="167" t="str">
        <x:f>IF(AND(AB$6&lt;=$H154,AB$6+6&gt;=$G154),1,"")</x:f>
      </x:c>
      <x:c r="AC154" s="167" t="str">
        <x:f>IF(AND(AC$6&lt;=$H154,AC$6+6&gt;=$G154),1,"")</x:f>
      </x:c>
      <x:c r="AD154" s="167" t="str">
        <x:f>IF(AND(AD$6&lt;=$H154,AD$6+6&gt;=$G154),1,"")</x:f>
      </x:c>
      <x:c r="AE154" s="167" t="str">
        <x:f>IF(AND(AE$6&lt;=$H154,AE$6+6&gt;=$G154),1,"")</x:f>
      </x:c>
      <x:c r="AF154" s="167" t="str">
        <x:f>IF(AND(AF$6&lt;=$H154,AF$6+6&gt;=$G154),1,"")</x:f>
      </x:c>
      <x:c r="AG154" s="167" t="str">
        <x:f>IF(AND(AG$6&lt;=$H154,AG$6+6&gt;=$G154),1,"")</x:f>
      </x:c>
      <x:c r="AH154" s="167" t="str">
        <x:f>IF(AND(AH$6&lt;=$H154,AH$6+6&gt;=$G154),1,"")</x:f>
      </x:c>
      <x:c r="AI154" s="167" t="str">
        <x:f>IF(AND(AI$6&lt;=$H154,AI$6+6&gt;=$G154),1,"")</x:f>
      </x:c>
      <x:c r="AJ154" s="167" t="str">
        <x:f>IF(AND(AJ$6&lt;=$H154,AJ$6+6&gt;=$G154),1,"")</x:f>
      </x:c>
      <x:c r="AK154" s="167" t="str">
        <x:f>IF(AND(AK$6&lt;=$H154,AK$6+6&gt;=$G154),1,"")</x:f>
      </x:c>
      <x:c r="AL154" s="167" t="str">
        <x:f>IF(AND(AL$6&lt;=$H154,AL$6+6&gt;=$G154),1,"")</x:f>
      </x:c>
      <x:c r="AM154" s="167" t="str">
        <x:f>IF(AND(AM$6&lt;=$H154,AM$6+6&gt;=$G154),1,"")</x:f>
      </x:c>
      <x:c r="AN154" s="167" t="str">
        <x:f>IF(AND(AN$6&lt;=$H154,AN$6+6&gt;=$G154),1,"")</x:f>
      </x:c>
      <x:c r="AO154" s="167" t="str">
        <x:f>IF(AND(AO$6&lt;=$H154,AO$6+6&gt;=$G154),1,"")</x:f>
      </x:c>
      <x:c r="AP154" s="167" t="str">
        <x:f>IF(AND(AP$6&lt;=$H154,AP$6+6&gt;=$G154),1,"")</x:f>
      </x:c>
      <x:c r="AQ154" s="167" t="str">
        <x:f>IF(AND(AQ$6&lt;=$H154,AQ$6+6&gt;=$G154),1,"")</x:f>
      </x:c>
      <x:c r="AR154" s="167" t="str">
        <x:f>IF(AND(AR$6&lt;=$H154,AR$6+6&gt;=$G154),1,"")</x:f>
      </x:c>
      <x:c r="AS154" s="167" t="str">
        <x:f>IF(AND(AS$6&lt;=$H154,AS$6+6&gt;=$G154),1,"")</x:f>
      </x:c>
      <x:c r="AT154" s="167" t="str">
        <x:f>IF(AND(AT$6&lt;=$H154,AT$6+6&gt;=$G154),1,"")</x:f>
      </x:c>
      <x:c r="AU154" s="167" t="n">
        <x:f>IF(AND(AU$6&lt;=$H154,AU$6+6&gt;=$G154),1,"")</x:f>
        <x:v>1</x:v>
      </x:c>
      <x:c r="AV154" s="167" t="n">
        <x:f>IF(AND(AV$6&lt;=$H154,AV$6+6&gt;=$G154),1,"")</x:f>
        <x:v>1</x:v>
      </x:c>
      <x:c r="AW154" s="167" t="str">
        <x:f>IF(AND(AW$6&lt;=$H154,AW$6+6&gt;=$G154),1,"")</x:f>
      </x:c>
      <x:c r="AX154" s="167" t="str">
        <x:f>IF(AND(AX$6&lt;=$H154,AX$6+6&gt;=$G154),1,"")</x:f>
      </x:c>
      <x:c r="AY154" s="167" t="str">
        <x:f>IF(AND(AY$6&lt;=$H154,AY$6+6&gt;=$G154),1,"")</x:f>
      </x:c>
      <x:c r="AZ154" s="167" t="str">
        <x:f>IF(AND(AZ$6&lt;=$H154,AZ$6+6&gt;=$G154),1,"")</x:f>
      </x:c>
      <x:c r="BA154" s="167" t="str">
        <x:f>IF(AND(BA$6&lt;=$H154,BA$6+6&gt;=$G154),1,"")</x:f>
      </x:c>
      <x:c r="BB154" s="167" t="str">
        <x:f>IF(AND(BB$6&lt;=$H154,BB$6+6&gt;=$G154),1,"")</x:f>
      </x:c>
      <x:c r="BC154" s="167" t="str">
        <x:f>IF(AND(BC$6&lt;=$H154,BC$6+6&gt;=$G154),1,"")</x:f>
      </x:c>
      <x:c r="BD154" s="167" t="str">
        <x:f>IF(AND(BD$6&lt;=$H154,BD$6+6&gt;=$G154),1,"")</x:f>
      </x:c>
      <x:c r="BE154" s="167" t="str">
        <x:f>IF(AND(BE$6&lt;=$H154,BE$6+6&gt;=$G154),1,"")</x:f>
      </x:c>
      <x:c r="BF154" s="167" t="str">
        <x:f>IF(AND(BF$6&lt;=$H154,BF$6+6&gt;=$G154),1,"")</x:f>
      </x:c>
      <x:c r="BG154" s="167" t="str">
        <x:f>IF(AND(BG$6&lt;=$H154,BG$6+6&gt;=$G154),1,"")</x:f>
      </x:c>
      <x:c r="BH154" s="167" t="str">
        <x:f>IF(AND(BH$6&lt;=$H154,BH$6+6&gt;=$G154),1,"")</x:f>
      </x:c>
      <x:c r="BI154" s="167" t="str">
        <x:f>IF(AND(BI$6&lt;=$H154,BI$6+6&gt;=$G154),1,"")</x:f>
      </x:c>
      <x:c r="BJ154" s="167" t="str">
        <x:f>IF(AND(BJ$6&lt;=$H154,BJ$6+6&gt;=$G154),1,"")</x:f>
      </x:c>
      <x:c r="BK154" s="167" t="str">
        <x:f>IF(AND(BK$6&lt;=$H154,BK$6+6&gt;=$G154),1,"")</x:f>
      </x:c>
      <x:c r="BL154" s="167" t="str">
        <x:f>IF(AND(BL$6&lt;=$H154,BL$6+6&gt;=$G154),1,"")</x:f>
      </x:c>
      <x:c r="BM154" s="167" t="str">
        <x:f>IF(AND(BM$6&lt;=$H154,BM$6+6&gt;=$G154),1,"")</x:f>
      </x:c>
      <x:c r="BN154" s="167" t="str">
        <x:f>IF(AND(BN$6&lt;=$H154,BN$6+6&gt;=$G154),1,"")</x:f>
      </x:c>
      <x:c r="BO154" s="168" t="str">
        <x:f>IF(AND(BO$6&lt;=$H154,BO$6+6&gt;=$G154),1,"")</x:f>
      </x:c>
    </x:row>
    <x:row r="155" ht="24" customHeight="1">
      <x:c r="A155" s="68" t="str">
        <x:f>'Task Register'!A153</x:f>
        <x:v>T-809</x:v>
      </x:c>
      <x:c r="B155" s="68" t="str">
        <x:f>'Task Register'!B153</x:f>
        <x:v>M8</x:v>
      </x:c>
      <x:c r="C155" s="68" t="str">
        <x:f>'Task Register'!C153</x:f>
        <x:v>Research/Hierarchy</x:v>
      </x:c>
      <x:c r="D155" s="68" t="str">
        <x:f>'Task Register'!D153</x:f>
        <x:v>Test H3: slow latent temporal persistence</x:v>
      </x:c>
      <x:c r="E155" s="68" t="str">
        <x:f>'Task Register'!E153</x:f>
        <x:v>AI-310, AI-313, T-804, T-805</x:v>
      </x:c>
      <x:c r="F155" s="68" t="str">
        <x:f>'Task Register'!F153</x:f>
        <x:v>Blocked</x:v>
      </x:c>
      <x:c r="G155" s="94" t="n">
        <x:f>'Task Register'!I153</x:f>
        <x:v>46514</x:v>
      </x:c>
      <x:c r="H155" s="94" t="n">
        <x:f>'Task Register'!J153</x:f>
        <x:v>46525</x:v>
      </x:c>
      <x:c r="I155" s="166" t="str">
        <x:f>IF(AND(I$6&lt;=$H155,I$6+6&gt;=$G155),1,"")</x:f>
      </x:c>
      <x:c r="J155" s="167" t="str">
        <x:f>IF(AND(J$6&lt;=$H155,J$6+6&gt;=$G155),1,"")</x:f>
      </x:c>
      <x:c r="K155" s="167" t="str">
        <x:f>IF(AND(K$6&lt;=$H155,K$6+6&gt;=$G155),1,"")</x:f>
      </x:c>
      <x:c r="L155" s="167" t="str">
        <x:f>IF(AND(L$6&lt;=$H155,L$6+6&gt;=$G155),1,"")</x:f>
      </x:c>
      <x:c r="M155" s="167" t="str">
        <x:f>IF(AND(M$6&lt;=$H155,M$6+6&gt;=$G155),1,"")</x:f>
      </x:c>
      <x:c r="N155" s="167" t="str">
        <x:f>IF(AND(N$6&lt;=$H155,N$6+6&gt;=$G155),1,"")</x:f>
      </x:c>
      <x:c r="O155" s="167" t="str">
        <x:f>IF(AND(O$6&lt;=$H155,O$6+6&gt;=$G155),1,"")</x:f>
      </x:c>
      <x:c r="P155" s="167" t="str">
        <x:f>IF(AND(P$6&lt;=$H155,P$6+6&gt;=$G155),1,"")</x:f>
      </x:c>
      <x:c r="Q155" s="167" t="str">
        <x:f>IF(AND(Q$6&lt;=$H155,Q$6+6&gt;=$G155),1,"")</x:f>
      </x:c>
      <x:c r="R155" s="167" t="str">
        <x:f>IF(AND(R$6&lt;=$H155,R$6+6&gt;=$G155),1,"")</x:f>
      </x:c>
      <x:c r="S155" s="167" t="str">
        <x:f>IF(AND(S$6&lt;=$H155,S$6+6&gt;=$G155),1,"")</x:f>
      </x:c>
      <x:c r="T155" s="167" t="str">
        <x:f>IF(AND(T$6&lt;=$H155,T$6+6&gt;=$G155),1,"")</x:f>
      </x:c>
      <x:c r="U155" s="167" t="str">
        <x:f>IF(AND(U$6&lt;=$H155,U$6+6&gt;=$G155),1,"")</x:f>
      </x:c>
      <x:c r="V155" s="167" t="str">
        <x:f>IF(AND(V$6&lt;=$H155,V$6+6&gt;=$G155),1,"")</x:f>
      </x:c>
      <x:c r="W155" s="167" t="str">
        <x:f>IF(AND(W$6&lt;=$H155,W$6+6&gt;=$G155),1,"")</x:f>
      </x:c>
      <x:c r="X155" s="167" t="str">
        <x:f>IF(AND(X$6&lt;=$H155,X$6+6&gt;=$G155),1,"")</x:f>
      </x:c>
      <x:c r="Y155" s="167" t="str">
        <x:f>IF(AND(Y$6&lt;=$H155,Y$6+6&gt;=$G155),1,"")</x:f>
      </x:c>
      <x:c r="Z155" s="167" t="str">
        <x:f>IF(AND(Z$6&lt;=$H155,Z$6+6&gt;=$G155),1,"")</x:f>
      </x:c>
      <x:c r="AA155" s="167" t="str">
        <x:f>IF(AND(AA$6&lt;=$H155,AA$6+6&gt;=$G155),1,"")</x:f>
      </x:c>
      <x:c r="AB155" s="167" t="str">
        <x:f>IF(AND(AB$6&lt;=$H155,AB$6+6&gt;=$G155),1,"")</x:f>
      </x:c>
      <x:c r="AC155" s="167" t="str">
        <x:f>IF(AND(AC$6&lt;=$H155,AC$6+6&gt;=$G155),1,"")</x:f>
      </x:c>
      <x:c r="AD155" s="167" t="str">
        <x:f>IF(AND(AD$6&lt;=$H155,AD$6+6&gt;=$G155),1,"")</x:f>
      </x:c>
      <x:c r="AE155" s="167" t="str">
        <x:f>IF(AND(AE$6&lt;=$H155,AE$6+6&gt;=$G155),1,"")</x:f>
      </x:c>
      <x:c r="AF155" s="167" t="str">
        <x:f>IF(AND(AF$6&lt;=$H155,AF$6+6&gt;=$G155),1,"")</x:f>
      </x:c>
      <x:c r="AG155" s="167" t="str">
        <x:f>IF(AND(AG$6&lt;=$H155,AG$6+6&gt;=$G155),1,"")</x:f>
      </x:c>
      <x:c r="AH155" s="167" t="str">
        <x:f>IF(AND(AH$6&lt;=$H155,AH$6+6&gt;=$G155),1,"")</x:f>
      </x:c>
      <x:c r="AI155" s="167" t="str">
        <x:f>IF(AND(AI$6&lt;=$H155,AI$6+6&gt;=$G155),1,"")</x:f>
      </x:c>
      <x:c r="AJ155" s="167" t="str">
        <x:f>IF(AND(AJ$6&lt;=$H155,AJ$6+6&gt;=$G155),1,"")</x:f>
      </x:c>
      <x:c r="AK155" s="167" t="str">
        <x:f>IF(AND(AK$6&lt;=$H155,AK$6+6&gt;=$G155),1,"")</x:f>
      </x:c>
      <x:c r="AL155" s="167" t="str">
        <x:f>IF(AND(AL$6&lt;=$H155,AL$6+6&gt;=$G155),1,"")</x:f>
      </x:c>
      <x:c r="AM155" s="167" t="str">
        <x:f>IF(AND(AM$6&lt;=$H155,AM$6+6&gt;=$G155),1,"")</x:f>
      </x:c>
      <x:c r="AN155" s="167" t="str">
        <x:f>IF(AND(AN$6&lt;=$H155,AN$6+6&gt;=$G155),1,"")</x:f>
      </x:c>
      <x:c r="AO155" s="167" t="str">
        <x:f>IF(AND(AO$6&lt;=$H155,AO$6+6&gt;=$G155),1,"")</x:f>
      </x:c>
      <x:c r="AP155" s="167" t="str">
        <x:f>IF(AND(AP$6&lt;=$H155,AP$6+6&gt;=$G155),1,"")</x:f>
      </x:c>
      <x:c r="AQ155" s="167" t="str">
        <x:f>IF(AND(AQ$6&lt;=$H155,AQ$6+6&gt;=$G155),1,"")</x:f>
      </x:c>
      <x:c r="AR155" s="167" t="str">
        <x:f>IF(AND(AR$6&lt;=$H155,AR$6+6&gt;=$G155),1,"")</x:f>
      </x:c>
      <x:c r="AS155" s="167" t="str">
        <x:f>IF(AND(AS$6&lt;=$H155,AS$6+6&gt;=$G155),1,"")</x:f>
      </x:c>
      <x:c r="AT155" s="167" t="str">
        <x:f>IF(AND(AT$6&lt;=$H155,AT$6+6&gt;=$G155),1,"")</x:f>
      </x:c>
      <x:c r="AU155" s="167" t="str">
        <x:f>IF(AND(AU$6&lt;=$H155,AU$6+6&gt;=$G155),1,"")</x:f>
      </x:c>
      <x:c r="AV155" s="167" t="n">
        <x:f>IF(AND(AV$6&lt;=$H155,AV$6+6&gt;=$G155),1,"")</x:f>
        <x:v>1</x:v>
      </x:c>
      <x:c r="AW155" s="167" t="n">
        <x:f>IF(AND(AW$6&lt;=$H155,AW$6+6&gt;=$G155),1,"")</x:f>
        <x:v>1</x:v>
      </x:c>
      <x:c r="AX155" s="167" t="n">
        <x:f>IF(AND(AX$6&lt;=$H155,AX$6+6&gt;=$G155),1,"")</x:f>
        <x:v>1</x:v>
      </x:c>
      <x:c r="AY155" s="167" t="str">
        <x:f>IF(AND(AY$6&lt;=$H155,AY$6+6&gt;=$G155),1,"")</x:f>
      </x:c>
      <x:c r="AZ155" s="167" t="str">
        <x:f>IF(AND(AZ$6&lt;=$H155,AZ$6+6&gt;=$G155),1,"")</x:f>
      </x:c>
      <x:c r="BA155" s="167" t="str">
        <x:f>IF(AND(BA$6&lt;=$H155,BA$6+6&gt;=$G155),1,"")</x:f>
      </x:c>
      <x:c r="BB155" s="167" t="str">
        <x:f>IF(AND(BB$6&lt;=$H155,BB$6+6&gt;=$G155),1,"")</x:f>
      </x:c>
      <x:c r="BC155" s="167" t="str">
        <x:f>IF(AND(BC$6&lt;=$H155,BC$6+6&gt;=$G155),1,"")</x:f>
      </x:c>
      <x:c r="BD155" s="167" t="str">
        <x:f>IF(AND(BD$6&lt;=$H155,BD$6+6&gt;=$G155),1,"")</x:f>
      </x:c>
      <x:c r="BE155" s="167" t="str">
        <x:f>IF(AND(BE$6&lt;=$H155,BE$6+6&gt;=$G155),1,"")</x:f>
      </x:c>
      <x:c r="BF155" s="167" t="str">
        <x:f>IF(AND(BF$6&lt;=$H155,BF$6+6&gt;=$G155),1,"")</x:f>
      </x:c>
      <x:c r="BG155" s="167" t="str">
        <x:f>IF(AND(BG$6&lt;=$H155,BG$6+6&gt;=$G155),1,"")</x:f>
      </x:c>
      <x:c r="BH155" s="167" t="str">
        <x:f>IF(AND(BH$6&lt;=$H155,BH$6+6&gt;=$G155),1,"")</x:f>
      </x:c>
      <x:c r="BI155" s="167" t="str">
        <x:f>IF(AND(BI$6&lt;=$H155,BI$6+6&gt;=$G155),1,"")</x:f>
      </x:c>
      <x:c r="BJ155" s="167" t="str">
        <x:f>IF(AND(BJ$6&lt;=$H155,BJ$6+6&gt;=$G155),1,"")</x:f>
      </x:c>
      <x:c r="BK155" s="167" t="str">
        <x:f>IF(AND(BK$6&lt;=$H155,BK$6+6&gt;=$G155),1,"")</x:f>
      </x:c>
      <x:c r="BL155" s="167" t="str">
        <x:f>IF(AND(BL$6&lt;=$H155,BL$6+6&gt;=$G155),1,"")</x:f>
      </x:c>
      <x:c r="BM155" s="167" t="str">
        <x:f>IF(AND(BM$6&lt;=$H155,BM$6+6&gt;=$G155),1,"")</x:f>
      </x:c>
      <x:c r="BN155" s="167" t="str">
        <x:f>IF(AND(BN$6&lt;=$H155,BN$6+6&gt;=$G155),1,"")</x:f>
      </x:c>
      <x:c r="BO155" s="168" t="str">
        <x:f>IF(AND(BO$6&lt;=$H155,BO$6+6&gt;=$G155),1,"")</x:f>
      </x:c>
    </x:row>
    <x:row r="156" ht="24" customHeight="1">
      <x:c r="A156" s="68" t="str">
        <x:f>'Task Register'!A154</x:f>
        <x:v>T-810</x:v>
      </x:c>
      <x:c r="B156" s="68" t="str">
        <x:f>'Task Register'!B154</x:f>
        <x:v>M8</x:v>
      </x:c>
      <x:c r="C156" s="68" t="str">
        <x:f>'Task Register'!C154</x:f>
        <x:v>Research/Relational Inference</x:v>
      </x:c>
      <x:c r="D156" s="68" t="str">
        <x:f>'Task Register'!D154</x:f>
        <x:v>Test H4: relational nonsemantic representation</x:v>
      </x:c>
      <x:c r="E156" s="68" t="str">
        <x:f>'Task Register'!E154</x:f>
        <x:v>AI-209, AI-313, T-804, T-805</x:v>
      </x:c>
      <x:c r="F156" s="68" t="str">
        <x:f>'Task Register'!F154</x:f>
        <x:v>Blocked</x:v>
      </x:c>
      <x:c r="G156" s="94" t="n">
        <x:f>'Task Register'!I154</x:f>
        <x:v>46526</x:v>
      </x:c>
      <x:c r="H156" s="94" t="n">
        <x:f>'Task Register'!J154</x:f>
        <x:v>46534</x:v>
      </x:c>
      <x:c r="I156" s="166" t="str">
        <x:f>IF(AND(I$6&lt;=$H156,I$6+6&gt;=$G156),1,"")</x:f>
      </x:c>
      <x:c r="J156" s="167" t="str">
        <x:f>IF(AND(J$6&lt;=$H156,J$6+6&gt;=$G156),1,"")</x:f>
      </x:c>
      <x:c r="K156" s="167" t="str">
        <x:f>IF(AND(K$6&lt;=$H156,K$6+6&gt;=$G156),1,"")</x:f>
      </x:c>
      <x:c r="L156" s="167" t="str">
        <x:f>IF(AND(L$6&lt;=$H156,L$6+6&gt;=$G156),1,"")</x:f>
      </x:c>
      <x:c r="M156" s="167" t="str">
        <x:f>IF(AND(M$6&lt;=$H156,M$6+6&gt;=$G156),1,"")</x:f>
      </x:c>
      <x:c r="N156" s="167" t="str">
        <x:f>IF(AND(N$6&lt;=$H156,N$6+6&gt;=$G156),1,"")</x:f>
      </x:c>
      <x:c r="O156" s="167" t="str">
        <x:f>IF(AND(O$6&lt;=$H156,O$6+6&gt;=$G156),1,"")</x:f>
      </x:c>
      <x:c r="P156" s="167" t="str">
        <x:f>IF(AND(P$6&lt;=$H156,P$6+6&gt;=$G156),1,"")</x:f>
      </x:c>
      <x:c r="Q156" s="167" t="str">
        <x:f>IF(AND(Q$6&lt;=$H156,Q$6+6&gt;=$G156),1,"")</x:f>
      </x:c>
      <x:c r="R156" s="167" t="str">
        <x:f>IF(AND(R$6&lt;=$H156,R$6+6&gt;=$G156),1,"")</x:f>
      </x:c>
      <x:c r="S156" s="167" t="str">
        <x:f>IF(AND(S$6&lt;=$H156,S$6+6&gt;=$G156),1,"")</x:f>
      </x:c>
      <x:c r="T156" s="167" t="str">
        <x:f>IF(AND(T$6&lt;=$H156,T$6+6&gt;=$G156),1,"")</x:f>
      </x:c>
      <x:c r="U156" s="167" t="str">
        <x:f>IF(AND(U$6&lt;=$H156,U$6+6&gt;=$G156),1,"")</x:f>
      </x:c>
      <x:c r="V156" s="167" t="str">
        <x:f>IF(AND(V$6&lt;=$H156,V$6+6&gt;=$G156),1,"")</x:f>
      </x:c>
      <x:c r="W156" s="167" t="str">
        <x:f>IF(AND(W$6&lt;=$H156,W$6+6&gt;=$G156),1,"")</x:f>
      </x:c>
      <x:c r="X156" s="167" t="str">
        <x:f>IF(AND(X$6&lt;=$H156,X$6+6&gt;=$G156),1,"")</x:f>
      </x:c>
      <x:c r="Y156" s="167" t="str">
        <x:f>IF(AND(Y$6&lt;=$H156,Y$6+6&gt;=$G156),1,"")</x:f>
      </x:c>
      <x:c r="Z156" s="167" t="str">
        <x:f>IF(AND(Z$6&lt;=$H156,Z$6+6&gt;=$G156),1,"")</x:f>
      </x:c>
      <x:c r="AA156" s="167" t="str">
        <x:f>IF(AND(AA$6&lt;=$H156,AA$6+6&gt;=$G156),1,"")</x:f>
      </x:c>
      <x:c r="AB156" s="167" t="str">
        <x:f>IF(AND(AB$6&lt;=$H156,AB$6+6&gt;=$G156),1,"")</x:f>
      </x:c>
      <x:c r="AC156" s="167" t="str">
        <x:f>IF(AND(AC$6&lt;=$H156,AC$6+6&gt;=$G156),1,"")</x:f>
      </x:c>
      <x:c r="AD156" s="167" t="str">
        <x:f>IF(AND(AD$6&lt;=$H156,AD$6+6&gt;=$G156),1,"")</x:f>
      </x:c>
      <x:c r="AE156" s="167" t="str">
        <x:f>IF(AND(AE$6&lt;=$H156,AE$6+6&gt;=$G156),1,"")</x:f>
      </x:c>
      <x:c r="AF156" s="167" t="str">
        <x:f>IF(AND(AF$6&lt;=$H156,AF$6+6&gt;=$G156),1,"")</x:f>
      </x:c>
      <x:c r="AG156" s="167" t="str">
        <x:f>IF(AND(AG$6&lt;=$H156,AG$6+6&gt;=$G156),1,"")</x:f>
      </x:c>
      <x:c r="AH156" s="167" t="str">
        <x:f>IF(AND(AH$6&lt;=$H156,AH$6+6&gt;=$G156),1,"")</x:f>
      </x:c>
      <x:c r="AI156" s="167" t="str">
        <x:f>IF(AND(AI$6&lt;=$H156,AI$6+6&gt;=$G156),1,"")</x:f>
      </x:c>
      <x:c r="AJ156" s="167" t="str">
        <x:f>IF(AND(AJ$6&lt;=$H156,AJ$6+6&gt;=$G156),1,"")</x:f>
      </x:c>
      <x:c r="AK156" s="167" t="str">
        <x:f>IF(AND(AK$6&lt;=$H156,AK$6+6&gt;=$G156),1,"")</x:f>
      </x:c>
      <x:c r="AL156" s="167" t="str">
        <x:f>IF(AND(AL$6&lt;=$H156,AL$6+6&gt;=$G156),1,"")</x:f>
      </x:c>
      <x:c r="AM156" s="167" t="str">
        <x:f>IF(AND(AM$6&lt;=$H156,AM$6+6&gt;=$G156),1,"")</x:f>
      </x:c>
      <x:c r="AN156" s="167" t="str">
        <x:f>IF(AND(AN$6&lt;=$H156,AN$6+6&gt;=$G156),1,"")</x:f>
      </x:c>
      <x:c r="AO156" s="167" t="str">
        <x:f>IF(AND(AO$6&lt;=$H156,AO$6+6&gt;=$G156),1,"")</x:f>
      </x:c>
      <x:c r="AP156" s="167" t="str">
        <x:f>IF(AND(AP$6&lt;=$H156,AP$6+6&gt;=$G156),1,"")</x:f>
      </x:c>
      <x:c r="AQ156" s="167" t="str">
        <x:f>IF(AND(AQ$6&lt;=$H156,AQ$6+6&gt;=$G156),1,"")</x:f>
      </x:c>
      <x:c r="AR156" s="167" t="str">
        <x:f>IF(AND(AR$6&lt;=$H156,AR$6+6&gt;=$G156),1,"")</x:f>
      </x:c>
      <x:c r="AS156" s="167" t="str">
        <x:f>IF(AND(AS$6&lt;=$H156,AS$6+6&gt;=$G156),1,"")</x:f>
      </x:c>
      <x:c r="AT156" s="167" t="str">
        <x:f>IF(AND(AT$6&lt;=$H156,AT$6+6&gt;=$G156),1,"")</x:f>
      </x:c>
      <x:c r="AU156" s="167" t="str">
        <x:f>IF(AND(AU$6&lt;=$H156,AU$6+6&gt;=$G156),1,"")</x:f>
      </x:c>
      <x:c r="AV156" s="167" t="str">
        <x:f>IF(AND(AV$6&lt;=$H156,AV$6+6&gt;=$G156),1,"")</x:f>
      </x:c>
      <x:c r="AW156" s="167" t="str">
        <x:f>IF(AND(AW$6&lt;=$H156,AW$6+6&gt;=$G156),1,"")</x:f>
      </x:c>
      <x:c r="AX156" s="167" t="n">
        <x:f>IF(AND(AX$6&lt;=$H156,AX$6+6&gt;=$G156),1,"")</x:f>
        <x:v>1</x:v>
      </x:c>
      <x:c r="AY156" s="167" t="n">
        <x:f>IF(AND(AY$6&lt;=$H156,AY$6+6&gt;=$G156),1,"")</x:f>
        <x:v>1</x:v>
      </x:c>
      <x:c r="AZ156" s="167" t="str">
        <x:f>IF(AND(AZ$6&lt;=$H156,AZ$6+6&gt;=$G156),1,"")</x:f>
      </x:c>
      <x:c r="BA156" s="167" t="str">
        <x:f>IF(AND(BA$6&lt;=$H156,BA$6+6&gt;=$G156),1,"")</x:f>
      </x:c>
      <x:c r="BB156" s="167" t="str">
        <x:f>IF(AND(BB$6&lt;=$H156,BB$6+6&gt;=$G156),1,"")</x:f>
      </x:c>
      <x:c r="BC156" s="167" t="str">
        <x:f>IF(AND(BC$6&lt;=$H156,BC$6+6&gt;=$G156),1,"")</x:f>
      </x:c>
      <x:c r="BD156" s="167" t="str">
        <x:f>IF(AND(BD$6&lt;=$H156,BD$6+6&gt;=$G156),1,"")</x:f>
      </x:c>
      <x:c r="BE156" s="167" t="str">
        <x:f>IF(AND(BE$6&lt;=$H156,BE$6+6&gt;=$G156),1,"")</x:f>
      </x:c>
      <x:c r="BF156" s="167" t="str">
        <x:f>IF(AND(BF$6&lt;=$H156,BF$6+6&gt;=$G156),1,"")</x:f>
      </x:c>
      <x:c r="BG156" s="167" t="str">
        <x:f>IF(AND(BG$6&lt;=$H156,BG$6+6&gt;=$G156),1,"")</x:f>
      </x:c>
      <x:c r="BH156" s="167" t="str">
        <x:f>IF(AND(BH$6&lt;=$H156,BH$6+6&gt;=$G156),1,"")</x:f>
      </x:c>
      <x:c r="BI156" s="167" t="str">
        <x:f>IF(AND(BI$6&lt;=$H156,BI$6+6&gt;=$G156),1,"")</x:f>
      </x:c>
      <x:c r="BJ156" s="167" t="str">
        <x:f>IF(AND(BJ$6&lt;=$H156,BJ$6+6&gt;=$G156),1,"")</x:f>
      </x:c>
      <x:c r="BK156" s="167" t="str">
        <x:f>IF(AND(BK$6&lt;=$H156,BK$6+6&gt;=$G156),1,"")</x:f>
      </x:c>
      <x:c r="BL156" s="167" t="str">
        <x:f>IF(AND(BL$6&lt;=$H156,BL$6+6&gt;=$G156),1,"")</x:f>
      </x:c>
      <x:c r="BM156" s="167" t="str">
        <x:f>IF(AND(BM$6&lt;=$H156,BM$6+6&gt;=$G156),1,"")</x:f>
      </x:c>
      <x:c r="BN156" s="167" t="str">
        <x:f>IF(AND(BN$6&lt;=$H156,BN$6+6&gt;=$G156),1,"")</x:f>
      </x:c>
      <x:c r="BO156" s="168" t="str">
        <x:f>IF(AND(BO$6&lt;=$H156,BO$6+6&gt;=$G156),1,"")</x:f>
      </x:c>
    </x:row>
    <x:row r="157" ht="24" customHeight="1">
      <x:c r="A157" s="68" t="str">
        <x:f>'Task Register'!A155</x:f>
        <x:v>T-811</x:v>
      </x:c>
      <x:c r="B157" s="68" t="str">
        <x:f>'Task Register'!B155</x:f>
        <x:v>M8</x:v>
      </x:c>
      <x:c r="C157" s="68" t="str">
        <x:f>'Task Register'!C155</x:f>
        <x:v>Research/Epistemic Policy</x:v>
      </x:c>
      <x:c r="D157" s="68" t="str">
        <x:f>'Task Register'!D155</x:f>
        <x:v>Test H5: epistemic action and pathology</x:v>
      </x:c>
      <x:c r="E157" s="68" t="str">
        <x:f>'Task Register'!E155</x:f>
        <x:v>AI-309, AI-313, T-804, T-805</x:v>
      </x:c>
      <x:c r="F157" s="68" t="str">
        <x:f>'Task Register'!F155</x:f>
        <x:v>Blocked</x:v>
      </x:c>
      <x:c r="G157" s="94" t="n">
        <x:f>'Task Register'!I155</x:f>
        <x:v>46535</x:v>
      </x:c>
      <x:c r="H157" s="94" t="n">
        <x:f>'Task Register'!J155</x:f>
        <x:v>46545</x:v>
      </x:c>
      <x:c r="I157" s="166" t="str">
        <x:f>IF(AND(I$6&lt;=$H157,I$6+6&gt;=$G157),1,"")</x:f>
      </x:c>
      <x:c r="J157" s="167" t="str">
        <x:f>IF(AND(J$6&lt;=$H157,J$6+6&gt;=$G157),1,"")</x:f>
      </x:c>
      <x:c r="K157" s="167" t="str">
        <x:f>IF(AND(K$6&lt;=$H157,K$6+6&gt;=$G157),1,"")</x:f>
      </x:c>
      <x:c r="L157" s="167" t="str">
        <x:f>IF(AND(L$6&lt;=$H157,L$6+6&gt;=$G157),1,"")</x:f>
      </x:c>
      <x:c r="M157" s="167" t="str">
        <x:f>IF(AND(M$6&lt;=$H157,M$6+6&gt;=$G157),1,"")</x:f>
      </x:c>
      <x:c r="N157" s="167" t="str">
        <x:f>IF(AND(N$6&lt;=$H157,N$6+6&gt;=$G157),1,"")</x:f>
      </x:c>
      <x:c r="O157" s="167" t="str">
        <x:f>IF(AND(O$6&lt;=$H157,O$6+6&gt;=$G157),1,"")</x:f>
      </x:c>
      <x:c r="P157" s="167" t="str">
        <x:f>IF(AND(P$6&lt;=$H157,P$6+6&gt;=$G157),1,"")</x:f>
      </x:c>
      <x:c r="Q157" s="167" t="str">
        <x:f>IF(AND(Q$6&lt;=$H157,Q$6+6&gt;=$G157),1,"")</x:f>
      </x:c>
      <x:c r="R157" s="167" t="str">
        <x:f>IF(AND(R$6&lt;=$H157,R$6+6&gt;=$G157),1,"")</x:f>
      </x:c>
      <x:c r="S157" s="167" t="str">
        <x:f>IF(AND(S$6&lt;=$H157,S$6+6&gt;=$G157),1,"")</x:f>
      </x:c>
      <x:c r="T157" s="167" t="str">
        <x:f>IF(AND(T$6&lt;=$H157,T$6+6&gt;=$G157),1,"")</x:f>
      </x:c>
      <x:c r="U157" s="167" t="str">
        <x:f>IF(AND(U$6&lt;=$H157,U$6+6&gt;=$G157),1,"")</x:f>
      </x:c>
      <x:c r="V157" s="167" t="str">
        <x:f>IF(AND(V$6&lt;=$H157,V$6+6&gt;=$G157),1,"")</x:f>
      </x:c>
      <x:c r="W157" s="167" t="str">
        <x:f>IF(AND(W$6&lt;=$H157,W$6+6&gt;=$G157),1,"")</x:f>
      </x:c>
      <x:c r="X157" s="167" t="str">
        <x:f>IF(AND(X$6&lt;=$H157,X$6+6&gt;=$G157),1,"")</x:f>
      </x:c>
      <x:c r="Y157" s="167" t="str">
        <x:f>IF(AND(Y$6&lt;=$H157,Y$6+6&gt;=$G157),1,"")</x:f>
      </x:c>
      <x:c r="Z157" s="167" t="str">
        <x:f>IF(AND(Z$6&lt;=$H157,Z$6+6&gt;=$G157),1,"")</x:f>
      </x:c>
      <x:c r="AA157" s="167" t="str">
        <x:f>IF(AND(AA$6&lt;=$H157,AA$6+6&gt;=$G157),1,"")</x:f>
      </x:c>
      <x:c r="AB157" s="167" t="str">
        <x:f>IF(AND(AB$6&lt;=$H157,AB$6+6&gt;=$G157),1,"")</x:f>
      </x:c>
      <x:c r="AC157" s="167" t="str">
        <x:f>IF(AND(AC$6&lt;=$H157,AC$6+6&gt;=$G157),1,"")</x:f>
      </x:c>
      <x:c r="AD157" s="167" t="str">
        <x:f>IF(AND(AD$6&lt;=$H157,AD$6+6&gt;=$G157),1,"")</x:f>
      </x:c>
      <x:c r="AE157" s="167" t="str">
        <x:f>IF(AND(AE$6&lt;=$H157,AE$6+6&gt;=$G157),1,"")</x:f>
      </x:c>
      <x:c r="AF157" s="167" t="str">
        <x:f>IF(AND(AF$6&lt;=$H157,AF$6+6&gt;=$G157),1,"")</x:f>
      </x:c>
      <x:c r="AG157" s="167" t="str">
        <x:f>IF(AND(AG$6&lt;=$H157,AG$6+6&gt;=$G157),1,"")</x:f>
      </x:c>
      <x:c r="AH157" s="167" t="str">
        <x:f>IF(AND(AH$6&lt;=$H157,AH$6+6&gt;=$G157),1,"")</x:f>
      </x:c>
      <x:c r="AI157" s="167" t="str">
        <x:f>IF(AND(AI$6&lt;=$H157,AI$6+6&gt;=$G157),1,"")</x:f>
      </x:c>
      <x:c r="AJ157" s="167" t="str">
        <x:f>IF(AND(AJ$6&lt;=$H157,AJ$6+6&gt;=$G157),1,"")</x:f>
      </x:c>
      <x:c r="AK157" s="167" t="str">
        <x:f>IF(AND(AK$6&lt;=$H157,AK$6+6&gt;=$G157),1,"")</x:f>
      </x:c>
      <x:c r="AL157" s="167" t="str">
        <x:f>IF(AND(AL$6&lt;=$H157,AL$6+6&gt;=$G157),1,"")</x:f>
      </x:c>
      <x:c r="AM157" s="167" t="str">
        <x:f>IF(AND(AM$6&lt;=$H157,AM$6+6&gt;=$G157),1,"")</x:f>
      </x:c>
      <x:c r="AN157" s="167" t="str">
        <x:f>IF(AND(AN$6&lt;=$H157,AN$6+6&gt;=$G157),1,"")</x:f>
      </x:c>
      <x:c r="AO157" s="167" t="str">
        <x:f>IF(AND(AO$6&lt;=$H157,AO$6+6&gt;=$G157),1,"")</x:f>
      </x:c>
      <x:c r="AP157" s="167" t="str">
        <x:f>IF(AND(AP$6&lt;=$H157,AP$6+6&gt;=$G157),1,"")</x:f>
      </x:c>
      <x:c r="AQ157" s="167" t="str">
        <x:f>IF(AND(AQ$6&lt;=$H157,AQ$6+6&gt;=$G157),1,"")</x:f>
      </x:c>
      <x:c r="AR157" s="167" t="str">
        <x:f>IF(AND(AR$6&lt;=$H157,AR$6+6&gt;=$G157),1,"")</x:f>
      </x:c>
      <x:c r="AS157" s="167" t="str">
        <x:f>IF(AND(AS$6&lt;=$H157,AS$6+6&gt;=$G157),1,"")</x:f>
      </x:c>
      <x:c r="AT157" s="167" t="str">
        <x:f>IF(AND(AT$6&lt;=$H157,AT$6+6&gt;=$G157),1,"")</x:f>
      </x:c>
      <x:c r="AU157" s="167" t="str">
        <x:f>IF(AND(AU$6&lt;=$H157,AU$6+6&gt;=$G157),1,"")</x:f>
      </x:c>
      <x:c r="AV157" s="167" t="str">
        <x:f>IF(AND(AV$6&lt;=$H157,AV$6+6&gt;=$G157),1,"")</x:f>
      </x:c>
      <x:c r="AW157" s="167" t="str">
        <x:f>IF(AND(AW$6&lt;=$H157,AW$6+6&gt;=$G157),1,"")</x:f>
      </x:c>
      <x:c r="AX157" s="167" t="str">
        <x:f>IF(AND(AX$6&lt;=$H157,AX$6+6&gt;=$G157),1,"")</x:f>
      </x:c>
      <x:c r="AY157" s="167" t="n">
        <x:f>IF(AND(AY$6&lt;=$H157,AY$6+6&gt;=$G157),1,"")</x:f>
        <x:v>1</x:v>
      </x:c>
      <x:c r="AZ157" s="167" t="n">
        <x:f>IF(AND(AZ$6&lt;=$H157,AZ$6+6&gt;=$G157),1,"")</x:f>
        <x:v>1</x:v>
      </x:c>
      <x:c r="BA157" s="167" t="n">
        <x:f>IF(AND(BA$6&lt;=$H157,BA$6+6&gt;=$G157),1,"")</x:f>
        <x:v>1</x:v>
      </x:c>
      <x:c r="BB157" s="167" t="str">
        <x:f>IF(AND(BB$6&lt;=$H157,BB$6+6&gt;=$G157),1,"")</x:f>
      </x:c>
      <x:c r="BC157" s="167" t="str">
        <x:f>IF(AND(BC$6&lt;=$H157,BC$6+6&gt;=$G157),1,"")</x:f>
      </x:c>
      <x:c r="BD157" s="167" t="str">
        <x:f>IF(AND(BD$6&lt;=$H157,BD$6+6&gt;=$G157),1,"")</x:f>
      </x:c>
      <x:c r="BE157" s="167" t="str">
        <x:f>IF(AND(BE$6&lt;=$H157,BE$6+6&gt;=$G157),1,"")</x:f>
      </x:c>
      <x:c r="BF157" s="167" t="str">
        <x:f>IF(AND(BF$6&lt;=$H157,BF$6+6&gt;=$G157),1,"")</x:f>
      </x:c>
      <x:c r="BG157" s="167" t="str">
        <x:f>IF(AND(BG$6&lt;=$H157,BG$6+6&gt;=$G157),1,"")</x:f>
      </x:c>
      <x:c r="BH157" s="167" t="str">
        <x:f>IF(AND(BH$6&lt;=$H157,BH$6+6&gt;=$G157),1,"")</x:f>
      </x:c>
      <x:c r="BI157" s="167" t="str">
        <x:f>IF(AND(BI$6&lt;=$H157,BI$6+6&gt;=$G157),1,"")</x:f>
      </x:c>
      <x:c r="BJ157" s="167" t="str">
        <x:f>IF(AND(BJ$6&lt;=$H157,BJ$6+6&gt;=$G157),1,"")</x:f>
      </x:c>
      <x:c r="BK157" s="167" t="str">
        <x:f>IF(AND(BK$6&lt;=$H157,BK$6+6&gt;=$G157),1,"")</x:f>
      </x:c>
      <x:c r="BL157" s="167" t="str">
        <x:f>IF(AND(BL$6&lt;=$H157,BL$6+6&gt;=$G157),1,"")</x:f>
      </x:c>
      <x:c r="BM157" s="167" t="str">
        <x:f>IF(AND(BM$6&lt;=$H157,BM$6+6&gt;=$G157),1,"")</x:f>
      </x:c>
      <x:c r="BN157" s="167" t="str">
        <x:f>IF(AND(BN$6&lt;=$H157,BN$6+6&gt;=$G157),1,"")</x:f>
      </x:c>
      <x:c r="BO157" s="168" t="str">
        <x:f>IF(AND(BO$6&lt;=$H157,BO$6+6&gt;=$G157),1,"")</x:f>
      </x:c>
    </x:row>
    <x:row r="158" ht="24" customHeight="1">
      <x:c r="A158" s="68" t="str">
        <x:f>'Task Register'!A156</x:f>
        <x:v>T-812</x:v>
      </x:c>
      <x:c r="B158" s="68" t="str">
        <x:f>'Task Register'!B156</x:f>
        <x:v>M8</x:v>
      </x:c>
      <x:c r="C158" s="68" t="str">
        <x:f>'Task Register'!C156</x:f>
        <x:v>Research/Pretraining</x:v>
      </x:c>
      <x:c r="D158" s="68" t="str">
        <x:f>'Task Register'!D156</x:f>
        <x:v>Test H6: inherited pretrained perception</x:v>
      </x:c>
      <x:c r="E158" s="68" t="str">
        <x:f>'Task Register'!E156</x:f>
        <x:v>AI-314, T-804, T-805</x:v>
      </x:c>
      <x:c r="F158" s="68" t="str">
        <x:f>'Task Register'!F156</x:f>
        <x:v>Blocked</x:v>
      </x:c>
      <x:c r="G158" s="94" t="n">
        <x:f>'Task Register'!I156</x:f>
        <x:v>46546</x:v>
      </x:c>
      <x:c r="H158" s="94" t="n">
        <x:f>'Task Register'!J156</x:f>
        <x:v>46554</x:v>
      </x:c>
      <x:c r="I158" s="166" t="str">
        <x:f>IF(AND(I$6&lt;=$H158,I$6+6&gt;=$G158),1,"")</x:f>
      </x:c>
      <x:c r="J158" s="167" t="str">
        <x:f>IF(AND(J$6&lt;=$H158,J$6+6&gt;=$G158),1,"")</x:f>
      </x:c>
      <x:c r="K158" s="167" t="str">
        <x:f>IF(AND(K$6&lt;=$H158,K$6+6&gt;=$G158),1,"")</x:f>
      </x:c>
      <x:c r="L158" s="167" t="str">
        <x:f>IF(AND(L$6&lt;=$H158,L$6+6&gt;=$G158),1,"")</x:f>
      </x:c>
      <x:c r="M158" s="167" t="str">
        <x:f>IF(AND(M$6&lt;=$H158,M$6+6&gt;=$G158),1,"")</x:f>
      </x:c>
      <x:c r="N158" s="167" t="str">
        <x:f>IF(AND(N$6&lt;=$H158,N$6+6&gt;=$G158),1,"")</x:f>
      </x:c>
      <x:c r="O158" s="167" t="str">
        <x:f>IF(AND(O$6&lt;=$H158,O$6+6&gt;=$G158),1,"")</x:f>
      </x:c>
      <x:c r="P158" s="167" t="str">
        <x:f>IF(AND(P$6&lt;=$H158,P$6+6&gt;=$G158),1,"")</x:f>
      </x:c>
      <x:c r="Q158" s="167" t="str">
        <x:f>IF(AND(Q$6&lt;=$H158,Q$6+6&gt;=$G158),1,"")</x:f>
      </x:c>
      <x:c r="R158" s="167" t="str">
        <x:f>IF(AND(R$6&lt;=$H158,R$6+6&gt;=$G158),1,"")</x:f>
      </x:c>
      <x:c r="S158" s="167" t="str">
        <x:f>IF(AND(S$6&lt;=$H158,S$6+6&gt;=$G158),1,"")</x:f>
      </x:c>
      <x:c r="T158" s="167" t="str">
        <x:f>IF(AND(T$6&lt;=$H158,T$6+6&gt;=$G158),1,"")</x:f>
      </x:c>
      <x:c r="U158" s="167" t="str">
        <x:f>IF(AND(U$6&lt;=$H158,U$6+6&gt;=$G158),1,"")</x:f>
      </x:c>
      <x:c r="V158" s="167" t="str">
        <x:f>IF(AND(V$6&lt;=$H158,V$6+6&gt;=$G158),1,"")</x:f>
      </x:c>
      <x:c r="W158" s="167" t="str">
        <x:f>IF(AND(W$6&lt;=$H158,W$6+6&gt;=$G158),1,"")</x:f>
      </x:c>
      <x:c r="X158" s="167" t="str">
        <x:f>IF(AND(X$6&lt;=$H158,X$6+6&gt;=$G158),1,"")</x:f>
      </x:c>
      <x:c r="Y158" s="167" t="str">
        <x:f>IF(AND(Y$6&lt;=$H158,Y$6+6&gt;=$G158),1,"")</x:f>
      </x:c>
      <x:c r="Z158" s="167" t="str">
        <x:f>IF(AND(Z$6&lt;=$H158,Z$6+6&gt;=$G158),1,"")</x:f>
      </x:c>
      <x:c r="AA158" s="167" t="str">
        <x:f>IF(AND(AA$6&lt;=$H158,AA$6+6&gt;=$G158),1,"")</x:f>
      </x:c>
      <x:c r="AB158" s="167" t="str">
        <x:f>IF(AND(AB$6&lt;=$H158,AB$6+6&gt;=$G158),1,"")</x:f>
      </x:c>
      <x:c r="AC158" s="167" t="str">
        <x:f>IF(AND(AC$6&lt;=$H158,AC$6+6&gt;=$G158),1,"")</x:f>
      </x:c>
      <x:c r="AD158" s="167" t="str">
        <x:f>IF(AND(AD$6&lt;=$H158,AD$6+6&gt;=$G158),1,"")</x:f>
      </x:c>
      <x:c r="AE158" s="167" t="str">
        <x:f>IF(AND(AE$6&lt;=$H158,AE$6+6&gt;=$G158),1,"")</x:f>
      </x:c>
      <x:c r="AF158" s="167" t="str">
        <x:f>IF(AND(AF$6&lt;=$H158,AF$6+6&gt;=$G158),1,"")</x:f>
      </x:c>
      <x:c r="AG158" s="167" t="str">
        <x:f>IF(AND(AG$6&lt;=$H158,AG$6+6&gt;=$G158),1,"")</x:f>
      </x:c>
      <x:c r="AH158" s="167" t="str">
        <x:f>IF(AND(AH$6&lt;=$H158,AH$6+6&gt;=$G158),1,"")</x:f>
      </x:c>
      <x:c r="AI158" s="167" t="str">
        <x:f>IF(AND(AI$6&lt;=$H158,AI$6+6&gt;=$G158),1,"")</x:f>
      </x:c>
      <x:c r="AJ158" s="167" t="str">
        <x:f>IF(AND(AJ$6&lt;=$H158,AJ$6+6&gt;=$G158),1,"")</x:f>
      </x:c>
      <x:c r="AK158" s="167" t="str">
        <x:f>IF(AND(AK$6&lt;=$H158,AK$6+6&gt;=$G158),1,"")</x:f>
      </x:c>
      <x:c r="AL158" s="167" t="str">
        <x:f>IF(AND(AL$6&lt;=$H158,AL$6+6&gt;=$G158),1,"")</x:f>
      </x:c>
      <x:c r="AM158" s="167" t="str">
        <x:f>IF(AND(AM$6&lt;=$H158,AM$6+6&gt;=$G158),1,"")</x:f>
      </x:c>
      <x:c r="AN158" s="167" t="str">
        <x:f>IF(AND(AN$6&lt;=$H158,AN$6+6&gt;=$G158),1,"")</x:f>
      </x:c>
      <x:c r="AO158" s="167" t="str">
        <x:f>IF(AND(AO$6&lt;=$H158,AO$6+6&gt;=$G158),1,"")</x:f>
      </x:c>
      <x:c r="AP158" s="167" t="str">
        <x:f>IF(AND(AP$6&lt;=$H158,AP$6+6&gt;=$G158),1,"")</x:f>
      </x:c>
      <x:c r="AQ158" s="167" t="str">
        <x:f>IF(AND(AQ$6&lt;=$H158,AQ$6+6&gt;=$G158),1,"")</x:f>
      </x:c>
      <x:c r="AR158" s="167" t="str">
        <x:f>IF(AND(AR$6&lt;=$H158,AR$6+6&gt;=$G158),1,"")</x:f>
      </x:c>
      <x:c r="AS158" s="167" t="str">
        <x:f>IF(AND(AS$6&lt;=$H158,AS$6+6&gt;=$G158),1,"")</x:f>
      </x:c>
      <x:c r="AT158" s="167" t="str">
        <x:f>IF(AND(AT$6&lt;=$H158,AT$6+6&gt;=$G158),1,"")</x:f>
      </x:c>
      <x:c r="AU158" s="167" t="str">
        <x:f>IF(AND(AU$6&lt;=$H158,AU$6+6&gt;=$G158),1,"")</x:f>
      </x:c>
      <x:c r="AV158" s="167" t="str">
        <x:f>IF(AND(AV$6&lt;=$H158,AV$6+6&gt;=$G158),1,"")</x:f>
      </x:c>
      <x:c r="AW158" s="167" t="str">
        <x:f>IF(AND(AW$6&lt;=$H158,AW$6+6&gt;=$G158),1,"")</x:f>
      </x:c>
      <x:c r="AX158" s="167" t="str">
        <x:f>IF(AND(AX$6&lt;=$H158,AX$6+6&gt;=$G158),1,"")</x:f>
      </x:c>
      <x:c r="AY158" s="167" t="str">
        <x:f>IF(AND(AY$6&lt;=$H158,AY$6+6&gt;=$G158),1,"")</x:f>
      </x:c>
      <x:c r="AZ158" s="167" t="str">
        <x:f>IF(AND(AZ$6&lt;=$H158,AZ$6+6&gt;=$G158),1,"")</x:f>
      </x:c>
      <x:c r="BA158" s="167" t="n">
        <x:f>IF(AND(BA$6&lt;=$H158,BA$6+6&gt;=$G158),1,"")</x:f>
        <x:v>1</x:v>
      </x:c>
      <x:c r="BB158" s="167" t="n">
        <x:f>IF(AND(BB$6&lt;=$H158,BB$6+6&gt;=$G158),1,"")</x:f>
        <x:v>1</x:v>
      </x:c>
      <x:c r="BC158" s="167" t="str">
        <x:f>IF(AND(BC$6&lt;=$H158,BC$6+6&gt;=$G158),1,"")</x:f>
      </x:c>
      <x:c r="BD158" s="167" t="str">
        <x:f>IF(AND(BD$6&lt;=$H158,BD$6+6&gt;=$G158),1,"")</x:f>
      </x:c>
      <x:c r="BE158" s="167" t="str">
        <x:f>IF(AND(BE$6&lt;=$H158,BE$6+6&gt;=$G158),1,"")</x:f>
      </x:c>
      <x:c r="BF158" s="167" t="str">
        <x:f>IF(AND(BF$6&lt;=$H158,BF$6+6&gt;=$G158),1,"")</x:f>
      </x:c>
      <x:c r="BG158" s="167" t="str">
        <x:f>IF(AND(BG$6&lt;=$H158,BG$6+6&gt;=$G158),1,"")</x:f>
      </x:c>
      <x:c r="BH158" s="167" t="str">
        <x:f>IF(AND(BH$6&lt;=$H158,BH$6+6&gt;=$G158),1,"")</x:f>
      </x:c>
      <x:c r="BI158" s="167" t="str">
        <x:f>IF(AND(BI$6&lt;=$H158,BI$6+6&gt;=$G158),1,"")</x:f>
      </x:c>
      <x:c r="BJ158" s="167" t="str">
        <x:f>IF(AND(BJ$6&lt;=$H158,BJ$6+6&gt;=$G158),1,"")</x:f>
      </x:c>
      <x:c r="BK158" s="167" t="str">
        <x:f>IF(AND(BK$6&lt;=$H158,BK$6+6&gt;=$G158),1,"")</x:f>
      </x:c>
      <x:c r="BL158" s="167" t="str">
        <x:f>IF(AND(BL$6&lt;=$H158,BL$6+6&gt;=$G158),1,"")</x:f>
      </x:c>
      <x:c r="BM158" s="167" t="str">
        <x:f>IF(AND(BM$6&lt;=$H158,BM$6+6&gt;=$G158),1,"")</x:f>
      </x:c>
      <x:c r="BN158" s="167" t="str">
        <x:f>IF(AND(BN$6&lt;=$H158,BN$6+6&gt;=$G158),1,"")</x:f>
      </x:c>
      <x:c r="BO158" s="168" t="str">
        <x:f>IF(AND(BO$6&lt;=$H158,BO$6+6&gt;=$G158),1,"")</x:f>
      </x:c>
    </x:row>
    <x:row r="159" ht="24" customHeight="1">
      <x:c r="A159" s="68" t="str">
        <x:f>'Task Register'!A157</x:f>
        <x:v>T-813</x:v>
      </x:c>
      <x:c r="B159" s="68" t="str">
        <x:f>'Task Register'!B157</x:f>
        <x:v>M8</x:v>
      </x:c>
      <x:c r="C159" s="68" t="str">
        <x:f>'Task Register'!C157</x:f>
        <x:v>Research/Continual Learning</x:v>
      </x:c>
      <x:c r="D159" s="68" t="str">
        <x:f>'Task Register'!D157</x:f>
        <x:v>Test online development and inheritance</x:v>
      </x:c>
      <x:c r="E159" s="68" t="str">
        <x:f>'Task Register'!E157</x:f>
        <x:v>AI-312, T-802, T-804, T-805</x:v>
      </x:c>
      <x:c r="F159" s="68" t="str">
        <x:f>'Task Register'!F157</x:f>
        <x:v>Blocked</x:v>
      </x:c>
      <x:c r="G159" s="94" t="n">
        <x:f>'Task Register'!I157</x:f>
        <x:v>46555</x:v>
      </x:c>
      <x:c r="H159" s="94" t="n">
        <x:f>'Task Register'!J157</x:f>
        <x:v>46566</x:v>
      </x:c>
      <x:c r="I159" s="166" t="str">
        <x:f>IF(AND(I$6&lt;=$H159,I$6+6&gt;=$G159),1,"")</x:f>
      </x:c>
      <x:c r="J159" s="167" t="str">
        <x:f>IF(AND(J$6&lt;=$H159,J$6+6&gt;=$G159),1,"")</x:f>
      </x:c>
      <x:c r="K159" s="167" t="str">
        <x:f>IF(AND(K$6&lt;=$H159,K$6+6&gt;=$G159),1,"")</x:f>
      </x:c>
      <x:c r="L159" s="167" t="str">
        <x:f>IF(AND(L$6&lt;=$H159,L$6+6&gt;=$G159),1,"")</x:f>
      </x:c>
      <x:c r="M159" s="167" t="str">
        <x:f>IF(AND(M$6&lt;=$H159,M$6+6&gt;=$G159),1,"")</x:f>
      </x:c>
      <x:c r="N159" s="167" t="str">
        <x:f>IF(AND(N$6&lt;=$H159,N$6+6&gt;=$G159),1,"")</x:f>
      </x:c>
      <x:c r="O159" s="167" t="str">
        <x:f>IF(AND(O$6&lt;=$H159,O$6+6&gt;=$G159),1,"")</x:f>
      </x:c>
      <x:c r="P159" s="167" t="str">
        <x:f>IF(AND(P$6&lt;=$H159,P$6+6&gt;=$G159),1,"")</x:f>
      </x:c>
      <x:c r="Q159" s="167" t="str">
        <x:f>IF(AND(Q$6&lt;=$H159,Q$6+6&gt;=$G159),1,"")</x:f>
      </x:c>
      <x:c r="R159" s="167" t="str">
        <x:f>IF(AND(R$6&lt;=$H159,R$6+6&gt;=$G159),1,"")</x:f>
      </x:c>
      <x:c r="S159" s="167" t="str">
        <x:f>IF(AND(S$6&lt;=$H159,S$6+6&gt;=$G159),1,"")</x:f>
      </x:c>
      <x:c r="T159" s="167" t="str">
        <x:f>IF(AND(T$6&lt;=$H159,T$6+6&gt;=$G159),1,"")</x:f>
      </x:c>
      <x:c r="U159" s="167" t="str">
        <x:f>IF(AND(U$6&lt;=$H159,U$6+6&gt;=$G159),1,"")</x:f>
      </x:c>
      <x:c r="V159" s="167" t="str">
        <x:f>IF(AND(V$6&lt;=$H159,V$6+6&gt;=$G159),1,"")</x:f>
      </x:c>
      <x:c r="W159" s="167" t="str">
        <x:f>IF(AND(W$6&lt;=$H159,W$6+6&gt;=$G159),1,"")</x:f>
      </x:c>
      <x:c r="X159" s="167" t="str">
        <x:f>IF(AND(X$6&lt;=$H159,X$6+6&gt;=$G159),1,"")</x:f>
      </x:c>
      <x:c r="Y159" s="167" t="str">
        <x:f>IF(AND(Y$6&lt;=$H159,Y$6+6&gt;=$G159),1,"")</x:f>
      </x:c>
      <x:c r="Z159" s="167" t="str">
        <x:f>IF(AND(Z$6&lt;=$H159,Z$6+6&gt;=$G159),1,"")</x:f>
      </x:c>
      <x:c r="AA159" s="167" t="str">
        <x:f>IF(AND(AA$6&lt;=$H159,AA$6+6&gt;=$G159),1,"")</x:f>
      </x:c>
      <x:c r="AB159" s="167" t="str">
        <x:f>IF(AND(AB$6&lt;=$H159,AB$6+6&gt;=$G159),1,"")</x:f>
      </x:c>
      <x:c r="AC159" s="167" t="str">
        <x:f>IF(AND(AC$6&lt;=$H159,AC$6+6&gt;=$G159),1,"")</x:f>
      </x:c>
      <x:c r="AD159" s="167" t="str">
        <x:f>IF(AND(AD$6&lt;=$H159,AD$6+6&gt;=$G159),1,"")</x:f>
      </x:c>
      <x:c r="AE159" s="167" t="str">
        <x:f>IF(AND(AE$6&lt;=$H159,AE$6+6&gt;=$G159),1,"")</x:f>
      </x:c>
      <x:c r="AF159" s="167" t="str">
        <x:f>IF(AND(AF$6&lt;=$H159,AF$6+6&gt;=$G159),1,"")</x:f>
      </x:c>
      <x:c r="AG159" s="167" t="str">
        <x:f>IF(AND(AG$6&lt;=$H159,AG$6+6&gt;=$G159),1,"")</x:f>
      </x:c>
      <x:c r="AH159" s="167" t="str">
        <x:f>IF(AND(AH$6&lt;=$H159,AH$6+6&gt;=$G159),1,"")</x:f>
      </x:c>
      <x:c r="AI159" s="167" t="str">
        <x:f>IF(AND(AI$6&lt;=$H159,AI$6+6&gt;=$G159),1,"")</x:f>
      </x:c>
      <x:c r="AJ159" s="167" t="str">
        <x:f>IF(AND(AJ$6&lt;=$H159,AJ$6+6&gt;=$G159),1,"")</x:f>
      </x:c>
      <x:c r="AK159" s="167" t="str">
        <x:f>IF(AND(AK$6&lt;=$H159,AK$6+6&gt;=$G159),1,"")</x:f>
      </x:c>
      <x:c r="AL159" s="167" t="str">
        <x:f>IF(AND(AL$6&lt;=$H159,AL$6+6&gt;=$G159),1,"")</x:f>
      </x:c>
      <x:c r="AM159" s="167" t="str">
        <x:f>IF(AND(AM$6&lt;=$H159,AM$6+6&gt;=$G159),1,"")</x:f>
      </x:c>
      <x:c r="AN159" s="167" t="str">
        <x:f>IF(AND(AN$6&lt;=$H159,AN$6+6&gt;=$G159),1,"")</x:f>
      </x:c>
      <x:c r="AO159" s="167" t="str">
        <x:f>IF(AND(AO$6&lt;=$H159,AO$6+6&gt;=$G159),1,"")</x:f>
      </x:c>
      <x:c r="AP159" s="167" t="str">
        <x:f>IF(AND(AP$6&lt;=$H159,AP$6+6&gt;=$G159),1,"")</x:f>
      </x:c>
      <x:c r="AQ159" s="167" t="str">
        <x:f>IF(AND(AQ$6&lt;=$H159,AQ$6+6&gt;=$G159),1,"")</x:f>
      </x:c>
      <x:c r="AR159" s="167" t="str">
        <x:f>IF(AND(AR$6&lt;=$H159,AR$6+6&gt;=$G159),1,"")</x:f>
      </x:c>
      <x:c r="AS159" s="167" t="str">
        <x:f>IF(AND(AS$6&lt;=$H159,AS$6+6&gt;=$G159),1,"")</x:f>
      </x:c>
      <x:c r="AT159" s="167" t="str">
        <x:f>IF(AND(AT$6&lt;=$H159,AT$6+6&gt;=$G159),1,"")</x:f>
      </x:c>
      <x:c r="AU159" s="167" t="str">
        <x:f>IF(AND(AU$6&lt;=$H159,AU$6+6&gt;=$G159),1,"")</x:f>
      </x:c>
      <x:c r="AV159" s="167" t="str">
        <x:f>IF(AND(AV$6&lt;=$H159,AV$6+6&gt;=$G159),1,"")</x:f>
      </x:c>
      <x:c r="AW159" s="167" t="str">
        <x:f>IF(AND(AW$6&lt;=$H159,AW$6+6&gt;=$G159),1,"")</x:f>
      </x:c>
      <x:c r="AX159" s="167" t="str">
        <x:f>IF(AND(AX$6&lt;=$H159,AX$6+6&gt;=$G159),1,"")</x:f>
      </x:c>
      <x:c r="AY159" s="167" t="str">
        <x:f>IF(AND(AY$6&lt;=$H159,AY$6+6&gt;=$G159),1,"")</x:f>
      </x:c>
      <x:c r="AZ159" s="167" t="str">
        <x:f>IF(AND(AZ$6&lt;=$H159,AZ$6+6&gt;=$G159),1,"")</x:f>
      </x:c>
      <x:c r="BA159" s="167" t="str">
        <x:f>IF(AND(BA$6&lt;=$H159,BA$6+6&gt;=$G159),1,"")</x:f>
      </x:c>
      <x:c r="BB159" s="167" t="n">
        <x:f>IF(AND(BB$6&lt;=$H159,BB$6+6&gt;=$G159),1,"")</x:f>
        <x:v>1</x:v>
      </x:c>
      <x:c r="BC159" s="167" t="n">
        <x:f>IF(AND(BC$6&lt;=$H159,BC$6+6&gt;=$G159),1,"")</x:f>
        <x:v>1</x:v>
      </x:c>
      <x:c r="BD159" s="167" t="n">
        <x:f>IF(AND(BD$6&lt;=$H159,BD$6+6&gt;=$G159),1,"")</x:f>
        <x:v>1</x:v>
      </x:c>
      <x:c r="BE159" s="167" t="str">
        <x:f>IF(AND(BE$6&lt;=$H159,BE$6+6&gt;=$G159),1,"")</x:f>
      </x:c>
      <x:c r="BF159" s="167" t="str">
        <x:f>IF(AND(BF$6&lt;=$H159,BF$6+6&gt;=$G159),1,"")</x:f>
      </x:c>
      <x:c r="BG159" s="167" t="str">
        <x:f>IF(AND(BG$6&lt;=$H159,BG$6+6&gt;=$G159),1,"")</x:f>
      </x:c>
      <x:c r="BH159" s="167" t="str">
        <x:f>IF(AND(BH$6&lt;=$H159,BH$6+6&gt;=$G159),1,"")</x:f>
      </x:c>
      <x:c r="BI159" s="167" t="str">
        <x:f>IF(AND(BI$6&lt;=$H159,BI$6+6&gt;=$G159),1,"")</x:f>
      </x:c>
      <x:c r="BJ159" s="167" t="str">
        <x:f>IF(AND(BJ$6&lt;=$H159,BJ$6+6&gt;=$G159),1,"")</x:f>
      </x:c>
      <x:c r="BK159" s="167" t="str">
        <x:f>IF(AND(BK$6&lt;=$H159,BK$6+6&gt;=$G159),1,"")</x:f>
      </x:c>
      <x:c r="BL159" s="167" t="str">
        <x:f>IF(AND(BL$6&lt;=$H159,BL$6+6&gt;=$G159),1,"")</x:f>
      </x:c>
      <x:c r="BM159" s="167" t="str">
        <x:f>IF(AND(BM$6&lt;=$H159,BM$6+6&gt;=$G159),1,"")</x:f>
      </x:c>
      <x:c r="BN159" s="167" t="str">
        <x:f>IF(AND(BN$6&lt;=$H159,BN$6+6&gt;=$G159),1,"")</x:f>
      </x:c>
      <x:c r="BO159" s="168" t="str">
        <x:f>IF(AND(BO$6&lt;=$H159,BO$6+6&gt;=$G159),1,"")</x:f>
      </x:c>
    </x:row>
    <x:row r="160" ht="24" customHeight="1">
      <x:c r="A160" s="68" t="str">
        <x:f>'Task Register'!A158</x:f>
        <x:v>T-814</x:v>
      </x:c>
      <x:c r="B160" s="68" t="str">
        <x:f>'Task Register'!B158</x:f>
        <x:v>M8</x:v>
      </x:c>
      <x:c r="C160" s="68" t="str">
        <x:f>'Task Register'!C158</x:f>
        <x:v>Research/Interactions</x:v>
      </x:c>
      <x:c r="D160" s="68" t="str">
        <x:f>'Task Register'!D158</x:f>
        <x:v>Run selected interaction studies</x:v>
      </x:c>
      <x:c r="E160" s="68" t="str">
        <x:f>'Task Register'!E158</x:f>
        <x:v>T-807, T-808, T-809, T-810, T-811</x:v>
      </x:c>
      <x:c r="F160" s="68" t="str">
        <x:f>'Task Register'!F158</x:f>
        <x:v>Blocked</x:v>
      </x:c>
      <x:c r="G160" s="94" t="n">
        <x:f>'Task Register'!I158</x:f>
        <x:v>46567</x:v>
      </x:c>
      <x:c r="H160" s="94" t="n">
        <x:f>'Task Register'!J158</x:f>
        <x:v>46576</x:v>
      </x:c>
      <x:c r="I160" s="166" t="str">
        <x:f>IF(AND(I$6&lt;=$H160,I$6+6&gt;=$G160),1,"")</x:f>
      </x:c>
      <x:c r="J160" s="167" t="str">
        <x:f>IF(AND(J$6&lt;=$H160,J$6+6&gt;=$G160),1,"")</x:f>
      </x:c>
      <x:c r="K160" s="167" t="str">
        <x:f>IF(AND(K$6&lt;=$H160,K$6+6&gt;=$G160),1,"")</x:f>
      </x:c>
      <x:c r="L160" s="167" t="str">
        <x:f>IF(AND(L$6&lt;=$H160,L$6+6&gt;=$G160),1,"")</x:f>
      </x:c>
      <x:c r="M160" s="167" t="str">
        <x:f>IF(AND(M$6&lt;=$H160,M$6+6&gt;=$G160),1,"")</x:f>
      </x:c>
      <x:c r="N160" s="167" t="str">
        <x:f>IF(AND(N$6&lt;=$H160,N$6+6&gt;=$G160),1,"")</x:f>
      </x:c>
      <x:c r="O160" s="167" t="str">
        <x:f>IF(AND(O$6&lt;=$H160,O$6+6&gt;=$G160),1,"")</x:f>
      </x:c>
      <x:c r="P160" s="167" t="str">
        <x:f>IF(AND(P$6&lt;=$H160,P$6+6&gt;=$G160),1,"")</x:f>
      </x:c>
      <x:c r="Q160" s="167" t="str">
        <x:f>IF(AND(Q$6&lt;=$H160,Q$6+6&gt;=$G160),1,"")</x:f>
      </x:c>
      <x:c r="R160" s="167" t="str">
        <x:f>IF(AND(R$6&lt;=$H160,R$6+6&gt;=$G160),1,"")</x:f>
      </x:c>
      <x:c r="S160" s="167" t="str">
        <x:f>IF(AND(S$6&lt;=$H160,S$6+6&gt;=$G160),1,"")</x:f>
      </x:c>
      <x:c r="T160" s="167" t="str">
        <x:f>IF(AND(T$6&lt;=$H160,T$6+6&gt;=$G160),1,"")</x:f>
      </x:c>
      <x:c r="U160" s="167" t="str">
        <x:f>IF(AND(U$6&lt;=$H160,U$6+6&gt;=$G160),1,"")</x:f>
      </x:c>
      <x:c r="V160" s="167" t="str">
        <x:f>IF(AND(V$6&lt;=$H160,V$6+6&gt;=$G160),1,"")</x:f>
      </x:c>
      <x:c r="W160" s="167" t="str">
        <x:f>IF(AND(W$6&lt;=$H160,W$6+6&gt;=$G160),1,"")</x:f>
      </x:c>
      <x:c r="X160" s="167" t="str">
        <x:f>IF(AND(X$6&lt;=$H160,X$6+6&gt;=$G160),1,"")</x:f>
      </x:c>
      <x:c r="Y160" s="167" t="str">
        <x:f>IF(AND(Y$6&lt;=$H160,Y$6+6&gt;=$G160),1,"")</x:f>
      </x:c>
      <x:c r="Z160" s="167" t="str">
        <x:f>IF(AND(Z$6&lt;=$H160,Z$6+6&gt;=$G160),1,"")</x:f>
      </x:c>
      <x:c r="AA160" s="167" t="str">
        <x:f>IF(AND(AA$6&lt;=$H160,AA$6+6&gt;=$G160),1,"")</x:f>
      </x:c>
      <x:c r="AB160" s="167" t="str">
        <x:f>IF(AND(AB$6&lt;=$H160,AB$6+6&gt;=$G160),1,"")</x:f>
      </x:c>
      <x:c r="AC160" s="167" t="str">
        <x:f>IF(AND(AC$6&lt;=$H160,AC$6+6&gt;=$G160),1,"")</x:f>
      </x:c>
      <x:c r="AD160" s="167" t="str">
        <x:f>IF(AND(AD$6&lt;=$H160,AD$6+6&gt;=$G160),1,"")</x:f>
      </x:c>
      <x:c r="AE160" s="167" t="str">
        <x:f>IF(AND(AE$6&lt;=$H160,AE$6+6&gt;=$G160),1,"")</x:f>
      </x:c>
      <x:c r="AF160" s="167" t="str">
        <x:f>IF(AND(AF$6&lt;=$H160,AF$6+6&gt;=$G160),1,"")</x:f>
      </x:c>
      <x:c r="AG160" s="167" t="str">
        <x:f>IF(AND(AG$6&lt;=$H160,AG$6+6&gt;=$G160),1,"")</x:f>
      </x:c>
      <x:c r="AH160" s="167" t="str">
        <x:f>IF(AND(AH$6&lt;=$H160,AH$6+6&gt;=$G160),1,"")</x:f>
      </x:c>
      <x:c r="AI160" s="167" t="str">
        <x:f>IF(AND(AI$6&lt;=$H160,AI$6+6&gt;=$G160),1,"")</x:f>
      </x:c>
      <x:c r="AJ160" s="167" t="str">
        <x:f>IF(AND(AJ$6&lt;=$H160,AJ$6+6&gt;=$G160),1,"")</x:f>
      </x:c>
      <x:c r="AK160" s="167" t="str">
        <x:f>IF(AND(AK$6&lt;=$H160,AK$6+6&gt;=$G160),1,"")</x:f>
      </x:c>
      <x:c r="AL160" s="167" t="str">
        <x:f>IF(AND(AL$6&lt;=$H160,AL$6+6&gt;=$G160),1,"")</x:f>
      </x:c>
      <x:c r="AM160" s="167" t="str">
        <x:f>IF(AND(AM$6&lt;=$H160,AM$6+6&gt;=$G160),1,"")</x:f>
      </x:c>
      <x:c r="AN160" s="167" t="str">
        <x:f>IF(AND(AN$6&lt;=$H160,AN$6+6&gt;=$G160),1,"")</x:f>
      </x:c>
      <x:c r="AO160" s="167" t="str">
        <x:f>IF(AND(AO$6&lt;=$H160,AO$6+6&gt;=$G160),1,"")</x:f>
      </x:c>
      <x:c r="AP160" s="167" t="str">
        <x:f>IF(AND(AP$6&lt;=$H160,AP$6+6&gt;=$G160),1,"")</x:f>
      </x:c>
      <x:c r="AQ160" s="167" t="str">
        <x:f>IF(AND(AQ$6&lt;=$H160,AQ$6+6&gt;=$G160),1,"")</x:f>
      </x:c>
      <x:c r="AR160" s="167" t="str">
        <x:f>IF(AND(AR$6&lt;=$H160,AR$6+6&gt;=$G160),1,"")</x:f>
      </x:c>
      <x:c r="AS160" s="167" t="str">
        <x:f>IF(AND(AS$6&lt;=$H160,AS$6+6&gt;=$G160),1,"")</x:f>
      </x:c>
      <x:c r="AT160" s="167" t="str">
        <x:f>IF(AND(AT$6&lt;=$H160,AT$6+6&gt;=$G160),1,"")</x:f>
      </x:c>
      <x:c r="AU160" s="167" t="str">
        <x:f>IF(AND(AU$6&lt;=$H160,AU$6+6&gt;=$G160),1,"")</x:f>
      </x:c>
      <x:c r="AV160" s="167" t="str">
        <x:f>IF(AND(AV$6&lt;=$H160,AV$6+6&gt;=$G160),1,"")</x:f>
      </x:c>
      <x:c r="AW160" s="167" t="str">
        <x:f>IF(AND(AW$6&lt;=$H160,AW$6+6&gt;=$G160),1,"")</x:f>
      </x:c>
      <x:c r="AX160" s="167" t="str">
        <x:f>IF(AND(AX$6&lt;=$H160,AX$6+6&gt;=$G160),1,"")</x:f>
      </x:c>
      <x:c r="AY160" s="167" t="str">
        <x:f>IF(AND(AY$6&lt;=$H160,AY$6+6&gt;=$G160),1,"")</x:f>
      </x:c>
      <x:c r="AZ160" s="167" t="str">
        <x:f>IF(AND(AZ$6&lt;=$H160,AZ$6+6&gt;=$G160),1,"")</x:f>
      </x:c>
      <x:c r="BA160" s="167" t="str">
        <x:f>IF(AND(BA$6&lt;=$H160,BA$6+6&gt;=$G160),1,"")</x:f>
      </x:c>
      <x:c r="BB160" s="167" t="str">
        <x:f>IF(AND(BB$6&lt;=$H160,BB$6+6&gt;=$G160),1,"")</x:f>
      </x:c>
      <x:c r="BC160" s="167" t="str">
        <x:f>IF(AND(BC$6&lt;=$H160,BC$6+6&gt;=$G160),1,"")</x:f>
      </x:c>
      <x:c r="BD160" s="167" t="n">
        <x:f>IF(AND(BD$6&lt;=$H160,BD$6+6&gt;=$G160),1,"")</x:f>
        <x:v>1</x:v>
      </x:c>
      <x:c r="BE160" s="167" t="n">
        <x:f>IF(AND(BE$6&lt;=$H160,BE$6+6&gt;=$G160),1,"")</x:f>
        <x:v>1</x:v>
      </x:c>
      <x:c r="BF160" s="167" t="str">
        <x:f>IF(AND(BF$6&lt;=$H160,BF$6+6&gt;=$G160),1,"")</x:f>
      </x:c>
      <x:c r="BG160" s="167" t="str">
        <x:f>IF(AND(BG$6&lt;=$H160,BG$6+6&gt;=$G160),1,"")</x:f>
      </x:c>
      <x:c r="BH160" s="167" t="str">
        <x:f>IF(AND(BH$6&lt;=$H160,BH$6+6&gt;=$G160),1,"")</x:f>
      </x:c>
      <x:c r="BI160" s="167" t="str">
        <x:f>IF(AND(BI$6&lt;=$H160,BI$6+6&gt;=$G160),1,"")</x:f>
      </x:c>
      <x:c r="BJ160" s="167" t="str">
        <x:f>IF(AND(BJ$6&lt;=$H160,BJ$6+6&gt;=$G160),1,"")</x:f>
      </x:c>
      <x:c r="BK160" s="167" t="str">
        <x:f>IF(AND(BK$6&lt;=$H160,BK$6+6&gt;=$G160),1,"")</x:f>
      </x:c>
      <x:c r="BL160" s="167" t="str">
        <x:f>IF(AND(BL$6&lt;=$H160,BL$6+6&gt;=$G160),1,"")</x:f>
      </x:c>
      <x:c r="BM160" s="167" t="str">
        <x:f>IF(AND(BM$6&lt;=$H160,BM$6+6&gt;=$G160),1,"")</x:f>
      </x:c>
      <x:c r="BN160" s="167" t="str">
        <x:f>IF(AND(BN$6&lt;=$H160,BN$6+6&gt;=$G160),1,"")</x:f>
      </x:c>
      <x:c r="BO160" s="168" t="str">
        <x:f>IF(AND(BO$6&lt;=$H160,BO$6+6&gt;=$G160),1,"")</x:f>
      </x:c>
    </x:row>
    <x:row r="161" ht="24" customHeight="1">
      <x:c r="A161" s="68" t="str">
        <x:f>'Task Register'!A159</x:f>
        <x:v>T-815</x:v>
      </x:c>
      <x:c r="B161" s="68" t="str">
        <x:f>'Task Register'!B159</x:f>
        <x:v>M8</x:v>
      </x:c>
      <x:c r="C161" s="68" t="str">
        <x:f>'Task Register'!C159</x:f>
        <x:v>Research/Transfer</x:v>
      </x:c>
      <x:c r="D161" s="68" t="str">
        <x:f>'Task Register'!D159</x:f>
        <x:v>Run simulator and hardware transfer studies</x:v>
      </x:c>
      <x:c r="E161" s="68" t="str">
        <x:f>'Task Register'!E159</x:f>
        <x:v>M2, T-410, T-716, T-804, T-805</x:v>
      </x:c>
      <x:c r="F161" s="68" t="str">
        <x:f>'Task Register'!F159</x:f>
        <x:v>Blocked</x:v>
      </x:c>
      <x:c r="G161" s="94" t="n">
        <x:f>'Task Register'!I159</x:f>
        <x:v>46577</x:v>
      </x:c>
      <x:c r="H161" s="94" t="n">
        <x:f>'Task Register'!J159</x:f>
        <x:v>46588</x:v>
      </x:c>
      <x:c r="I161" s="166" t="str">
        <x:f>IF(AND(I$6&lt;=$H161,I$6+6&gt;=$G161),1,"")</x:f>
      </x:c>
      <x:c r="J161" s="167" t="str">
        <x:f>IF(AND(J$6&lt;=$H161,J$6+6&gt;=$G161),1,"")</x:f>
      </x:c>
      <x:c r="K161" s="167" t="str">
        <x:f>IF(AND(K$6&lt;=$H161,K$6+6&gt;=$G161),1,"")</x:f>
      </x:c>
      <x:c r="L161" s="167" t="str">
        <x:f>IF(AND(L$6&lt;=$H161,L$6+6&gt;=$G161),1,"")</x:f>
      </x:c>
      <x:c r="M161" s="167" t="str">
        <x:f>IF(AND(M$6&lt;=$H161,M$6+6&gt;=$G161),1,"")</x:f>
      </x:c>
      <x:c r="N161" s="167" t="str">
        <x:f>IF(AND(N$6&lt;=$H161,N$6+6&gt;=$G161),1,"")</x:f>
      </x:c>
      <x:c r="O161" s="167" t="str">
        <x:f>IF(AND(O$6&lt;=$H161,O$6+6&gt;=$G161),1,"")</x:f>
      </x:c>
      <x:c r="P161" s="167" t="str">
        <x:f>IF(AND(P$6&lt;=$H161,P$6+6&gt;=$G161),1,"")</x:f>
      </x:c>
      <x:c r="Q161" s="167" t="str">
        <x:f>IF(AND(Q$6&lt;=$H161,Q$6+6&gt;=$G161),1,"")</x:f>
      </x:c>
      <x:c r="R161" s="167" t="str">
        <x:f>IF(AND(R$6&lt;=$H161,R$6+6&gt;=$G161),1,"")</x:f>
      </x:c>
      <x:c r="S161" s="167" t="str">
        <x:f>IF(AND(S$6&lt;=$H161,S$6+6&gt;=$G161),1,"")</x:f>
      </x:c>
      <x:c r="T161" s="167" t="str">
        <x:f>IF(AND(T$6&lt;=$H161,T$6+6&gt;=$G161),1,"")</x:f>
      </x:c>
      <x:c r="U161" s="167" t="str">
        <x:f>IF(AND(U$6&lt;=$H161,U$6+6&gt;=$G161),1,"")</x:f>
      </x:c>
      <x:c r="V161" s="167" t="str">
        <x:f>IF(AND(V$6&lt;=$H161,V$6+6&gt;=$G161),1,"")</x:f>
      </x:c>
      <x:c r="W161" s="167" t="str">
        <x:f>IF(AND(W$6&lt;=$H161,W$6+6&gt;=$G161),1,"")</x:f>
      </x:c>
      <x:c r="X161" s="167" t="str">
        <x:f>IF(AND(X$6&lt;=$H161,X$6+6&gt;=$G161),1,"")</x:f>
      </x:c>
      <x:c r="Y161" s="167" t="str">
        <x:f>IF(AND(Y$6&lt;=$H161,Y$6+6&gt;=$G161),1,"")</x:f>
      </x:c>
      <x:c r="Z161" s="167" t="str">
        <x:f>IF(AND(Z$6&lt;=$H161,Z$6+6&gt;=$G161),1,"")</x:f>
      </x:c>
      <x:c r="AA161" s="167" t="str">
        <x:f>IF(AND(AA$6&lt;=$H161,AA$6+6&gt;=$G161),1,"")</x:f>
      </x:c>
      <x:c r="AB161" s="167" t="str">
        <x:f>IF(AND(AB$6&lt;=$H161,AB$6+6&gt;=$G161),1,"")</x:f>
      </x:c>
      <x:c r="AC161" s="167" t="str">
        <x:f>IF(AND(AC$6&lt;=$H161,AC$6+6&gt;=$G161),1,"")</x:f>
      </x:c>
      <x:c r="AD161" s="167" t="str">
        <x:f>IF(AND(AD$6&lt;=$H161,AD$6+6&gt;=$G161),1,"")</x:f>
      </x:c>
      <x:c r="AE161" s="167" t="str">
        <x:f>IF(AND(AE$6&lt;=$H161,AE$6+6&gt;=$G161),1,"")</x:f>
      </x:c>
      <x:c r="AF161" s="167" t="str">
        <x:f>IF(AND(AF$6&lt;=$H161,AF$6+6&gt;=$G161),1,"")</x:f>
      </x:c>
      <x:c r="AG161" s="167" t="str">
        <x:f>IF(AND(AG$6&lt;=$H161,AG$6+6&gt;=$G161),1,"")</x:f>
      </x:c>
      <x:c r="AH161" s="167" t="str">
        <x:f>IF(AND(AH$6&lt;=$H161,AH$6+6&gt;=$G161),1,"")</x:f>
      </x:c>
      <x:c r="AI161" s="167" t="str">
        <x:f>IF(AND(AI$6&lt;=$H161,AI$6+6&gt;=$G161),1,"")</x:f>
      </x:c>
      <x:c r="AJ161" s="167" t="str">
        <x:f>IF(AND(AJ$6&lt;=$H161,AJ$6+6&gt;=$G161),1,"")</x:f>
      </x:c>
      <x:c r="AK161" s="167" t="str">
        <x:f>IF(AND(AK$6&lt;=$H161,AK$6+6&gt;=$G161),1,"")</x:f>
      </x:c>
      <x:c r="AL161" s="167" t="str">
        <x:f>IF(AND(AL$6&lt;=$H161,AL$6+6&gt;=$G161),1,"")</x:f>
      </x:c>
      <x:c r="AM161" s="167" t="str">
        <x:f>IF(AND(AM$6&lt;=$H161,AM$6+6&gt;=$G161),1,"")</x:f>
      </x:c>
      <x:c r="AN161" s="167" t="str">
        <x:f>IF(AND(AN$6&lt;=$H161,AN$6+6&gt;=$G161),1,"")</x:f>
      </x:c>
      <x:c r="AO161" s="167" t="str">
        <x:f>IF(AND(AO$6&lt;=$H161,AO$6+6&gt;=$G161),1,"")</x:f>
      </x:c>
      <x:c r="AP161" s="167" t="str">
        <x:f>IF(AND(AP$6&lt;=$H161,AP$6+6&gt;=$G161),1,"")</x:f>
      </x:c>
      <x:c r="AQ161" s="167" t="str">
        <x:f>IF(AND(AQ$6&lt;=$H161,AQ$6+6&gt;=$G161),1,"")</x:f>
      </x:c>
      <x:c r="AR161" s="167" t="str">
        <x:f>IF(AND(AR$6&lt;=$H161,AR$6+6&gt;=$G161),1,"")</x:f>
      </x:c>
      <x:c r="AS161" s="167" t="str">
        <x:f>IF(AND(AS$6&lt;=$H161,AS$6+6&gt;=$G161),1,"")</x:f>
      </x:c>
      <x:c r="AT161" s="167" t="str">
        <x:f>IF(AND(AT$6&lt;=$H161,AT$6+6&gt;=$G161),1,"")</x:f>
      </x:c>
      <x:c r="AU161" s="167" t="str">
        <x:f>IF(AND(AU$6&lt;=$H161,AU$6+6&gt;=$G161),1,"")</x:f>
      </x:c>
      <x:c r="AV161" s="167" t="str">
        <x:f>IF(AND(AV$6&lt;=$H161,AV$6+6&gt;=$G161),1,"")</x:f>
      </x:c>
      <x:c r="AW161" s="167" t="str">
        <x:f>IF(AND(AW$6&lt;=$H161,AW$6+6&gt;=$G161),1,"")</x:f>
      </x:c>
      <x:c r="AX161" s="167" t="str">
        <x:f>IF(AND(AX$6&lt;=$H161,AX$6+6&gt;=$G161),1,"")</x:f>
      </x:c>
      <x:c r="AY161" s="167" t="str">
        <x:f>IF(AND(AY$6&lt;=$H161,AY$6+6&gt;=$G161),1,"")</x:f>
      </x:c>
      <x:c r="AZ161" s="167" t="str">
        <x:f>IF(AND(AZ$6&lt;=$H161,AZ$6+6&gt;=$G161),1,"")</x:f>
      </x:c>
      <x:c r="BA161" s="167" t="str">
        <x:f>IF(AND(BA$6&lt;=$H161,BA$6+6&gt;=$G161),1,"")</x:f>
      </x:c>
      <x:c r="BB161" s="167" t="str">
        <x:f>IF(AND(BB$6&lt;=$H161,BB$6+6&gt;=$G161),1,"")</x:f>
      </x:c>
      <x:c r="BC161" s="167" t="str">
        <x:f>IF(AND(BC$6&lt;=$H161,BC$6+6&gt;=$G161),1,"")</x:f>
      </x:c>
      <x:c r="BD161" s="167" t="str">
        <x:f>IF(AND(BD$6&lt;=$H161,BD$6+6&gt;=$G161),1,"")</x:f>
      </x:c>
      <x:c r="BE161" s="167" t="n">
        <x:f>IF(AND(BE$6&lt;=$H161,BE$6+6&gt;=$G161),1,"")</x:f>
        <x:v>1</x:v>
      </x:c>
      <x:c r="BF161" s="167" t="n">
        <x:f>IF(AND(BF$6&lt;=$H161,BF$6+6&gt;=$G161),1,"")</x:f>
        <x:v>1</x:v>
      </x:c>
      <x:c r="BG161" s="167" t="n">
        <x:f>IF(AND(BG$6&lt;=$H161,BG$6+6&gt;=$G161),1,"")</x:f>
        <x:v>1</x:v>
      </x:c>
      <x:c r="BH161" s="167" t="str">
        <x:f>IF(AND(BH$6&lt;=$H161,BH$6+6&gt;=$G161),1,"")</x:f>
      </x:c>
      <x:c r="BI161" s="167" t="str">
        <x:f>IF(AND(BI$6&lt;=$H161,BI$6+6&gt;=$G161),1,"")</x:f>
      </x:c>
      <x:c r="BJ161" s="167" t="str">
        <x:f>IF(AND(BJ$6&lt;=$H161,BJ$6+6&gt;=$G161),1,"")</x:f>
      </x:c>
      <x:c r="BK161" s="167" t="str">
        <x:f>IF(AND(BK$6&lt;=$H161,BK$6+6&gt;=$G161),1,"")</x:f>
      </x:c>
      <x:c r="BL161" s="167" t="str">
        <x:f>IF(AND(BL$6&lt;=$H161,BL$6+6&gt;=$G161),1,"")</x:f>
      </x:c>
      <x:c r="BM161" s="167" t="str">
        <x:f>IF(AND(BM$6&lt;=$H161,BM$6+6&gt;=$G161),1,"")</x:f>
      </x:c>
      <x:c r="BN161" s="167" t="str">
        <x:f>IF(AND(BN$6&lt;=$H161,BN$6+6&gt;=$G161),1,"")</x:f>
      </x:c>
      <x:c r="BO161" s="168" t="str">
        <x:f>IF(AND(BO$6&lt;=$H161,BO$6+6&gt;=$G161),1,"")</x:f>
      </x:c>
    </x:row>
    <x:row r="162" ht="24" customHeight="1">
      <x:c r="A162" s="68" t="str">
        <x:f>'Task Register'!A160</x:f>
        <x:v>T-817</x:v>
      </x:c>
      <x:c r="B162" s="68" t="str">
        <x:f>'Task Register'!B160</x:f>
        <x:v>M8</x:v>
      </x:c>
      <x:c r="C162" s="68" t="str">
        <x:f>'Task Register'!C160</x:f>
        <x:v>Research Synthesis</x:v>
      </x:c>
      <x:c r="D162" s="68" t="str">
        <x:f>'Task Register'!D160</x:f>
        <x:v>M8 synthesis and research-decision gate</x:v>
      </x:c>
      <x:c r="E162" s="68" t="str">
        <x:f>'Task Register'!E160</x:f>
        <x:v>T-806, T-807, T-808, T-809, T-810, T-811, T-812, T-813, T-814, T-815, T-816</x:v>
      </x:c>
      <x:c r="F162" s="68" t="str">
        <x:f>'Task Register'!F160</x:f>
        <x:v>Blocked</x:v>
      </x:c>
      <x:c r="G162" s="94" t="n">
        <x:f>'Task Register'!I160</x:f>
        <x:v>46589</x:v>
      </x:c>
      <x:c r="H162" s="94" t="n">
        <x:f>'Task Register'!J160</x:f>
        <x:v>46597</x:v>
      </x:c>
      <x:c r="I162" s="166" t="str">
        <x:f>IF(AND(I$6&lt;=$H162,I$6+6&gt;=$G162),1,"")</x:f>
      </x:c>
      <x:c r="J162" s="167" t="str">
        <x:f>IF(AND(J$6&lt;=$H162,J$6+6&gt;=$G162),1,"")</x:f>
      </x:c>
      <x:c r="K162" s="167" t="str">
        <x:f>IF(AND(K$6&lt;=$H162,K$6+6&gt;=$G162),1,"")</x:f>
      </x:c>
      <x:c r="L162" s="167" t="str">
        <x:f>IF(AND(L$6&lt;=$H162,L$6+6&gt;=$G162),1,"")</x:f>
      </x:c>
      <x:c r="M162" s="167" t="str">
        <x:f>IF(AND(M$6&lt;=$H162,M$6+6&gt;=$G162),1,"")</x:f>
      </x:c>
      <x:c r="N162" s="167" t="str">
        <x:f>IF(AND(N$6&lt;=$H162,N$6+6&gt;=$G162),1,"")</x:f>
      </x:c>
      <x:c r="O162" s="167" t="str">
        <x:f>IF(AND(O$6&lt;=$H162,O$6+6&gt;=$G162),1,"")</x:f>
      </x:c>
      <x:c r="P162" s="167" t="str">
        <x:f>IF(AND(P$6&lt;=$H162,P$6+6&gt;=$G162),1,"")</x:f>
      </x:c>
      <x:c r="Q162" s="167" t="str">
        <x:f>IF(AND(Q$6&lt;=$H162,Q$6+6&gt;=$G162),1,"")</x:f>
      </x:c>
      <x:c r="R162" s="167" t="str">
        <x:f>IF(AND(R$6&lt;=$H162,R$6+6&gt;=$G162),1,"")</x:f>
      </x:c>
      <x:c r="S162" s="167" t="str">
        <x:f>IF(AND(S$6&lt;=$H162,S$6+6&gt;=$G162),1,"")</x:f>
      </x:c>
      <x:c r="T162" s="167" t="str">
        <x:f>IF(AND(T$6&lt;=$H162,T$6+6&gt;=$G162),1,"")</x:f>
      </x:c>
      <x:c r="U162" s="167" t="str">
        <x:f>IF(AND(U$6&lt;=$H162,U$6+6&gt;=$G162),1,"")</x:f>
      </x:c>
      <x:c r="V162" s="167" t="str">
        <x:f>IF(AND(V$6&lt;=$H162,V$6+6&gt;=$G162),1,"")</x:f>
      </x:c>
      <x:c r="W162" s="167" t="str">
        <x:f>IF(AND(W$6&lt;=$H162,W$6+6&gt;=$G162),1,"")</x:f>
      </x:c>
      <x:c r="X162" s="167" t="str">
        <x:f>IF(AND(X$6&lt;=$H162,X$6+6&gt;=$G162),1,"")</x:f>
      </x:c>
      <x:c r="Y162" s="167" t="str">
        <x:f>IF(AND(Y$6&lt;=$H162,Y$6+6&gt;=$G162),1,"")</x:f>
      </x:c>
      <x:c r="Z162" s="167" t="str">
        <x:f>IF(AND(Z$6&lt;=$H162,Z$6+6&gt;=$G162),1,"")</x:f>
      </x:c>
      <x:c r="AA162" s="167" t="str">
        <x:f>IF(AND(AA$6&lt;=$H162,AA$6+6&gt;=$G162),1,"")</x:f>
      </x:c>
      <x:c r="AB162" s="167" t="str">
        <x:f>IF(AND(AB$6&lt;=$H162,AB$6+6&gt;=$G162),1,"")</x:f>
      </x:c>
      <x:c r="AC162" s="167" t="str">
        <x:f>IF(AND(AC$6&lt;=$H162,AC$6+6&gt;=$G162),1,"")</x:f>
      </x:c>
      <x:c r="AD162" s="167" t="str">
        <x:f>IF(AND(AD$6&lt;=$H162,AD$6+6&gt;=$G162),1,"")</x:f>
      </x:c>
      <x:c r="AE162" s="167" t="str">
        <x:f>IF(AND(AE$6&lt;=$H162,AE$6+6&gt;=$G162),1,"")</x:f>
      </x:c>
      <x:c r="AF162" s="167" t="str">
        <x:f>IF(AND(AF$6&lt;=$H162,AF$6+6&gt;=$G162),1,"")</x:f>
      </x:c>
      <x:c r="AG162" s="167" t="str">
        <x:f>IF(AND(AG$6&lt;=$H162,AG$6+6&gt;=$G162),1,"")</x:f>
      </x:c>
      <x:c r="AH162" s="167" t="str">
        <x:f>IF(AND(AH$6&lt;=$H162,AH$6+6&gt;=$G162),1,"")</x:f>
      </x:c>
      <x:c r="AI162" s="167" t="str">
        <x:f>IF(AND(AI$6&lt;=$H162,AI$6+6&gt;=$G162),1,"")</x:f>
      </x:c>
      <x:c r="AJ162" s="167" t="str">
        <x:f>IF(AND(AJ$6&lt;=$H162,AJ$6+6&gt;=$G162),1,"")</x:f>
      </x:c>
      <x:c r="AK162" s="167" t="str">
        <x:f>IF(AND(AK$6&lt;=$H162,AK$6+6&gt;=$G162),1,"")</x:f>
      </x:c>
      <x:c r="AL162" s="167" t="str">
        <x:f>IF(AND(AL$6&lt;=$H162,AL$6+6&gt;=$G162),1,"")</x:f>
      </x:c>
      <x:c r="AM162" s="167" t="str">
        <x:f>IF(AND(AM$6&lt;=$H162,AM$6+6&gt;=$G162),1,"")</x:f>
      </x:c>
      <x:c r="AN162" s="167" t="str">
        <x:f>IF(AND(AN$6&lt;=$H162,AN$6+6&gt;=$G162),1,"")</x:f>
      </x:c>
      <x:c r="AO162" s="167" t="str">
        <x:f>IF(AND(AO$6&lt;=$H162,AO$6+6&gt;=$G162),1,"")</x:f>
      </x:c>
      <x:c r="AP162" s="167" t="str">
        <x:f>IF(AND(AP$6&lt;=$H162,AP$6+6&gt;=$G162),1,"")</x:f>
      </x:c>
      <x:c r="AQ162" s="167" t="str">
        <x:f>IF(AND(AQ$6&lt;=$H162,AQ$6+6&gt;=$G162),1,"")</x:f>
      </x:c>
      <x:c r="AR162" s="167" t="str">
        <x:f>IF(AND(AR$6&lt;=$H162,AR$6+6&gt;=$G162),1,"")</x:f>
      </x:c>
      <x:c r="AS162" s="167" t="str">
        <x:f>IF(AND(AS$6&lt;=$H162,AS$6+6&gt;=$G162),1,"")</x:f>
      </x:c>
      <x:c r="AT162" s="167" t="str">
        <x:f>IF(AND(AT$6&lt;=$H162,AT$6+6&gt;=$G162),1,"")</x:f>
      </x:c>
      <x:c r="AU162" s="167" t="str">
        <x:f>IF(AND(AU$6&lt;=$H162,AU$6+6&gt;=$G162),1,"")</x:f>
      </x:c>
      <x:c r="AV162" s="167" t="str">
        <x:f>IF(AND(AV$6&lt;=$H162,AV$6+6&gt;=$G162),1,"")</x:f>
      </x:c>
      <x:c r="AW162" s="167" t="str">
        <x:f>IF(AND(AW$6&lt;=$H162,AW$6+6&gt;=$G162),1,"")</x:f>
      </x:c>
      <x:c r="AX162" s="167" t="str">
        <x:f>IF(AND(AX$6&lt;=$H162,AX$6+6&gt;=$G162),1,"")</x:f>
      </x:c>
      <x:c r="AY162" s="167" t="str">
        <x:f>IF(AND(AY$6&lt;=$H162,AY$6+6&gt;=$G162),1,"")</x:f>
      </x:c>
      <x:c r="AZ162" s="167" t="str">
        <x:f>IF(AND(AZ$6&lt;=$H162,AZ$6+6&gt;=$G162),1,"")</x:f>
      </x:c>
      <x:c r="BA162" s="167" t="str">
        <x:f>IF(AND(BA$6&lt;=$H162,BA$6+6&gt;=$G162),1,"")</x:f>
      </x:c>
      <x:c r="BB162" s="167" t="str">
        <x:f>IF(AND(BB$6&lt;=$H162,BB$6+6&gt;=$G162),1,"")</x:f>
      </x:c>
      <x:c r="BC162" s="167" t="str">
        <x:f>IF(AND(BC$6&lt;=$H162,BC$6+6&gt;=$G162),1,"")</x:f>
      </x:c>
      <x:c r="BD162" s="167" t="str">
        <x:f>IF(AND(BD$6&lt;=$H162,BD$6+6&gt;=$G162),1,"")</x:f>
      </x:c>
      <x:c r="BE162" s="167" t="str">
        <x:f>IF(AND(BE$6&lt;=$H162,BE$6+6&gt;=$G162),1,"")</x:f>
      </x:c>
      <x:c r="BF162" s="167" t="str">
        <x:f>IF(AND(BF$6&lt;=$H162,BF$6+6&gt;=$G162),1,"")</x:f>
      </x:c>
      <x:c r="BG162" s="167" t="n">
        <x:f>IF(AND(BG$6&lt;=$H162,BG$6+6&gt;=$G162),1,"")</x:f>
        <x:v>1</x:v>
      </x:c>
      <x:c r="BH162" s="167" t="n">
        <x:f>IF(AND(BH$6&lt;=$H162,BH$6+6&gt;=$G162),1,"")</x:f>
        <x:v>1</x:v>
      </x:c>
      <x:c r="BI162" s="167" t="str">
        <x:f>IF(AND(BI$6&lt;=$H162,BI$6+6&gt;=$G162),1,"")</x:f>
      </x:c>
      <x:c r="BJ162" s="167" t="str">
        <x:f>IF(AND(BJ$6&lt;=$H162,BJ$6+6&gt;=$G162),1,"")</x:f>
      </x:c>
      <x:c r="BK162" s="167" t="str">
        <x:f>IF(AND(BK$6&lt;=$H162,BK$6+6&gt;=$G162),1,"")</x:f>
      </x:c>
      <x:c r="BL162" s="167" t="str">
        <x:f>IF(AND(BL$6&lt;=$H162,BL$6+6&gt;=$G162),1,"")</x:f>
      </x:c>
      <x:c r="BM162" s="167" t="str">
        <x:f>IF(AND(BM$6&lt;=$H162,BM$6+6&gt;=$G162),1,"")</x:f>
      </x:c>
      <x:c r="BN162" s="167" t="str">
        <x:f>IF(AND(BN$6&lt;=$H162,BN$6+6&gt;=$G162),1,"")</x:f>
      </x:c>
      <x:c r="BO162" s="168" t="str">
        <x:f>IF(AND(BO$6&lt;=$H162,BO$6+6&gt;=$G162),1,"")</x:f>
      </x:c>
    </x:row>
    <x:row r="163" ht="24" customHeight="1">
      <x:c r="A163" s="68" t="str">
        <x:f>'Task Register'!A161</x:f>
        <x:v>R2-PKG</x:v>
      </x:c>
      <x:c r="B163" s="68" t="str">
        <x:f>'Task Register'!B161</x:f>
        <x:v>R2</x:v>
      </x:c>
      <x:c r="C163" s="68" t="str">
        <x:f>'Task Register'!C161</x:f>
        <x:v>Transfer/Undecomposed</x:v>
      </x:c>
      <x:c r="D163" s="68" t="str">
        <x:f>'Task Register'!D161</x:f>
        <x:v>Fixed-camera sim-to-real protocol phase envelope</x:v>
      </x:c>
      <x:c r="E163" s="68" t="str">
        <x:f>'Task Register'!E161</x:f>
        <x:v>M2</x:v>
      </x:c>
      <x:c r="F163" s="68" t="str">
        <x:f>'Task Register'!F161</x:f>
        <x:v>Backlog</x:v>
      </x:c>
      <x:c r="G163" s="94" t="n">
        <x:f>'Task Register'!I161</x:f>
        <x:v>46370</x:v>
      </x:c>
      <x:c r="H163" s="94" t="n">
        <x:f>'Task Register'!J161</x:f>
        <x:v>46411</x:v>
      </x:c>
      <x:c r="I163" s="166" t="str">
        <x:f>IF(AND(I$6&lt;=$H163,I$6+6&gt;=$G163),1,"")</x:f>
      </x:c>
      <x:c r="J163" s="167" t="str">
        <x:f>IF(AND(J$6&lt;=$H163,J$6+6&gt;=$G163),1,"")</x:f>
      </x:c>
      <x:c r="K163" s="167" t="str">
        <x:f>IF(AND(K$6&lt;=$H163,K$6+6&gt;=$G163),1,"")</x:f>
      </x:c>
      <x:c r="L163" s="167" t="str">
        <x:f>IF(AND(L$6&lt;=$H163,L$6+6&gt;=$G163),1,"")</x:f>
      </x:c>
      <x:c r="M163" s="167" t="str">
        <x:f>IF(AND(M$6&lt;=$H163,M$6+6&gt;=$G163),1,"")</x:f>
      </x:c>
      <x:c r="N163" s="167" t="str">
        <x:f>IF(AND(N$6&lt;=$H163,N$6+6&gt;=$G163),1,"")</x:f>
      </x:c>
      <x:c r="O163" s="167" t="str">
        <x:f>IF(AND(O$6&lt;=$H163,O$6+6&gt;=$G163),1,"")</x:f>
      </x:c>
      <x:c r="P163" s="167" t="str">
        <x:f>IF(AND(P$6&lt;=$H163,P$6+6&gt;=$G163),1,"")</x:f>
      </x:c>
      <x:c r="Q163" s="167" t="str">
        <x:f>IF(AND(Q$6&lt;=$H163,Q$6+6&gt;=$G163),1,"")</x:f>
      </x:c>
      <x:c r="R163" s="167" t="str">
        <x:f>IF(AND(R$6&lt;=$H163,R$6+6&gt;=$G163),1,"")</x:f>
      </x:c>
      <x:c r="S163" s="167" t="str">
        <x:f>IF(AND(S$6&lt;=$H163,S$6+6&gt;=$G163),1,"")</x:f>
      </x:c>
      <x:c r="T163" s="167" t="str">
        <x:f>IF(AND(T$6&lt;=$H163,T$6+6&gt;=$G163),1,"")</x:f>
      </x:c>
      <x:c r="U163" s="167" t="str">
        <x:f>IF(AND(U$6&lt;=$H163,U$6+6&gt;=$G163),1,"")</x:f>
      </x:c>
      <x:c r="V163" s="167" t="str">
        <x:f>IF(AND(V$6&lt;=$H163,V$6+6&gt;=$G163),1,"")</x:f>
      </x:c>
      <x:c r="W163" s="167" t="str">
        <x:f>IF(AND(W$6&lt;=$H163,W$6+6&gt;=$G163),1,"")</x:f>
      </x:c>
      <x:c r="X163" s="167" t="str">
        <x:f>IF(AND(X$6&lt;=$H163,X$6+6&gt;=$G163),1,"")</x:f>
      </x:c>
      <x:c r="Y163" s="167" t="str">
        <x:f>IF(AND(Y$6&lt;=$H163,Y$6+6&gt;=$G163),1,"")</x:f>
      </x:c>
      <x:c r="Z163" s="167" t="str">
        <x:f>IF(AND(Z$6&lt;=$H163,Z$6+6&gt;=$G163),1,"")</x:f>
      </x:c>
      <x:c r="AA163" s="167" t="str">
        <x:f>IF(AND(AA$6&lt;=$H163,AA$6+6&gt;=$G163),1,"")</x:f>
      </x:c>
      <x:c r="AB163" s="167" t="n">
        <x:f>IF(AND(AB$6&lt;=$H163,AB$6+6&gt;=$G163),1,"")</x:f>
        <x:v>1</x:v>
      </x:c>
      <x:c r="AC163" s="167" t="n">
        <x:f>IF(AND(AC$6&lt;=$H163,AC$6+6&gt;=$G163),1,"")</x:f>
        <x:v>1</x:v>
      </x:c>
      <x:c r="AD163" s="167" t="n">
        <x:f>IF(AND(AD$6&lt;=$H163,AD$6+6&gt;=$G163),1,"")</x:f>
        <x:v>1</x:v>
      </x:c>
      <x:c r="AE163" s="167" t="n">
        <x:f>IF(AND(AE$6&lt;=$H163,AE$6+6&gt;=$G163),1,"")</x:f>
        <x:v>1</x:v>
      </x:c>
      <x:c r="AF163" s="167" t="n">
        <x:f>IF(AND(AF$6&lt;=$H163,AF$6+6&gt;=$G163),1,"")</x:f>
        <x:v>1</x:v>
      </x:c>
      <x:c r="AG163" s="167" t="n">
        <x:f>IF(AND(AG$6&lt;=$H163,AG$6+6&gt;=$G163),1,"")</x:f>
        <x:v>1</x:v>
      </x:c>
      <x:c r="AH163" s="167" t="str">
        <x:f>IF(AND(AH$6&lt;=$H163,AH$6+6&gt;=$G163),1,"")</x:f>
      </x:c>
      <x:c r="AI163" s="167" t="str">
        <x:f>IF(AND(AI$6&lt;=$H163,AI$6+6&gt;=$G163),1,"")</x:f>
      </x:c>
      <x:c r="AJ163" s="167" t="str">
        <x:f>IF(AND(AJ$6&lt;=$H163,AJ$6+6&gt;=$G163),1,"")</x:f>
      </x:c>
      <x:c r="AK163" s="167" t="str">
        <x:f>IF(AND(AK$6&lt;=$H163,AK$6+6&gt;=$G163),1,"")</x:f>
      </x:c>
      <x:c r="AL163" s="167" t="str">
        <x:f>IF(AND(AL$6&lt;=$H163,AL$6+6&gt;=$G163),1,"")</x:f>
      </x:c>
      <x:c r="AM163" s="167" t="str">
        <x:f>IF(AND(AM$6&lt;=$H163,AM$6+6&gt;=$G163),1,"")</x:f>
      </x:c>
      <x:c r="AN163" s="167" t="str">
        <x:f>IF(AND(AN$6&lt;=$H163,AN$6+6&gt;=$G163),1,"")</x:f>
      </x:c>
      <x:c r="AO163" s="167" t="str">
        <x:f>IF(AND(AO$6&lt;=$H163,AO$6+6&gt;=$G163),1,"")</x:f>
      </x:c>
      <x:c r="AP163" s="167" t="str">
        <x:f>IF(AND(AP$6&lt;=$H163,AP$6+6&gt;=$G163),1,"")</x:f>
      </x:c>
      <x:c r="AQ163" s="167" t="str">
        <x:f>IF(AND(AQ$6&lt;=$H163,AQ$6+6&gt;=$G163),1,"")</x:f>
      </x:c>
      <x:c r="AR163" s="167" t="str">
        <x:f>IF(AND(AR$6&lt;=$H163,AR$6+6&gt;=$G163),1,"")</x:f>
      </x:c>
      <x:c r="AS163" s="167" t="str">
        <x:f>IF(AND(AS$6&lt;=$H163,AS$6+6&gt;=$G163),1,"")</x:f>
      </x:c>
      <x:c r="AT163" s="167" t="str">
        <x:f>IF(AND(AT$6&lt;=$H163,AT$6+6&gt;=$G163),1,"")</x:f>
      </x:c>
      <x:c r="AU163" s="167" t="str">
        <x:f>IF(AND(AU$6&lt;=$H163,AU$6+6&gt;=$G163),1,"")</x:f>
      </x:c>
      <x:c r="AV163" s="167" t="str">
        <x:f>IF(AND(AV$6&lt;=$H163,AV$6+6&gt;=$G163),1,"")</x:f>
      </x:c>
      <x:c r="AW163" s="167" t="str">
        <x:f>IF(AND(AW$6&lt;=$H163,AW$6+6&gt;=$G163),1,"")</x:f>
      </x:c>
      <x:c r="AX163" s="167" t="str">
        <x:f>IF(AND(AX$6&lt;=$H163,AX$6+6&gt;=$G163),1,"")</x:f>
      </x:c>
      <x:c r="AY163" s="167" t="str">
        <x:f>IF(AND(AY$6&lt;=$H163,AY$6+6&gt;=$G163),1,"")</x:f>
      </x:c>
      <x:c r="AZ163" s="167" t="str">
        <x:f>IF(AND(AZ$6&lt;=$H163,AZ$6+6&gt;=$G163),1,"")</x:f>
      </x:c>
      <x:c r="BA163" s="167" t="str">
        <x:f>IF(AND(BA$6&lt;=$H163,BA$6+6&gt;=$G163),1,"")</x:f>
      </x:c>
      <x:c r="BB163" s="167" t="str">
        <x:f>IF(AND(BB$6&lt;=$H163,BB$6+6&gt;=$G163),1,"")</x:f>
      </x:c>
      <x:c r="BC163" s="167" t="str">
        <x:f>IF(AND(BC$6&lt;=$H163,BC$6+6&gt;=$G163),1,"")</x:f>
      </x:c>
      <x:c r="BD163" s="167" t="str">
        <x:f>IF(AND(BD$6&lt;=$H163,BD$6+6&gt;=$G163),1,"")</x:f>
      </x:c>
      <x:c r="BE163" s="167" t="str">
        <x:f>IF(AND(BE$6&lt;=$H163,BE$6+6&gt;=$G163),1,"")</x:f>
      </x:c>
      <x:c r="BF163" s="167" t="str">
        <x:f>IF(AND(BF$6&lt;=$H163,BF$6+6&gt;=$G163),1,"")</x:f>
      </x:c>
      <x:c r="BG163" s="167" t="str">
        <x:f>IF(AND(BG$6&lt;=$H163,BG$6+6&gt;=$G163),1,"")</x:f>
      </x:c>
      <x:c r="BH163" s="167" t="str">
        <x:f>IF(AND(BH$6&lt;=$H163,BH$6+6&gt;=$G163),1,"")</x:f>
      </x:c>
      <x:c r="BI163" s="167" t="str">
        <x:f>IF(AND(BI$6&lt;=$H163,BI$6+6&gt;=$G163),1,"")</x:f>
      </x:c>
      <x:c r="BJ163" s="167" t="str">
        <x:f>IF(AND(BJ$6&lt;=$H163,BJ$6+6&gt;=$G163),1,"")</x:f>
      </x:c>
      <x:c r="BK163" s="167" t="str">
        <x:f>IF(AND(BK$6&lt;=$H163,BK$6+6&gt;=$G163),1,"")</x:f>
      </x:c>
      <x:c r="BL163" s="167" t="str">
        <x:f>IF(AND(BL$6&lt;=$H163,BL$6+6&gt;=$G163),1,"")</x:f>
      </x:c>
      <x:c r="BM163" s="167" t="str">
        <x:f>IF(AND(BM$6&lt;=$H163,BM$6+6&gt;=$G163),1,"")</x:f>
      </x:c>
      <x:c r="BN163" s="167" t="str">
        <x:f>IF(AND(BN$6&lt;=$H163,BN$6+6&gt;=$G163),1,"")</x:f>
      </x:c>
      <x:c r="BO163" s="168" t="str">
        <x:f>IF(AND(BO$6&lt;=$H163,BO$6+6&gt;=$G163),1,"")</x:f>
      </x:c>
    </x:row>
    <x:row r="164" ht="24" customHeight="1">
      <x:c r="A164" s="68" t="str">
        <x:f>'Task Register'!A162</x:f>
        <x:v>R3-PKG</x:v>
      </x:c>
      <x:c r="B164" s="68" t="str">
        <x:f>'Task Register'!B162</x:f>
        <x:v>R3</x:v>
      </x:c>
      <x:c r="C164" s="68" t="str">
        <x:f>'Task Register'!C162</x:f>
        <x:v>Transfer/Undecomposed</x:v>
      </x:c>
      <x:c r="D164" s="68" t="str">
        <x:f>'Task Register'!D162</x:f>
        <x:v>Foveated camera transfer phase envelope</x:v>
      </x:c>
      <x:c r="E164" s="68" t="str">
        <x:f>'Task Register'!E162</x:f>
        <x:v>M3</x:v>
      </x:c>
      <x:c r="F164" s="68" t="str">
        <x:f>'Task Register'!F162</x:f>
        <x:v>Backlog</x:v>
      </x:c>
      <x:c r="G164" s="94" t="n">
        <x:f>'Task Register'!I162</x:f>
        <x:v>46496</x:v>
      </x:c>
      <x:c r="H164" s="94" t="n">
        <x:f>'Task Register'!J162</x:f>
        <x:v>46551</x:v>
      </x:c>
      <x:c r="I164" s="166" t="str">
        <x:f>IF(AND(I$6&lt;=$H164,I$6+6&gt;=$G164),1,"")</x:f>
      </x:c>
      <x:c r="J164" s="167" t="str">
        <x:f>IF(AND(J$6&lt;=$H164,J$6+6&gt;=$G164),1,"")</x:f>
      </x:c>
      <x:c r="K164" s="167" t="str">
        <x:f>IF(AND(K$6&lt;=$H164,K$6+6&gt;=$G164),1,"")</x:f>
      </x:c>
      <x:c r="L164" s="167" t="str">
        <x:f>IF(AND(L$6&lt;=$H164,L$6+6&gt;=$G164),1,"")</x:f>
      </x:c>
      <x:c r="M164" s="167" t="str">
        <x:f>IF(AND(M$6&lt;=$H164,M$6+6&gt;=$G164),1,"")</x:f>
      </x:c>
      <x:c r="N164" s="167" t="str">
        <x:f>IF(AND(N$6&lt;=$H164,N$6+6&gt;=$G164),1,"")</x:f>
      </x:c>
      <x:c r="O164" s="167" t="str">
        <x:f>IF(AND(O$6&lt;=$H164,O$6+6&gt;=$G164),1,"")</x:f>
      </x:c>
      <x:c r="P164" s="167" t="str">
        <x:f>IF(AND(P$6&lt;=$H164,P$6+6&gt;=$G164),1,"")</x:f>
      </x:c>
      <x:c r="Q164" s="167" t="str">
        <x:f>IF(AND(Q$6&lt;=$H164,Q$6+6&gt;=$G164),1,"")</x:f>
      </x:c>
      <x:c r="R164" s="167" t="str">
        <x:f>IF(AND(R$6&lt;=$H164,R$6+6&gt;=$G164),1,"")</x:f>
      </x:c>
      <x:c r="S164" s="167" t="str">
        <x:f>IF(AND(S$6&lt;=$H164,S$6+6&gt;=$G164),1,"")</x:f>
      </x:c>
      <x:c r="T164" s="167" t="str">
        <x:f>IF(AND(T$6&lt;=$H164,T$6+6&gt;=$G164),1,"")</x:f>
      </x:c>
      <x:c r="U164" s="167" t="str">
        <x:f>IF(AND(U$6&lt;=$H164,U$6+6&gt;=$G164),1,"")</x:f>
      </x:c>
      <x:c r="V164" s="167" t="str">
        <x:f>IF(AND(V$6&lt;=$H164,V$6+6&gt;=$G164),1,"")</x:f>
      </x:c>
      <x:c r="W164" s="167" t="str">
        <x:f>IF(AND(W$6&lt;=$H164,W$6+6&gt;=$G164),1,"")</x:f>
      </x:c>
      <x:c r="X164" s="167" t="str">
        <x:f>IF(AND(X$6&lt;=$H164,X$6+6&gt;=$G164),1,"")</x:f>
      </x:c>
      <x:c r="Y164" s="167" t="str">
        <x:f>IF(AND(Y$6&lt;=$H164,Y$6+6&gt;=$G164),1,"")</x:f>
      </x:c>
      <x:c r="Z164" s="167" t="str">
        <x:f>IF(AND(Z$6&lt;=$H164,Z$6+6&gt;=$G164),1,"")</x:f>
      </x:c>
      <x:c r="AA164" s="167" t="str">
        <x:f>IF(AND(AA$6&lt;=$H164,AA$6+6&gt;=$G164),1,"")</x:f>
      </x:c>
      <x:c r="AB164" s="167" t="str">
        <x:f>IF(AND(AB$6&lt;=$H164,AB$6+6&gt;=$G164),1,"")</x:f>
      </x:c>
      <x:c r="AC164" s="167" t="str">
        <x:f>IF(AND(AC$6&lt;=$H164,AC$6+6&gt;=$G164),1,"")</x:f>
      </x:c>
      <x:c r="AD164" s="167" t="str">
        <x:f>IF(AND(AD$6&lt;=$H164,AD$6+6&gt;=$G164),1,"")</x:f>
      </x:c>
      <x:c r="AE164" s="167" t="str">
        <x:f>IF(AND(AE$6&lt;=$H164,AE$6+6&gt;=$G164),1,"")</x:f>
      </x:c>
      <x:c r="AF164" s="167" t="str">
        <x:f>IF(AND(AF$6&lt;=$H164,AF$6+6&gt;=$G164),1,"")</x:f>
      </x:c>
      <x:c r="AG164" s="167" t="str">
        <x:f>IF(AND(AG$6&lt;=$H164,AG$6+6&gt;=$G164),1,"")</x:f>
      </x:c>
      <x:c r="AH164" s="167" t="str">
        <x:f>IF(AND(AH$6&lt;=$H164,AH$6+6&gt;=$G164),1,"")</x:f>
      </x:c>
      <x:c r="AI164" s="167" t="str">
        <x:f>IF(AND(AI$6&lt;=$H164,AI$6+6&gt;=$G164),1,"")</x:f>
      </x:c>
      <x:c r="AJ164" s="167" t="str">
        <x:f>IF(AND(AJ$6&lt;=$H164,AJ$6+6&gt;=$G164),1,"")</x:f>
      </x:c>
      <x:c r="AK164" s="167" t="str">
        <x:f>IF(AND(AK$6&lt;=$H164,AK$6+6&gt;=$G164),1,"")</x:f>
      </x:c>
      <x:c r="AL164" s="167" t="str">
        <x:f>IF(AND(AL$6&lt;=$H164,AL$6+6&gt;=$G164),1,"")</x:f>
      </x:c>
      <x:c r="AM164" s="167" t="str">
        <x:f>IF(AND(AM$6&lt;=$H164,AM$6+6&gt;=$G164),1,"")</x:f>
      </x:c>
      <x:c r="AN164" s="167" t="str">
        <x:f>IF(AND(AN$6&lt;=$H164,AN$6+6&gt;=$G164),1,"")</x:f>
      </x:c>
      <x:c r="AO164" s="167" t="str">
        <x:f>IF(AND(AO$6&lt;=$H164,AO$6+6&gt;=$G164),1,"")</x:f>
      </x:c>
      <x:c r="AP164" s="167" t="str">
        <x:f>IF(AND(AP$6&lt;=$H164,AP$6+6&gt;=$G164),1,"")</x:f>
      </x:c>
      <x:c r="AQ164" s="167" t="str">
        <x:f>IF(AND(AQ$6&lt;=$H164,AQ$6+6&gt;=$G164),1,"")</x:f>
      </x:c>
      <x:c r="AR164" s="167" t="str">
        <x:f>IF(AND(AR$6&lt;=$H164,AR$6+6&gt;=$G164),1,"")</x:f>
      </x:c>
      <x:c r="AS164" s="167" t="str">
        <x:f>IF(AND(AS$6&lt;=$H164,AS$6+6&gt;=$G164),1,"")</x:f>
      </x:c>
      <x:c r="AT164" s="167" t="n">
        <x:f>IF(AND(AT$6&lt;=$H164,AT$6+6&gt;=$G164),1,"")</x:f>
        <x:v>1</x:v>
      </x:c>
      <x:c r="AU164" s="167" t="n">
        <x:f>IF(AND(AU$6&lt;=$H164,AU$6+6&gt;=$G164),1,"")</x:f>
        <x:v>1</x:v>
      </x:c>
      <x:c r="AV164" s="167" t="n">
        <x:f>IF(AND(AV$6&lt;=$H164,AV$6+6&gt;=$G164),1,"")</x:f>
        <x:v>1</x:v>
      </x:c>
      <x:c r="AW164" s="167" t="n">
        <x:f>IF(AND(AW$6&lt;=$H164,AW$6+6&gt;=$G164),1,"")</x:f>
        <x:v>1</x:v>
      </x:c>
      <x:c r="AX164" s="167" t="n">
        <x:f>IF(AND(AX$6&lt;=$H164,AX$6+6&gt;=$G164),1,"")</x:f>
        <x:v>1</x:v>
      </x:c>
      <x:c r="AY164" s="167" t="n">
        <x:f>IF(AND(AY$6&lt;=$H164,AY$6+6&gt;=$G164),1,"")</x:f>
        <x:v>1</x:v>
      </x:c>
      <x:c r="AZ164" s="167" t="n">
        <x:f>IF(AND(AZ$6&lt;=$H164,AZ$6+6&gt;=$G164),1,"")</x:f>
        <x:v>1</x:v>
      </x:c>
      <x:c r="BA164" s="167" t="n">
        <x:f>IF(AND(BA$6&lt;=$H164,BA$6+6&gt;=$G164),1,"")</x:f>
        <x:v>1</x:v>
      </x:c>
      <x:c r="BB164" s="167" t="str">
        <x:f>IF(AND(BB$6&lt;=$H164,BB$6+6&gt;=$G164),1,"")</x:f>
      </x:c>
      <x:c r="BC164" s="167" t="str">
        <x:f>IF(AND(BC$6&lt;=$H164,BC$6+6&gt;=$G164),1,"")</x:f>
      </x:c>
      <x:c r="BD164" s="167" t="str">
        <x:f>IF(AND(BD$6&lt;=$H164,BD$6+6&gt;=$G164),1,"")</x:f>
      </x:c>
      <x:c r="BE164" s="167" t="str">
        <x:f>IF(AND(BE$6&lt;=$H164,BE$6+6&gt;=$G164),1,"")</x:f>
      </x:c>
      <x:c r="BF164" s="167" t="str">
        <x:f>IF(AND(BF$6&lt;=$H164,BF$6+6&gt;=$G164),1,"")</x:f>
      </x:c>
      <x:c r="BG164" s="167" t="str">
        <x:f>IF(AND(BG$6&lt;=$H164,BG$6+6&gt;=$G164),1,"")</x:f>
      </x:c>
      <x:c r="BH164" s="167" t="str">
        <x:f>IF(AND(BH$6&lt;=$H164,BH$6+6&gt;=$G164),1,"")</x:f>
      </x:c>
      <x:c r="BI164" s="167" t="str">
        <x:f>IF(AND(BI$6&lt;=$H164,BI$6+6&gt;=$G164),1,"")</x:f>
      </x:c>
      <x:c r="BJ164" s="167" t="str">
        <x:f>IF(AND(BJ$6&lt;=$H164,BJ$6+6&gt;=$G164),1,"")</x:f>
      </x:c>
      <x:c r="BK164" s="167" t="str">
        <x:f>IF(AND(BK$6&lt;=$H164,BK$6+6&gt;=$G164),1,"")</x:f>
      </x:c>
      <x:c r="BL164" s="167" t="str">
        <x:f>IF(AND(BL$6&lt;=$H164,BL$6+6&gt;=$G164),1,"")</x:f>
      </x:c>
      <x:c r="BM164" s="167" t="str">
        <x:f>IF(AND(BM$6&lt;=$H164,BM$6+6&gt;=$G164),1,"")</x:f>
      </x:c>
      <x:c r="BN164" s="167" t="str">
        <x:f>IF(AND(BN$6&lt;=$H164,BN$6+6&gt;=$G164),1,"")</x:f>
      </x:c>
      <x:c r="BO164" s="168" t="str">
        <x:f>IF(AND(BO$6&lt;=$H164,BO$6+6&gt;=$G164),1,"")</x:f>
      </x:c>
    </x:row>
    <x:row r="165" ht="24" customHeight="1">
      <x:c r="A165" s="68" t="str">
        <x:f>'Task Register'!A163</x:f>
        <x:v>R4-PKG</x:v>
      </x:c>
      <x:c r="B165" s="68" t="str">
        <x:f>'Task Register'!B163</x:f>
        <x:v>R4</x:v>
      </x:c>
      <x:c r="C165" s="68" t="str">
        <x:f>'Task Register'!C163</x:f>
        <x:v>Transfer/Undecomposed</x:v>
      </x:c>
      <x:c r="D165" s="68" t="str">
        <x:f>'Task Register'!D163</x:f>
        <x:v>Hardware research runs phase envelope</x:v>
      </x:c>
      <x:c r="E165" s="68" t="str">
        <x:f>'Task Register'!E163</x:f>
        <x:v>M7-B</x:v>
      </x:c>
      <x:c r="F165" s="68" t="str">
        <x:f>'Task Register'!F163</x:f>
        <x:v>Backlog</x:v>
      </x:c>
      <x:c r="G165" s="94" t="n">
        <x:f>'Task Register'!I163</x:f>
        <x:v>46580</x:v>
      </x:c>
      <x:c r="H165" s="94" t="n">
        <x:f>'Task Register'!J163</x:f>
        <x:v>46649</x:v>
      </x:c>
      <x:c r="I165" s="169" t="str">
        <x:f>IF(AND(I$6&lt;=$H165,I$6+6&gt;=$G165),1,"")</x:f>
      </x:c>
      <x:c r="J165" s="170" t="str">
        <x:f>IF(AND(J$6&lt;=$H165,J$6+6&gt;=$G165),1,"")</x:f>
      </x:c>
      <x:c r="K165" s="170" t="str">
        <x:f>IF(AND(K$6&lt;=$H165,K$6+6&gt;=$G165),1,"")</x:f>
      </x:c>
      <x:c r="L165" s="170" t="str">
        <x:f>IF(AND(L$6&lt;=$H165,L$6+6&gt;=$G165),1,"")</x:f>
      </x:c>
      <x:c r="M165" s="170" t="str">
        <x:f>IF(AND(M$6&lt;=$H165,M$6+6&gt;=$G165),1,"")</x:f>
      </x:c>
      <x:c r="N165" s="170" t="str">
        <x:f>IF(AND(N$6&lt;=$H165,N$6+6&gt;=$G165),1,"")</x:f>
      </x:c>
      <x:c r="O165" s="170" t="str">
        <x:f>IF(AND(O$6&lt;=$H165,O$6+6&gt;=$G165),1,"")</x:f>
      </x:c>
      <x:c r="P165" s="170" t="str">
        <x:f>IF(AND(P$6&lt;=$H165,P$6+6&gt;=$G165),1,"")</x:f>
      </x:c>
      <x:c r="Q165" s="170" t="str">
        <x:f>IF(AND(Q$6&lt;=$H165,Q$6+6&gt;=$G165),1,"")</x:f>
      </x:c>
      <x:c r="R165" s="170" t="str">
        <x:f>IF(AND(R$6&lt;=$H165,R$6+6&gt;=$G165),1,"")</x:f>
      </x:c>
      <x:c r="S165" s="170" t="str">
        <x:f>IF(AND(S$6&lt;=$H165,S$6+6&gt;=$G165),1,"")</x:f>
      </x:c>
      <x:c r="T165" s="170" t="str">
        <x:f>IF(AND(T$6&lt;=$H165,T$6+6&gt;=$G165),1,"")</x:f>
      </x:c>
      <x:c r="U165" s="170" t="str">
        <x:f>IF(AND(U$6&lt;=$H165,U$6+6&gt;=$G165),1,"")</x:f>
      </x:c>
      <x:c r="V165" s="170" t="str">
        <x:f>IF(AND(V$6&lt;=$H165,V$6+6&gt;=$G165),1,"")</x:f>
      </x:c>
      <x:c r="W165" s="170" t="str">
        <x:f>IF(AND(W$6&lt;=$H165,W$6+6&gt;=$G165),1,"")</x:f>
      </x:c>
      <x:c r="X165" s="170" t="str">
        <x:f>IF(AND(X$6&lt;=$H165,X$6+6&gt;=$G165),1,"")</x:f>
      </x:c>
      <x:c r="Y165" s="170" t="str">
        <x:f>IF(AND(Y$6&lt;=$H165,Y$6+6&gt;=$G165),1,"")</x:f>
      </x:c>
      <x:c r="Z165" s="170" t="str">
        <x:f>IF(AND(Z$6&lt;=$H165,Z$6+6&gt;=$G165),1,"")</x:f>
      </x:c>
      <x:c r="AA165" s="170" t="str">
        <x:f>IF(AND(AA$6&lt;=$H165,AA$6+6&gt;=$G165),1,"")</x:f>
      </x:c>
      <x:c r="AB165" s="170" t="str">
        <x:f>IF(AND(AB$6&lt;=$H165,AB$6+6&gt;=$G165),1,"")</x:f>
      </x:c>
      <x:c r="AC165" s="170" t="str">
        <x:f>IF(AND(AC$6&lt;=$H165,AC$6+6&gt;=$G165),1,"")</x:f>
      </x:c>
      <x:c r="AD165" s="170" t="str">
        <x:f>IF(AND(AD$6&lt;=$H165,AD$6+6&gt;=$G165),1,"")</x:f>
      </x:c>
      <x:c r="AE165" s="170" t="str">
        <x:f>IF(AND(AE$6&lt;=$H165,AE$6+6&gt;=$G165),1,"")</x:f>
      </x:c>
      <x:c r="AF165" s="170" t="str">
        <x:f>IF(AND(AF$6&lt;=$H165,AF$6+6&gt;=$G165),1,"")</x:f>
      </x:c>
      <x:c r="AG165" s="170" t="str">
        <x:f>IF(AND(AG$6&lt;=$H165,AG$6+6&gt;=$G165),1,"")</x:f>
      </x:c>
      <x:c r="AH165" s="170" t="str">
        <x:f>IF(AND(AH$6&lt;=$H165,AH$6+6&gt;=$G165),1,"")</x:f>
      </x:c>
      <x:c r="AI165" s="170" t="str">
        <x:f>IF(AND(AI$6&lt;=$H165,AI$6+6&gt;=$G165),1,"")</x:f>
      </x:c>
      <x:c r="AJ165" s="170" t="str">
        <x:f>IF(AND(AJ$6&lt;=$H165,AJ$6+6&gt;=$G165),1,"")</x:f>
      </x:c>
      <x:c r="AK165" s="170" t="str">
        <x:f>IF(AND(AK$6&lt;=$H165,AK$6+6&gt;=$G165),1,"")</x:f>
      </x:c>
      <x:c r="AL165" s="170" t="str">
        <x:f>IF(AND(AL$6&lt;=$H165,AL$6+6&gt;=$G165),1,"")</x:f>
      </x:c>
      <x:c r="AM165" s="170" t="str">
        <x:f>IF(AND(AM$6&lt;=$H165,AM$6+6&gt;=$G165),1,"")</x:f>
      </x:c>
      <x:c r="AN165" s="170" t="str">
        <x:f>IF(AND(AN$6&lt;=$H165,AN$6+6&gt;=$G165),1,"")</x:f>
      </x:c>
      <x:c r="AO165" s="170" t="str">
        <x:f>IF(AND(AO$6&lt;=$H165,AO$6+6&gt;=$G165),1,"")</x:f>
      </x:c>
      <x:c r="AP165" s="170" t="str">
        <x:f>IF(AND(AP$6&lt;=$H165,AP$6+6&gt;=$G165),1,"")</x:f>
      </x:c>
      <x:c r="AQ165" s="170" t="str">
        <x:f>IF(AND(AQ$6&lt;=$H165,AQ$6+6&gt;=$G165),1,"")</x:f>
      </x:c>
      <x:c r="AR165" s="170" t="str">
        <x:f>IF(AND(AR$6&lt;=$H165,AR$6+6&gt;=$G165),1,"")</x:f>
      </x:c>
      <x:c r="AS165" s="170" t="str">
        <x:f>IF(AND(AS$6&lt;=$H165,AS$6+6&gt;=$G165),1,"")</x:f>
      </x:c>
      <x:c r="AT165" s="170" t="str">
        <x:f>IF(AND(AT$6&lt;=$H165,AT$6+6&gt;=$G165),1,"")</x:f>
      </x:c>
      <x:c r="AU165" s="170" t="str">
        <x:f>IF(AND(AU$6&lt;=$H165,AU$6+6&gt;=$G165),1,"")</x:f>
      </x:c>
      <x:c r="AV165" s="170" t="str">
        <x:f>IF(AND(AV$6&lt;=$H165,AV$6+6&gt;=$G165),1,"")</x:f>
      </x:c>
      <x:c r="AW165" s="170" t="str">
        <x:f>IF(AND(AW$6&lt;=$H165,AW$6+6&gt;=$G165),1,"")</x:f>
      </x:c>
      <x:c r="AX165" s="170" t="str">
        <x:f>IF(AND(AX$6&lt;=$H165,AX$6+6&gt;=$G165),1,"")</x:f>
      </x:c>
      <x:c r="AY165" s="170" t="str">
        <x:f>IF(AND(AY$6&lt;=$H165,AY$6+6&gt;=$G165),1,"")</x:f>
      </x:c>
      <x:c r="AZ165" s="170" t="str">
        <x:f>IF(AND(AZ$6&lt;=$H165,AZ$6+6&gt;=$G165),1,"")</x:f>
      </x:c>
      <x:c r="BA165" s="170" t="str">
        <x:f>IF(AND(BA$6&lt;=$H165,BA$6+6&gt;=$G165),1,"")</x:f>
      </x:c>
      <x:c r="BB165" s="170" t="str">
        <x:f>IF(AND(BB$6&lt;=$H165,BB$6+6&gt;=$G165),1,"")</x:f>
      </x:c>
      <x:c r="BC165" s="170" t="str">
        <x:f>IF(AND(BC$6&lt;=$H165,BC$6+6&gt;=$G165),1,"")</x:f>
      </x:c>
      <x:c r="BD165" s="170" t="str">
        <x:f>IF(AND(BD$6&lt;=$H165,BD$6+6&gt;=$G165),1,"")</x:f>
      </x:c>
      <x:c r="BE165" s="170" t="str">
        <x:f>IF(AND(BE$6&lt;=$H165,BE$6+6&gt;=$G165),1,"")</x:f>
      </x:c>
      <x:c r="BF165" s="170" t="n">
        <x:f>IF(AND(BF$6&lt;=$H165,BF$6+6&gt;=$G165),1,"")</x:f>
        <x:v>1</x:v>
      </x:c>
      <x:c r="BG165" s="170" t="n">
        <x:f>IF(AND(BG$6&lt;=$H165,BG$6+6&gt;=$G165),1,"")</x:f>
        <x:v>1</x:v>
      </x:c>
      <x:c r="BH165" s="170" t="n">
        <x:f>IF(AND(BH$6&lt;=$H165,BH$6+6&gt;=$G165),1,"")</x:f>
        <x:v>1</x:v>
      </x:c>
      <x:c r="BI165" s="170" t="n">
        <x:f>IF(AND(BI$6&lt;=$H165,BI$6+6&gt;=$G165),1,"")</x:f>
        <x:v>1</x:v>
      </x:c>
      <x:c r="BJ165" s="170" t="n">
        <x:f>IF(AND(BJ$6&lt;=$H165,BJ$6+6&gt;=$G165),1,"")</x:f>
        <x:v>1</x:v>
      </x:c>
      <x:c r="BK165" s="170" t="n">
        <x:f>IF(AND(BK$6&lt;=$H165,BK$6+6&gt;=$G165),1,"")</x:f>
        <x:v>1</x:v>
      </x:c>
      <x:c r="BL165" s="170" t="n">
        <x:f>IF(AND(BL$6&lt;=$H165,BL$6+6&gt;=$G165),1,"")</x:f>
        <x:v>1</x:v>
      </x:c>
      <x:c r="BM165" s="170" t="n">
        <x:f>IF(AND(BM$6&lt;=$H165,BM$6+6&gt;=$G165),1,"")</x:f>
        <x:v>1</x:v>
      </x:c>
      <x:c r="BN165" s="170" t="n">
        <x:f>IF(AND(BN$6&lt;=$H165,BN$6+6&gt;=$G165),1,"")</x:f>
        <x:v>1</x:v>
      </x:c>
      <x:c r="BO165" s="171" t="n">
        <x:f>IF(AND(BO$6&lt;=$H165,BO$6+6&gt;=$G165),1,"")</x:f>
        <x:v>1</x:v>
      </x:c>
    </x:row>
  </x:sheetData>
  <x:mergeCells>
    <x:mergeCell ref="A1:BO1"/>
    <x:mergeCell ref="A2:BO2"/>
    <x:mergeCell ref="A4:A6"/>
    <x:mergeCell ref="B4:B6"/>
    <x:mergeCell ref="C4:C6"/>
    <x:mergeCell ref="D4:D6"/>
    <x:mergeCell ref="E4:E6"/>
    <x:mergeCell ref="F4:F6"/>
    <x:mergeCell ref="G4:G6"/>
    <x:mergeCell ref="H4:H6"/>
    <x:mergeCell ref="I4:M4"/>
    <x:mergeCell ref="N4:Q4"/>
    <x:mergeCell ref="R4:U4"/>
    <x:mergeCell ref="V4:Z4"/>
    <x:mergeCell ref="AA4:AD4"/>
    <x:mergeCell ref="AE4:AH4"/>
    <x:mergeCell ref="AI4:AL4"/>
    <x:mergeCell ref="AM4:AQ4"/>
    <x:mergeCell ref="AR4:AU4"/>
    <x:mergeCell ref="AV4:AZ4"/>
    <x:mergeCell ref="BA4:BD4"/>
    <x:mergeCell ref="BE4:BH4"/>
    <x:mergeCell ref="BI4:BM4"/>
    <x:mergeCell ref="BN4:BO4"/>
    <x:mergeCell ref="I5:BO5"/>
  </x:mergeCells>
  <x:conditionalFormatting sqref="I7:BO7">
    <x:cfRule type="cellIs" dxfId="159" priority="1" operator="equal">
      <x:formula>1</x:formula>
    </x:cfRule>
  </x:conditionalFormatting>
  <x:conditionalFormatting sqref="I8:BO8">
    <x:cfRule type="cellIs" dxfId="160" priority="2" operator="equal">
      <x:formula>1</x:formula>
    </x:cfRule>
  </x:conditionalFormatting>
  <x:conditionalFormatting sqref="I9:BO9">
    <x:cfRule type="cellIs" dxfId="161" priority="3" operator="equal">
      <x:formula>1</x:formula>
    </x:cfRule>
  </x:conditionalFormatting>
  <x:conditionalFormatting sqref="I10:BO10">
    <x:cfRule type="cellIs" dxfId="162" priority="4" operator="equal">
      <x:formula>1</x:formula>
    </x:cfRule>
  </x:conditionalFormatting>
  <x:conditionalFormatting sqref="I11:BO11">
    <x:cfRule type="cellIs" dxfId="163" priority="5" operator="equal">
      <x:formula>1</x:formula>
    </x:cfRule>
  </x:conditionalFormatting>
  <x:conditionalFormatting sqref="I12:BO12">
    <x:cfRule type="cellIs" dxfId="164" priority="6" operator="equal">
      <x:formula>1</x:formula>
    </x:cfRule>
  </x:conditionalFormatting>
  <x:conditionalFormatting sqref="I13:BO13">
    <x:cfRule type="cellIs" dxfId="165" priority="7" operator="equal">
      <x:formula>1</x:formula>
    </x:cfRule>
  </x:conditionalFormatting>
  <x:conditionalFormatting sqref="I14:BO14">
    <x:cfRule type="cellIs" dxfId="166" priority="8" operator="equal">
      <x:formula>1</x:formula>
    </x:cfRule>
  </x:conditionalFormatting>
  <x:conditionalFormatting sqref="I15:BO15">
    <x:cfRule type="cellIs" dxfId="167" priority="9" operator="equal">
      <x:formula>1</x:formula>
    </x:cfRule>
  </x:conditionalFormatting>
  <x:conditionalFormatting sqref="I16:BO16">
    <x:cfRule type="cellIs" dxfId="168" priority="10" operator="equal">
      <x:formula>1</x:formula>
    </x:cfRule>
  </x:conditionalFormatting>
  <x:conditionalFormatting sqref="I17:BO17">
    <x:cfRule type="cellIs" dxfId="169" priority="11" operator="equal">
      <x:formula>1</x:formula>
    </x:cfRule>
  </x:conditionalFormatting>
  <x:conditionalFormatting sqref="I18:BO18">
    <x:cfRule type="cellIs" dxfId="170" priority="12" operator="equal">
      <x:formula>1</x:formula>
    </x:cfRule>
  </x:conditionalFormatting>
  <x:conditionalFormatting sqref="I19:BO19">
    <x:cfRule type="cellIs" dxfId="171" priority="13" operator="equal">
      <x:formula>1</x:formula>
    </x:cfRule>
  </x:conditionalFormatting>
  <x:conditionalFormatting sqref="I20:BO20">
    <x:cfRule type="cellIs" dxfId="172" priority="14" operator="equal">
      <x:formula>1</x:formula>
    </x:cfRule>
  </x:conditionalFormatting>
  <x:conditionalFormatting sqref="I21:BO21">
    <x:cfRule type="cellIs" dxfId="173" priority="15" operator="equal">
      <x:formula>1</x:formula>
    </x:cfRule>
  </x:conditionalFormatting>
  <x:conditionalFormatting sqref="I22:BO22">
    <x:cfRule type="cellIs" dxfId="174" priority="16" operator="equal">
      <x:formula>1</x:formula>
    </x:cfRule>
  </x:conditionalFormatting>
  <x:conditionalFormatting sqref="I23:BO23">
    <x:cfRule type="cellIs" dxfId="175" priority="17" operator="equal">
      <x:formula>1</x:formula>
    </x:cfRule>
  </x:conditionalFormatting>
  <x:conditionalFormatting sqref="I24:BO24">
    <x:cfRule type="cellIs" dxfId="176" priority="18" operator="equal">
      <x:formula>1</x:formula>
    </x:cfRule>
  </x:conditionalFormatting>
  <x:conditionalFormatting sqref="I25:BO25">
    <x:cfRule type="cellIs" dxfId="177" priority="19" operator="equal">
      <x:formula>1</x:formula>
    </x:cfRule>
  </x:conditionalFormatting>
  <x:conditionalFormatting sqref="I26:BO26">
    <x:cfRule type="cellIs" dxfId="178" priority="20" operator="equal">
      <x:formula>1</x:formula>
    </x:cfRule>
  </x:conditionalFormatting>
  <x:conditionalFormatting sqref="I27:BO27">
    <x:cfRule type="cellIs" dxfId="179" priority="21" operator="equal">
      <x:formula>1</x:formula>
    </x:cfRule>
  </x:conditionalFormatting>
  <x:conditionalFormatting sqref="I28:BO28">
    <x:cfRule type="cellIs" dxfId="180" priority="22" operator="equal">
      <x:formula>1</x:formula>
    </x:cfRule>
  </x:conditionalFormatting>
  <x:conditionalFormatting sqref="I29:BO29">
    <x:cfRule type="cellIs" dxfId="181" priority="23" operator="equal">
      <x:formula>1</x:formula>
    </x:cfRule>
  </x:conditionalFormatting>
  <x:conditionalFormatting sqref="I30:BO30">
    <x:cfRule type="cellIs" dxfId="182" priority="24" operator="equal">
      <x:formula>1</x:formula>
    </x:cfRule>
  </x:conditionalFormatting>
  <x:conditionalFormatting sqref="I31:BO31">
    <x:cfRule type="cellIs" dxfId="183" priority="25" operator="equal">
      <x:formula>1</x:formula>
    </x:cfRule>
  </x:conditionalFormatting>
  <x:conditionalFormatting sqref="I32:BO32">
    <x:cfRule type="cellIs" dxfId="184" priority="26" operator="equal">
      <x:formula>1</x:formula>
    </x:cfRule>
  </x:conditionalFormatting>
  <x:conditionalFormatting sqref="I33:BO33">
    <x:cfRule type="cellIs" dxfId="185" priority="27" operator="equal">
      <x:formula>1</x:formula>
    </x:cfRule>
  </x:conditionalFormatting>
  <x:conditionalFormatting sqref="I34:BO34">
    <x:cfRule type="cellIs" dxfId="186" priority="28" operator="equal">
      <x:formula>1</x:formula>
    </x:cfRule>
  </x:conditionalFormatting>
  <x:conditionalFormatting sqref="I35:BO35">
    <x:cfRule type="cellIs" dxfId="187" priority="29" operator="equal">
      <x:formula>1</x:formula>
    </x:cfRule>
  </x:conditionalFormatting>
  <x:conditionalFormatting sqref="I36:BO36">
    <x:cfRule type="cellIs" dxfId="188" priority="30" operator="equal">
      <x:formula>1</x:formula>
    </x:cfRule>
  </x:conditionalFormatting>
  <x:conditionalFormatting sqref="I37:BO37">
    <x:cfRule type="cellIs" dxfId="189" priority="31" operator="equal">
      <x:formula>1</x:formula>
    </x:cfRule>
  </x:conditionalFormatting>
  <x:conditionalFormatting sqref="I38:BO38">
    <x:cfRule type="cellIs" dxfId="190" priority="32" operator="equal">
      <x:formula>1</x:formula>
    </x:cfRule>
  </x:conditionalFormatting>
  <x:conditionalFormatting sqref="I39:BO39">
    <x:cfRule type="cellIs" dxfId="191" priority="33" operator="equal">
      <x:formula>1</x:formula>
    </x:cfRule>
  </x:conditionalFormatting>
  <x:conditionalFormatting sqref="I40:BO40">
    <x:cfRule type="cellIs" dxfId="192" priority="34" operator="equal">
      <x:formula>1</x:formula>
    </x:cfRule>
  </x:conditionalFormatting>
  <x:conditionalFormatting sqref="I41:BO41">
    <x:cfRule type="cellIs" dxfId="193" priority="35" operator="equal">
      <x:formula>1</x:formula>
    </x:cfRule>
  </x:conditionalFormatting>
  <x:conditionalFormatting sqref="I42:BO42">
    <x:cfRule type="cellIs" dxfId="194" priority="36" operator="equal">
      <x:formula>1</x:formula>
    </x:cfRule>
  </x:conditionalFormatting>
  <x:conditionalFormatting sqref="I43:BO43">
    <x:cfRule type="cellIs" dxfId="195" priority="37" operator="equal">
      <x:formula>1</x:formula>
    </x:cfRule>
  </x:conditionalFormatting>
  <x:conditionalFormatting sqref="I44:BO44">
    <x:cfRule type="cellIs" dxfId="196" priority="38" operator="equal">
      <x:formula>1</x:formula>
    </x:cfRule>
  </x:conditionalFormatting>
  <x:conditionalFormatting sqref="I45:BO45">
    <x:cfRule type="cellIs" dxfId="197" priority="39" operator="equal">
      <x:formula>1</x:formula>
    </x:cfRule>
  </x:conditionalFormatting>
  <x:conditionalFormatting sqref="I46:BO46">
    <x:cfRule type="cellIs" dxfId="198" priority="40" operator="equal">
      <x:formula>1</x:formula>
    </x:cfRule>
  </x:conditionalFormatting>
  <x:conditionalFormatting sqref="I47:BO47">
    <x:cfRule type="cellIs" dxfId="199" priority="41" operator="equal">
      <x:formula>1</x:formula>
    </x:cfRule>
  </x:conditionalFormatting>
  <x:conditionalFormatting sqref="I48:BO48">
    <x:cfRule type="cellIs" dxfId="200" priority="42" operator="equal">
      <x:formula>1</x:formula>
    </x:cfRule>
  </x:conditionalFormatting>
  <x:conditionalFormatting sqref="I49:BO49">
    <x:cfRule type="cellIs" dxfId="201" priority="43" operator="equal">
      <x:formula>1</x:formula>
    </x:cfRule>
  </x:conditionalFormatting>
  <x:conditionalFormatting sqref="I50:BO50">
    <x:cfRule type="cellIs" dxfId="202" priority="44" operator="equal">
      <x:formula>1</x:formula>
    </x:cfRule>
  </x:conditionalFormatting>
  <x:conditionalFormatting sqref="I51:BO51">
    <x:cfRule type="cellIs" dxfId="203" priority="45" operator="equal">
      <x:formula>1</x:formula>
    </x:cfRule>
  </x:conditionalFormatting>
  <x:conditionalFormatting sqref="I52:BO52">
    <x:cfRule type="cellIs" dxfId="204" priority="46" operator="equal">
      <x:formula>1</x:formula>
    </x:cfRule>
  </x:conditionalFormatting>
  <x:conditionalFormatting sqref="I53:BO53">
    <x:cfRule type="cellIs" dxfId="205" priority="47" operator="equal">
      <x:formula>1</x:formula>
    </x:cfRule>
  </x:conditionalFormatting>
  <x:conditionalFormatting sqref="I54:BO54">
    <x:cfRule type="cellIs" dxfId="206" priority="48" operator="equal">
      <x:formula>1</x:formula>
    </x:cfRule>
  </x:conditionalFormatting>
  <x:conditionalFormatting sqref="I55:BO55">
    <x:cfRule type="cellIs" dxfId="207" priority="49" operator="equal">
      <x:formula>1</x:formula>
    </x:cfRule>
  </x:conditionalFormatting>
  <x:conditionalFormatting sqref="I56:BO56">
    <x:cfRule type="cellIs" dxfId="208" priority="50" operator="equal">
      <x:formula>1</x:formula>
    </x:cfRule>
  </x:conditionalFormatting>
  <x:conditionalFormatting sqref="I57:BO57">
    <x:cfRule type="cellIs" dxfId="209" priority="51" operator="equal">
      <x:formula>1</x:formula>
    </x:cfRule>
  </x:conditionalFormatting>
  <x:conditionalFormatting sqref="I58:BO58">
    <x:cfRule type="cellIs" dxfId="210" priority="52" operator="equal">
      <x:formula>1</x:formula>
    </x:cfRule>
  </x:conditionalFormatting>
  <x:conditionalFormatting sqref="I59:BO59">
    <x:cfRule type="cellIs" dxfId="211" priority="53" operator="equal">
      <x:formula>1</x:formula>
    </x:cfRule>
  </x:conditionalFormatting>
  <x:conditionalFormatting sqref="I60:BO60">
    <x:cfRule type="cellIs" dxfId="212" priority="54" operator="equal">
      <x:formula>1</x:formula>
    </x:cfRule>
  </x:conditionalFormatting>
  <x:conditionalFormatting sqref="I61:BO61">
    <x:cfRule type="cellIs" dxfId="213" priority="55" operator="equal">
      <x:formula>1</x:formula>
    </x:cfRule>
  </x:conditionalFormatting>
  <x:conditionalFormatting sqref="I62:BO62">
    <x:cfRule type="cellIs" dxfId="214" priority="56" operator="equal">
      <x:formula>1</x:formula>
    </x:cfRule>
  </x:conditionalFormatting>
  <x:conditionalFormatting sqref="I63:BO63">
    <x:cfRule type="cellIs" dxfId="215" priority="57" operator="equal">
      <x:formula>1</x:formula>
    </x:cfRule>
  </x:conditionalFormatting>
  <x:conditionalFormatting sqref="I64:BO64">
    <x:cfRule type="cellIs" dxfId="216" priority="58" operator="equal">
      <x:formula>1</x:formula>
    </x:cfRule>
  </x:conditionalFormatting>
  <x:conditionalFormatting sqref="I65:BO65">
    <x:cfRule type="cellIs" dxfId="217" priority="59" operator="equal">
      <x:formula>1</x:formula>
    </x:cfRule>
  </x:conditionalFormatting>
  <x:conditionalFormatting sqref="I66:BO66">
    <x:cfRule type="cellIs" dxfId="218" priority="60" operator="equal">
      <x:formula>1</x:formula>
    </x:cfRule>
  </x:conditionalFormatting>
  <x:conditionalFormatting sqref="I67:BO67">
    <x:cfRule type="cellIs" dxfId="219" priority="61" operator="equal">
      <x:formula>1</x:formula>
    </x:cfRule>
  </x:conditionalFormatting>
  <x:conditionalFormatting sqref="I68:BO68">
    <x:cfRule type="cellIs" dxfId="220" priority="62" operator="equal">
      <x:formula>1</x:formula>
    </x:cfRule>
  </x:conditionalFormatting>
  <x:conditionalFormatting sqref="I69:BO69">
    <x:cfRule type="cellIs" dxfId="221" priority="63" operator="equal">
      <x:formula>1</x:formula>
    </x:cfRule>
  </x:conditionalFormatting>
  <x:conditionalFormatting sqref="I70:BO70">
    <x:cfRule type="cellIs" dxfId="222" priority="64" operator="equal">
      <x:formula>1</x:formula>
    </x:cfRule>
  </x:conditionalFormatting>
  <x:conditionalFormatting sqref="I71:BO71">
    <x:cfRule type="cellIs" dxfId="223" priority="65" operator="equal">
      <x:formula>1</x:formula>
    </x:cfRule>
  </x:conditionalFormatting>
  <x:conditionalFormatting sqref="I72:BO72">
    <x:cfRule type="cellIs" dxfId="224" priority="66" operator="equal">
      <x:formula>1</x:formula>
    </x:cfRule>
  </x:conditionalFormatting>
  <x:conditionalFormatting sqref="I73:BO73">
    <x:cfRule type="cellIs" dxfId="225" priority="67" operator="equal">
      <x:formula>1</x:formula>
    </x:cfRule>
  </x:conditionalFormatting>
  <x:conditionalFormatting sqref="I74:BO74">
    <x:cfRule type="cellIs" dxfId="226" priority="68" operator="equal">
      <x:formula>1</x:formula>
    </x:cfRule>
  </x:conditionalFormatting>
  <x:conditionalFormatting sqref="I75:BO75">
    <x:cfRule type="cellIs" dxfId="227" priority="69" operator="equal">
      <x:formula>1</x:formula>
    </x:cfRule>
  </x:conditionalFormatting>
  <x:conditionalFormatting sqref="I76:BO76">
    <x:cfRule type="cellIs" dxfId="228" priority="70" operator="equal">
      <x:formula>1</x:formula>
    </x:cfRule>
  </x:conditionalFormatting>
  <x:conditionalFormatting sqref="I77:BO77">
    <x:cfRule type="cellIs" dxfId="229" priority="71" operator="equal">
      <x:formula>1</x:formula>
    </x:cfRule>
  </x:conditionalFormatting>
  <x:conditionalFormatting sqref="I78:BO78">
    <x:cfRule type="cellIs" dxfId="230" priority="72" operator="equal">
      <x:formula>1</x:formula>
    </x:cfRule>
  </x:conditionalFormatting>
  <x:conditionalFormatting sqref="I79:BO79">
    <x:cfRule type="cellIs" dxfId="231" priority="73" operator="equal">
      <x:formula>1</x:formula>
    </x:cfRule>
  </x:conditionalFormatting>
  <x:conditionalFormatting sqref="I80:BO80">
    <x:cfRule type="cellIs" dxfId="232" priority="74" operator="equal">
      <x:formula>1</x:formula>
    </x:cfRule>
  </x:conditionalFormatting>
  <x:conditionalFormatting sqref="I81:BO81">
    <x:cfRule type="cellIs" dxfId="233" priority="75" operator="equal">
      <x:formula>1</x:formula>
    </x:cfRule>
  </x:conditionalFormatting>
  <x:conditionalFormatting sqref="I82:BO82">
    <x:cfRule type="cellIs" dxfId="234" priority="76" operator="equal">
      <x:formula>1</x:formula>
    </x:cfRule>
  </x:conditionalFormatting>
  <x:conditionalFormatting sqref="I83:BO83">
    <x:cfRule type="cellIs" dxfId="235" priority="77" operator="equal">
      <x:formula>1</x:formula>
    </x:cfRule>
  </x:conditionalFormatting>
  <x:conditionalFormatting sqref="I84:BO84">
    <x:cfRule type="cellIs" dxfId="236" priority="78" operator="equal">
      <x:formula>1</x:formula>
    </x:cfRule>
  </x:conditionalFormatting>
  <x:conditionalFormatting sqref="I85:BO85">
    <x:cfRule type="cellIs" dxfId="237" priority="79" operator="equal">
      <x:formula>1</x:formula>
    </x:cfRule>
  </x:conditionalFormatting>
  <x:conditionalFormatting sqref="I86:BO86">
    <x:cfRule type="cellIs" dxfId="238" priority="80" operator="equal">
      <x:formula>1</x:formula>
    </x:cfRule>
  </x:conditionalFormatting>
  <x:conditionalFormatting sqref="I87:BO87">
    <x:cfRule type="cellIs" dxfId="239" priority="81" operator="equal">
      <x:formula>1</x:formula>
    </x:cfRule>
  </x:conditionalFormatting>
  <x:conditionalFormatting sqref="I88:BO88">
    <x:cfRule type="cellIs" dxfId="240" priority="82" operator="equal">
      <x:formula>1</x:formula>
    </x:cfRule>
  </x:conditionalFormatting>
  <x:conditionalFormatting sqref="I89:BO89">
    <x:cfRule type="cellIs" dxfId="241" priority="83" operator="equal">
      <x:formula>1</x:formula>
    </x:cfRule>
  </x:conditionalFormatting>
  <x:conditionalFormatting sqref="I90:BO90">
    <x:cfRule type="cellIs" dxfId="242" priority="84" operator="equal">
      <x:formula>1</x:formula>
    </x:cfRule>
  </x:conditionalFormatting>
  <x:conditionalFormatting sqref="I91:BO91">
    <x:cfRule type="cellIs" dxfId="243" priority="85" operator="equal">
      <x:formula>1</x:formula>
    </x:cfRule>
  </x:conditionalFormatting>
  <x:conditionalFormatting sqref="I92:BO92">
    <x:cfRule type="cellIs" dxfId="244" priority="86" operator="equal">
      <x:formula>1</x:formula>
    </x:cfRule>
  </x:conditionalFormatting>
  <x:conditionalFormatting sqref="I93:BO93">
    <x:cfRule type="cellIs" dxfId="245" priority="87" operator="equal">
      <x:formula>1</x:formula>
    </x:cfRule>
  </x:conditionalFormatting>
  <x:conditionalFormatting sqref="I94:BO94">
    <x:cfRule type="cellIs" dxfId="246" priority="88" operator="equal">
      <x:formula>1</x:formula>
    </x:cfRule>
  </x:conditionalFormatting>
  <x:conditionalFormatting sqref="I95:BO95">
    <x:cfRule type="cellIs" dxfId="247" priority="89" operator="equal">
      <x:formula>1</x:formula>
    </x:cfRule>
  </x:conditionalFormatting>
  <x:conditionalFormatting sqref="I96:BO96">
    <x:cfRule type="cellIs" dxfId="248" priority="90" operator="equal">
      <x:formula>1</x:formula>
    </x:cfRule>
  </x:conditionalFormatting>
  <x:conditionalFormatting sqref="I97:BO97">
    <x:cfRule type="cellIs" dxfId="249" priority="91" operator="equal">
      <x:formula>1</x:formula>
    </x:cfRule>
  </x:conditionalFormatting>
  <x:conditionalFormatting sqref="I98:BO98">
    <x:cfRule type="cellIs" dxfId="250" priority="92" operator="equal">
      <x:formula>1</x:formula>
    </x:cfRule>
  </x:conditionalFormatting>
  <x:conditionalFormatting sqref="I99:BO99">
    <x:cfRule type="cellIs" dxfId="251" priority="93" operator="equal">
      <x:formula>1</x:formula>
    </x:cfRule>
  </x:conditionalFormatting>
  <x:conditionalFormatting sqref="I100:BO100">
    <x:cfRule type="cellIs" dxfId="252" priority="94" operator="equal">
      <x:formula>1</x:formula>
    </x:cfRule>
  </x:conditionalFormatting>
  <x:conditionalFormatting sqref="I101:BO101">
    <x:cfRule type="cellIs" dxfId="253" priority="95" operator="equal">
      <x:formula>1</x:formula>
    </x:cfRule>
  </x:conditionalFormatting>
  <x:conditionalFormatting sqref="I102:BO102">
    <x:cfRule type="cellIs" dxfId="254" priority="96" operator="equal">
      <x:formula>1</x:formula>
    </x:cfRule>
  </x:conditionalFormatting>
  <x:conditionalFormatting sqref="I103:BO103">
    <x:cfRule type="cellIs" dxfId="255" priority="97" operator="equal">
      <x:formula>1</x:formula>
    </x:cfRule>
  </x:conditionalFormatting>
  <x:conditionalFormatting sqref="I104:BO104">
    <x:cfRule type="cellIs" dxfId="256" priority="98" operator="equal">
      <x:formula>1</x:formula>
    </x:cfRule>
  </x:conditionalFormatting>
  <x:conditionalFormatting sqref="I105:BO105">
    <x:cfRule type="cellIs" dxfId="257" priority="99" operator="equal">
      <x:formula>1</x:formula>
    </x:cfRule>
  </x:conditionalFormatting>
  <x:conditionalFormatting sqref="I106:BO106">
    <x:cfRule type="cellIs" dxfId="258" priority="100" operator="equal">
      <x:formula>1</x:formula>
    </x:cfRule>
  </x:conditionalFormatting>
  <x:conditionalFormatting sqref="I107:BO107">
    <x:cfRule type="cellIs" dxfId="259" priority="101" operator="equal">
      <x:formula>1</x:formula>
    </x:cfRule>
  </x:conditionalFormatting>
  <x:conditionalFormatting sqref="I108:BO108">
    <x:cfRule type="cellIs" dxfId="260" priority="102" operator="equal">
      <x:formula>1</x:formula>
    </x:cfRule>
  </x:conditionalFormatting>
  <x:conditionalFormatting sqref="I109:BO109">
    <x:cfRule type="cellIs" dxfId="261" priority="103" operator="equal">
      <x:formula>1</x:formula>
    </x:cfRule>
  </x:conditionalFormatting>
  <x:conditionalFormatting sqref="I110:BO110">
    <x:cfRule type="cellIs" dxfId="262" priority="104" operator="equal">
      <x:formula>1</x:formula>
    </x:cfRule>
  </x:conditionalFormatting>
  <x:conditionalFormatting sqref="I111:BO111">
    <x:cfRule type="cellIs" dxfId="263" priority="105" operator="equal">
      <x:formula>1</x:formula>
    </x:cfRule>
  </x:conditionalFormatting>
  <x:conditionalFormatting sqref="I112:BO112">
    <x:cfRule type="cellIs" dxfId="264" priority="106" operator="equal">
      <x:formula>1</x:formula>
    </x:cfRule>
  </x:conditionalFormatting>
  <x:conditionalFormatting sqref="I113:BO113">
    <x:cfRule type="cellIs" dxfId="265" priority="107" operator="equal">
      <x:formula>1</x:formula>
    </x:cfRule>
  </x:conditionalFormatting>
  <x:conditionalFormatting sqref="I114:BO114">
    <x:cfRule type="cellIs" dxfId="266" priority="108" operator="equal">
      <x:formula>1</x:formula>
    </x:cfRule>
  </x:conditionalFormatting>
  <x:conditionalFormatting sqref="I115:BO115">
    <x:cfRule type="cellIs" dxfId="267" priority="109" operator="equal">
      <x:formula>1</x:formula>
    </x:cfRule>
  </x:conditionalFormatting>
  <x:conditionalFormatting sqref="I116:BO116">
    <x:cfRule type="cellIs" dxfId="268" priority="110" operator="equal">
      <x:formula>1</x:formula>
    </x:cfRule>
  </x:conditionalFormatting>
  <x:conditionalFormatting sqref="I117:BO117">
    <x:cfRule type="cellIs" dxfId="269" priority="111" operator="equal">
      <x:formula>1</x:formula>
    </x:cfRule>
  </x:conditionalFormatting>
  <x:conditionalFormatting sqref="I118:BO118">
    <x:cfRule type="cellIs" dxfId="270" priority="112" operator="equal">
      <x:formula>1</x:formula>
    </x:cfRule>
  </x:conditionalFormatting>
  <x:conditionalFormatting sqref="I119:BO119">
    <x:cfRule type="cellIs" dxfId="271" priority="113" operator="equal">
      <x:formula>1</x:formula>
    </x:cfRule>
  </x:conditionalFormatting>
  <x:conditionalFormatting sqref="I120:BO120">
    <x:cfRule type="cellIs" dxfId="272" priority="114" operator="equal">
      <x:formula>1</x:formula>
    </x:cfRule>
  </x:conditionalFormatting>
  <x:conditionalFormatting sqref="I121:BO121">
    <x:cfRule type="cellIs" dxfId="273" priority="115" operator="equal">
      <x:formula>1</x:formula>
    </x:cfRule>
  </x:conditionalFormatting>
  <x:conditionalFormatting sqref="I122:BO122">
    <x:cfRule type="cellIs" dxfId="274" priority="116" operator="equal">
      <x:formula>1</x:formula>
    </x:cfRule>
  </x:conditionalFormatting>
  <x:conditionalFormatting sqref="I123:BO123">
    <x:cfRule type="cellIs" dxfId="275" priority="117" operator="equal">
      <x:formula>1</x:formula>
    </x:cfRule>
  </x:conditionalFormatting>
  <x:conditionalFormatting sqref="I124:BO124">
    <x:cfRule type="cellIs" dxfId="276" priority="118" operator="equal">
      <x:formula>1</x:formula>
    </x:cfRule>
  </x:conditionalFormatting>
  <x:conditionalFormatting sqref="I125:BO125">
    <x:cfRule type="cellIs" dxfId="277" priority="119" operator="equal">
      <x:formula>1</x:formula>
    </x:cfRule>
  </x:conditionalFormatting>
  <x:conditionalFormatting sqref="I126:BO126">
    <x:cfRule type="cellIs" dxfId="278" priority="120" operator="equal">
      <x:formula>1</x:formula>
    </x:cfRule>
  </x:conditionalFormatting>
  <x:conditionalFormatting sqref="I127:BO127">
    <x:cfRule type="cellIs" dxfId="279" priority="121" operator="equal">
      <x:formula>1</x:formula>
    </x:cfRule>
  </x:conditionalFormatting>
  <x:conditionalFormatting sqref="I128:BO128">
    <x:cfRule type="cellIs" dxfId="280" priority="122" operator="equal">
      <x:formula>1</x:formula>
    </x:cfRule>
  </x:conditionalFormatting>
  <x:conditionalFormatting sqref="I129:BO129">
    <x:cfRule type="cellIs" dxfId="281" priority="123" operator="equal">
      <x:formula>1</x:formula>
    </x:cfRule>
  </x:conditionalFormatting>
  <x:conditionalFormatting sqref="I130:BO130">
    <x:cfRule type="cellIs" dxfId="282" priority="124" operator="equal">
      <x:formula>1</x:formula>
    </x:cfRule>
  </x:conditionalFormatting>
  <x:conditionalFormatting sqref="I131:BO131">
    <x:cfRule type="cellIs" dxfId="283" priority="125" operator="equal">
      <x:formula>1</x:formula>
    </x:cfRule>
  </x:conditionalFormatting>
  <x:conditionalFormatting sqref="I132:BO132">
    <x:cfRule type="cellIs" dxfId="284" priority="126" operator="equal">
      <x:formula>1</x:formula>
    </x:cfRule>
  </x:conditionalFormatting>
  <x:conditionalFormatting sqref="I133:BO133">
    <x:cfRule type="cellIs" dxfId="285" priority="127" operator="equal">
      <x:formula>1</x:formula>
    </x:cfRule>
  </x:conditionalFormatting>
  <x:conditionalFormatting sqref="I134:BO134">
    <x:cfRule type="cellIs" dxfId="286" priority="128" operator="equal">
      <x:formula>1</x:formula>
    </x:cfRule>
  </x:conditionalFormatting>
  <x:conditionalFormatting sqref="I135:BO135">
    <x:cfRule type="cellIs" dxfId="287" priority="129" operator="equal">
      <x:formula>1</x:formula>
    </x:cfRule>
  </x:conditionalFormatting>
  <x:conditionalFormatting sqref="I136:BO136">
    <x:cfRule type="cellIs" dxfId="288" priority="130" operator="equal">
      <x:formula>1</x:formula>
    </x:cfRule>
  </x:conditionalFormatting>
  <x:conditionalFormatting sqref="I137:BO137">
    <x:cfRule type="cellIs" dxfId="289" priority="131" operator="equal">
      <x:formula>1</x:formula>
    </x:cfRule>
  </x:conditionalFormatting>
  <x:conditionalFormatting sqref="I138:BO138">
    <x:cfRule type="cellIs" dxfId="290" priority="132" operator="equal">
      <x:formula>1</x:formula>
    </x:cfRule>
  </x:conditionalFormatting>
  <x:conditionalFormatting sqref="I139:BO139">
    <x:cfRule type="cellIs" dxfId="291" priority="133" operator="equal">
      <x:formula>1</x:formula>
    </x:cfRule>
  </x:conditionalFormatting>
  <x:conditionalFormatting sqref="I140:BO140">
    <x:cfRule type="cellIs" dxfId="292" priority="134" operator="equal">
      <x:formula>1</x:formula>
    </x:cfRule>
  </x:conditionalFormatting>
  <x:conditionalFormatting sqref="I141:BO141">
    <x:cfRule type="cellIs" dxfId="293" priority="135" operator="equal">
      <x:formula>1</x:formula>
    </x:cfRule>
  </x:conditionalFormatting>
  <x:conditionalFormatting sqref="I142:BO142">
    <x:cfRule type="cellIs" dxfId="294" priority="136" operator="equal">
      <x:formula>1</x:formula>
    </x:cfRule>
  </x:conditionalFormatting>
  <x:conditionalFormatting sqref="I143:BO143">
    <x:cfRule type="cellIs" dxfId="295" priority="137" operator="equal">
      <x:formula>1</x:formula>
    </x:cfRule>
  </x:conditionalFormatting>
  <x:conditionalFormatting sqref="I144:BO144">
    <x:cfRule type="cellIs" dxfId="296" priority="138" operator="equal">
      <x:formula>1</x:formula>
    </x:cfRule>
  </x:conditionalFormatting>
  <x:conditionalFormatting sqref="I145:BO145">
    <x:cfRule type="cellIs" dxfId="297" priority="139" operator="equal">
      <x:formula>1</x:formula>
    </x:cfRule>
  </x:conditionalFormatting>
  <x:conditionalFormatting sqref="I146:BO146">
    <x:cfRule type="cellIs" dxfId="298" priority="140" operator="equal">
      <x:formula>1</x:formula>
    </x:cfRule>
  </x:conditionalFormatting>
  <x:conditionalFormatting sqref="I147:BO147">
    <x:cfRule type="cellIs" dxfId="299" priority="141" operator="equal">
      <x:formula>1</x:formula>
    </x:cfRule>
  </x:conditionalFormatting>
  <x:conditionalFormatting sqref="I148:BO148">
    <x:cfRule type="cellIs" dxfId="300" priority="142" operator="equal">
      <x:formula>1</x:formula>
    </x:cfRule>
  </x:conditionalFormatting>
  <x:conditionalFormatting sqref="I149:BO149">
    <x:cfRule type="cellIs" dxfId="301" priority="143" operator="equal">
      <x:formula>1</x:formula>
    </x:cfRule>
  </x:conditionalFormatting>
  <x:conditionalFormatting sqref="I150:BO150">
    <x:cfRule type="cellIs" dxfId="302" priority="144" operator="equal">
      <x:formula>1</x:formula>
    </x:cfRule>
  </x:conditionalFormatting>
  <x:conditionalFormatting sqref="I151:BO151">
    <x:cfRule type="cellIs" dxfId="303" priority="145" operator="equal">
      <x:formula>1</x:formula>
    </x:cfRule>
  </x:conditionalFormatting>
  <x:conditionalFormatting sqref="I152:BO152">
    <x:cfRule type="cellIs" dxfId="304" priority="146" operator="equal">
      <x:formula>1</x:formula>
    </x:cfRule>
  </x:conditionalFormatting>
  <x:conditionalFormatting sqref="I153:BO153">
    <x:cfRule type="cellIs" dxfId="305" priority="147" operator="equal">
      <x:formula>1</x:formula>
    </x:cfRule>
  </x:conditionalFormatting>
  <x:conditionalFormatting sqref="I154:BO154">
    <x:cfRule type="cellIs" dxfId="306" priority="148" operator="equal">
      <x:formula>1</x:formula>
    </x:cfRule>
  </x:conditionalFormatting>
  <x:conditionalFormatting sqref="I155:BO155">
    <x:cfRule type="cellIs" dxfId="307" priority="149" operator="equal">
      <x:formula>1</x:formula>
    </x:cfRule>
  </x:conditionalFormatting>
  <x:conditionalFormatting sqref="I156:BO156">
    <x:cfRule type="cellIs" dxfId="308" priority="150" operator="equal">
      <x:formula>1</x:formula>
    </x:cfRule>
  </x:conditionalFormatting>
  <x:conditionalFormatting sqref="I157:BO157">
    <x:cfRule type="cellIs" dxfId="309" priority="151" operator="equal">
      <x:formula>1</x:formula>
    </x:cfRule>
  </x:conditionalFormatting>
  <x:conditionalFormatting sqref="I158:BO158">
    <x:cfRule type="cellIs" dxfId="310" priority="152" operator="equal">
      <x:formula>1</x:formula>
    </x:cfRule>
  </x:conditionalFormatting>
  <x:conditionalFormatting sqref="I159:BO159">
    <x:cfRule type="cellIs" dxfId="311" priority="153" operator="equal">
      <x:formula>1</x:formula>
    </x:cfRule>
  </x:conditionalFormatting>
  <x:conditionalFormatting sqref="I160:BO160">
    <x:cfRule type="cellIs" dxfId="312" priority="154" operator="equal">
      <x:formula>1</x:formula>
    </x:cfRule>
  </x:conditionalFormatting>
  <x:conditionalFormatting sqref="I161:BO161">
    <x:cfRule type="cellIs" dxfId="313" priority="155" operator="equal">
      <x:formula>1</x:formula>
    </x:cfRule>
  </x:conditionalFormatting>
  <x:conditionalFormatting sqref="I162:BO162">
    <x:cfRule type="cellIs" dxfId="314" priority="156" operator="equal">
      <x:formula>1</x:formula>
    </x:cfRule>
  </x:conditionalFormatting>
  <x:conditionalFormatting sqref="I163:BO163">
    <x:cfRule type="cellIs" dxfId="315" priority="157" operator="equal">
      <x:formula>1</x:formula>
    </x:cfRule>
  </x:conditionalFormatting>
  <x:conditionalFormatting sqref="I164:BO164">
    <x:cfRule type="cellIs" dxfId="316" priority="158" operator="equal">
      <x:formula>1</x:formula>
    </x:cfRule>
  </x:conditionalFormatting>
  <x:conditionalFormatting sqref="I165:BO165">
    <x:cfRule type="cellIs" dxfId="317" priority="159" operator="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7" hidden="0" customWidth="1"/>
    <x:col min="4" max="4" width="48" hidden="0" customWidth="1"/>
    <x:col min="5" max="5" width="27" hidden="0" customWidth="1"/>
    <x:col min="6" max="6" width="12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58" hidden="0" customWidth="1"/>
  </x:cols>
  <x:sheetData>
    <x:row r="1" ht="30" customHeight="1">
      <x:c r="A1" s="3" t="str">
        <x:v>Complete Project Task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Formula-linked view of 156 documented tasks and 3 undecomposed transfer envelopes. Edit the program task sheets.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F3"/>
    </x:row>
    <x:row r="4">
      <x:c r="A4" s="18" t="str">
        <x:v>ID</x:v>
      </x:c>
      <x:c r="B4" s="19" t="str">
        <x:v>Milestone</x:v>
      </x:c>
      <x:c r="C4" s="19" t="str">
        <x:v>Track</x:v>
      </x:c>
      <x:c r="D4" s="19" t="str">
        <x:v>Task</x:v>
      </x:c>
      <x:c r="E4" s="19" t="str">
        <x:v>Dependencies</x:v>
      </x:c>
      <x:c r="F4" s="19" t="str">
        <x:v>Status</x:v>
      </x:c>
      <x:c r="G4" s="19" t="str">
        <x:v>Estimate</x:v>
      </x:c>
      <x:c r="H4" s="19" t="str">
        <x:v>Scheduled Workdays</x:v>
      </x:c>
      <x:c r="I4" s="19" t="str">
        <x:v>Planned Start</x:v>
      </x:c>
      <x:c r="J4" s="19" t="str">
        <x:v>Planned Finish</x:v>
      </x:c>
      <x:c r="K4" s="20" t="str">
        <x:v>Deliverable / Acceptance</x:v>
      </x:c>
    </x:row>
    <x:row r="5" ht="38" customHeight="1">
      <x:c r="A5" s="65" t="str">
        <x:f>'Research Tasks'!A5</x:f>
        <x:v>T-001</x:v>
      </x:c>
      <x:c r="B5" s="65" t="str">
        <x:f>'Research Tasks'!B5</x:f>
        <x:v>M0</x:v>
      </x:c>
      <x:c r="C5" s="65" t="str">
        <x:f>'Research Tasks'!C5</x:f>
        <x:v>Operations</x:v>
      </x:c>
      <x:c r="D5" s="65" t="str">
        <x:f>'Research Tasks'!D5</x:f>
        <x:v>Define tracker conventions</x:v>
      </x:c>
      <x:c r="E5" s="65" t="str">
        <x:f>'Research Tasks'!E5</x:f>
        <x:v>none</x:v>
      </x:c>
      <x:c r="F5" s="65" t="str">
        <x:v>Done</x:v>
      </x:c>
      <x:c r="G5" s="65" t="str">
        <x:f>'Research Tasks'!G5</x:f>
        <x:v>0.5 day</x:v>
      </x:c>
      <x:c r="H5" s="91" t="n">
        <x:f>'Research Tasks'!H5</x:f>
        <x:v>1</x:v>
      </x:c>
      <x:c r="I5" s="93" t="n">
        <x:f>'Research Tasks'!I5</x:f>
        <x:v>46237</x:v>
      </x:c>
      <x:c r="J5" s="93" t="n">
        <x:f>'Research Tasks'!J5</x:f>
        <x:v>46237</x:v>
      </x:c>
      <x:c r="K5" s="65" t="str">
        <x:f>'Research Tasks'!K5</x:f>
        <x:v>Task fields, status meanings, dependency rules, and validation rules are documented.</x:v>
      </x:c>
    </x:row>
    <x:row r="6" ht="38" customHeight="1">
      <x:c r="A6" s="68" t="str">
        <x:f>'Research Tasks'!A6</x:f>
        <x:v>T-002</x:v>
      </x:c>
      <x:c r="B6" s="68" t="str">
        <x:f>'Research Tasks'!B6</x:f>
        <x:v>M0</x:v>
      </x:c>
      <x:c r="C6" s="68" t="str">
        <x:f>'Research Tasks'!C6</x:f>
        <x:v>Operations</x:v>
      </x:c>
      <x:c r="D6" s="68" t="str">
        <x:f>'Research Tasks'!D6</x:f>
        <x:v>Define versioning scheme</x:v>
      </x:c>
      <x:c r="E6" s="68" t="str">
        <x:f>'Research Tasks'!E6</x:f>
        <x:v>T-001</x:v>
      </x:c>
      <x:c r="F6" s="68" t="str">
        <x:v>Done</x:v>
      </x:c>
      <x:c r="G6" s="68" t="str">
        <x:f>'Research Tasks'!G6</x:f>
        <x:v>0.5-1 day</x:v>
      </x:c>
      <x:c r="H6" s="92" t="n">
        <x:f>'Research Tasks'!H6</x:f>
        <x:v>1</x:v>
      </x:c>
      <x:c r="I6" s="94" t="n">
        <x:f>'Research Tasks'!I6</x:f>
        <x:v>46238</x:v>
      </x:c>
      <x:c r="J6" s="94" t="n">
        <x:f>'Research Tasks'!J6</x:f>
        <x:v>46238</x:v>
      </x:c>
      <x:c r="K6" s="68" t="str">
        <x:f>'Research Tasks'!K6</x:f>
        <x:v>Version labels exist for code, MuJoCo XML, CAD, calibration, hardware build, and experiment config.</x:v>
      </x:c>
    </x:row>
    <x:row r="7" ht="38" customHeight="1">
      <x:c r="A7" s="68" t="str">
        <x:f>'Research Tasks'!A7</x:f>
        <x:v>T-003</x:v>
      </x:c>
      <x:c r="B7" s="68" t="str">
        <x:f>'Research Tasks'!B7</x:f>
        <x:v>M0</x:v>
      </x:c>
      <x:c r="C7" s="68" t="str">
        <x:f>'Research Tasks'!C7</x:f>
        <x:v>Research Ops</x:v>
      </x:c>
      <x:c r="D7" s="68" t="str">
        <x:f>'Research Tasks'!D7</x:f>
        <x:v>Define experiment manifest requirements</x:v>
      </x:c>
      <x:c r="E7" s="68" t="str">
        <x:f>'Research Tasks'!E7</x:f>
        <x:v>T-001, T-002</x:v>
      </x:c>
      <x:c r="F7" s="68" t="str">
        <x:v>Done</x:v>
      </x:c>
      <x:c r="G7" s="68" t="str">
        <x:f>'Research Tasks'!G7</x:f>
        <x:v>1 day</x:v>
      </x:c>
      <x:c r="H7" s="92" t="n">
        <x:f>'Research Tasks'!H7</x:f>
        <x:v>1</x:v>
      </x:c>
      <x:c r="I7" s="94" t="n">
        <x:f>'Research Tasks'!I7</x:f>
        <x:v>46239</x:v>
      </x:c>
      <x:c r="J7" s="94" t="n">
        <x:f>'Research Tasks'!J7</x:f>
        <x:v>46239</x:v>
      </x:c>
      <x:c r="K7" s="68" t="str">
        <x:f>'Research Tasks'!K7</x:f>
        <x:v>Run metadata and required traces are documented.</x:v>
      </x:c>
    </x:row>
    <x:row r="8" ht="38" customHeight="1">
      <x:c r="A8" s="68" t="str">
        <x:f>'Research Tasks'!A8</x:f>
        <x:v>T-004</x:v>
      </x:c>
      <x:c r="B8" s="68" t="str">
        <x:f>'Research Tasks'!B8</x:f>
        <x:v>M0</x:v>
      </x:c>
      <x:c r="C8" s="68" t="str">
        <x:f>'Research Tasks'!C8</x:f>
        <x:v>Validation</x:v>
      </x:c>
      <x:c r="D8" s="68" t="str">
        <x:f>'Research Tasks'!D8</x:f>
        <x:v>Define failure-mode log</x:v>
      </x:c>
      <x:c r="E8" s="68" t="str">
        <x:f>'Research Tasks'!E8</x:f>
        <x:v>T-001</x:v>
      </x:c>
      <x:c r="F8" s="68" t="str">
        <x:v>Done</x:v>
      </x:c>
      <x:c r="G8" s="68" t="str">
        <x:f>'Research Tasks'!G8</x:f>
        <x:v>1 day</x:v>
      </x:c>
      <x:c r="H8" s="92" t="n">
        <x:f>'Research Tasks'!H8</x:f>
        <x:v>1</x:v>
      </x:c>
      <x:c r="I8" s="94" t="n">
        <x:f>'Research Tasks'!I8</x:f>
        <x:v>46240</x:v>
      </x:c>
      <x:c r="J8" s="94" t="n">
        <x:f>'Research Tasks'!J8</x:f>
        <x:v>46240</x:v>
      </x:c>
      <x:c r="K8" s="68" t="str">
        <x:f>'Research Tasks'!K8</x:f>
        <x:v>Failure categories and log fields are documented.</x:v>
      </x:c>
    </x:row>
    <x:row r="9" ht="38" customHeight="1">
      <x:c r="A9" s="68" t="str">
        <x:f>'Research Tasks'!A9</x:f>
        <x:v>T-005</x:v>
      </x:c>
      <x:c r="B9" s="68" t="str">
        <x:f>'Research Tasks'!B9</x:f>
        <x:v>M0</x:v>
      </x:c>
      <x:c r="C9" s="68" t="str">
        <x:f>'Research Tasks'!C9</x:f>
        <x:v>Validation</x:v>
      </x:c>
      <x:c r="D9" s="68" t="str">
        <x:f>'Research Tasks'!D9</x:f>
        <x:v>Define validation gates</x:v>
      </x:c>
      <x:c r="E9" s="68" t="str">
        <x:f>'Research Tasks'!E9</x:f>
        <x:v>T-003, T-004</x:v>
      </x:c>
      <x:c r="F9" s="68" t="str">
        <x:v>Done</x:v>
      </x:c>
      <x:c r="G9" s="68" t="str">
        <x:f>'Research Tasks'!G9</x:f>
        <x:v>1 day</x:v>
      </x:c>
      <x:c r="H9" s="92" t="n">
        <x:f>'Research Tasks'!H9</x:f>
        <x:v>1</x:v>
      </x:c>
      <x:c r="I9" s="94" t="n">
        <x:f>'Research Tasks'!I9</x:f>
        <x:v>46241</x:v>
      </x:c>
      <x:c r="J9" s="94" t="n">
        <x:f>'Research Tasks'!J9</x:f>
        <x:v>46241</x:v>
      </x:c>
      <x:c r="K9" s="68" t="str">
        <x:f>'Research Tasks'!K9</x:f>
        <x:v>Each project gate lists required tests, logs, and stop conditions.</x:v>
      </x:c>
    </x:row>
    <x:row r="10" ht="38" customHeight="1">
      <x:c r="A10" s="68" t="str">
        <x:f>'Research Tasks'!A10</x:f>
        <x:v>T-006</x:v>
      </x:c>
      <x:c r="B10" s="68" t="str">
        <x:f>'Research Tasks'!B10</x:f>
        <x:v>M0</x:v>
      </x:c>
      <x:c r="C10" s="68" t="str">
        <x:f>'Research Tasks'!C10</x:f>
        <x:v>Operations</x:v>
      </x:c>
      <x:c r="D10" s="68" t="str">
        <x:f>'Research Tasks'!D10</x:f>
        <x:v>Create milestone index</x:v>
      </x:c>
      <x:c r="E10" s="68" t="str">
        <x:f>'Research Tasks'!E10</x:f>
        <x:v>T-001</x:v>
      </x:c>
      <x:c r="F10" s="68" t="str">
        <x:v>Done</x:v>
      </x:c>
      <x:c r="G10" s="68" t="str">
        <x:f>'Research Tasks'!G10</x:f>
        <x:v>0.5 day</x:v>
      </x:c>
      <x:c r="H10" s="92" t="n">
        <x:f>'Research Tasks'!H10</x:f>
        <x:v>1</x:v>
      </x:c>
      <x:c r="I10" s="94" t="n">
        <x:f>'Research Tasks'!I10</x:f>
        <x:v>46244</x:v>
      </x:c>
      <x:c r="J10" s="94" t="n">
        <x:f>'Research Tasks'!J10</x:f>
        <x:v>46244</x:v>
      </x:c>
      <x:c r="K10" s="68" t="str">
        <x:f>'Research Tasks'!K10</x:f>
        <x:v>M0-M8 and S0-S2 are indexed with status and dependency summaries.</x:v>
      </x:c>
    </x:row>
    <x:row r="11" ht="38" customHeight="1">
      <x:c r="A11" s="68" t="str">
        <x:f>'Research Tasks'!A11</x:f>
        <x:v>AI-101</x:v>
      </x:c>
      <x:c r="B11" s="68" t="str">
        <x:f>'Research Tasks'!B11</x:f>
        <x:v>M1</x:v>
      </x:c>
      <x:c r="C11" s="68" t="str">
        <x:f>'Research Tasks'!C11</x:f>
        <x:v>Active Inference/Formalization</x:v>
      </x:c>
      <x:c r="D11" s="68" t="str">
        <x:f>'Research Tasks'!D11</x:f>
        <x:v>Write the executable generative-model specification</x:v>
      </x:c>
      <x:c r="E11" s="68" t="str">
        <x:f>'Research Tasks'!E11</x:f>
        <x:v>M0</x:v>
      </x:c>
      <x:c r="F11" s="68" t="str">
        <x:v>Done</x:v>
      </x:c>
      <x:c r="G11" s="68" t="str">
        <x:f>'Research Tasks'!G11</x:f>
        <x:v>2 days</x:v>
      </x:c>
      <x:c r="H11" s="92" t="n">
        <x:f>'Research Tasks'!H11</x:f>
        <x:v>2</x:v>
      </x:c>
      <x:c r="I11" s="94" t="n">
        <x:f>'Research Tasks'!I11</x:f>
        <x:v>46251</x:v>
      </x:c>
      <x:c r="J11" s="94" t="n">
        <x:f>'Research Tasks'!J11</x:f>
        <x:v>46252</x:v>
      </x:c>
      <x:c r="K11" s="68" t="str">
        <x:f>'Research Tasks'!K11</x:f>
        <x:v>Every implemented belief, likelihood, transition, preference, precision, policy prior, proposal, VFE term, and EFE term maps to a declared factor or named approximation.</x:v>
      </x:c>
    </x:row>
    <x:row r="12" ht="38" customHeight="1">
      <x:c r="A12" s="68" t="str">
        <x:f>'Research Tasks'!A12</x:f>
        <x:v>AI-102</x:v>
      </x:c>
      <x:c r="B12" s="68" t="str">
        <x:f>'Research Tasks'!B12</x:f>
        <x:v>M1</x:v>
      </x:c>
      <x:c r="C12" s="68" t="str">
        <x:f>'Research Tasks'!C12</x:f>
        <x:v>Active Inference/Sensors</x:v>
      </x:c>
      <x:c r="D12" s="68" t="str">
        <x:f>'Research Tasks'!D12</x:f>
        <x:v>Create the variable and sensor-access ledger</x:v>
      </x:c>
      <x:c r="E12" s="68" t="str">
        <x:f>'Research Tasks'!E12</x:f>
        <x:v>AI-101</x:v>
      </x:c>
      <x:c r="F12" s="68" t="str">
        <x:v>Done</x:v>
      </x:c>
      <x:c r="G12" s="68" t="str">
        <x:f>'Research Tasks'!G12</x:f>
        <x:v>1-2 days</x:v>
      </x:c>
      <x:c r="H12" s="92" t="n">
        <x:f>'Research Tasks'!H12</x:f>
        <x:v>1</x:v>
      </x:c>
      <x:c r="I12" s="94" t="n">
        <x:f>'Research Tasks'!I12</x:f>
        <x:v>46253</x:v>
      </x:c>
      <x:c r="J12" s="94" t="n">
        <x:f>'Research Tasks'!J12</x:f>
        <x:v>46253</x:v>
      </x:c>
      <x:c r="K12" s="68" t="str">
        <x:f>'Research Tasks'!K12</x:f>
        <x:v>Every simulator-to-agent value is classified as physical observation, derived observation, hidden state, evaluation label, or execution-only state.</x:v>
      </x:c>
    </x:row>
    <x:row r="13" ht="38" customHeight="1">
      <x:c r="A13" s="68" t="str">
        <x:f>'Research Tasks'!A13</x:f>
        <x:v>AI-103</x:v>
      </x:c>
      <x:c r="B13" s="68" t="str">
        <x:f>'Research Tasks'!B13</x:f>
        <x:v>M1</x:v>
      </x:c>
      <x:c r="C13" s="68" t="str">
        <x:f>'Research Tasks'!C13</x:f>
        <x:v>Active Inference/Observation Model</x:v>
      </x:c>
      <x:c r="D13" s="68" t="str">
        <x:f>'Research Tasks'!D13</x:f>
        <x:v>Audit observation independence and units</x:v>
      </x:c>
      <x:c r="E13" s="68" t="str">
        <x:f>'Research Tasks'!E13</x:f>
        <x:v>AI-101, AI-102</x:v>
      </x:c>
      <x:c r="F13" s="68" t="str">
        <x:v>Done</x:v>
      </x:c>
      <x:c r="G13" s="68" t="str">
        <x:f>'Research Tasks'!G13</x:f>
        <x:v>1-2 days</x:v>
      </x:c>
      <x:c r="H13" s="92" t="n">
        <x:f>'Research Tasks'!H13</x:f>
        <x:v>1</x:v>
      </x:c>
      <x:c r="I13" s="94" t="n">
        <x:f>'Research Tasks'!I13</x:f>
        <x:v>46254</x:v>
      </x:c>
      <x:c r="J13" s="94" t="n">
        <x:f>'Research Tasks'!J13</x:f>
        <x:v>46254</x:v>
      </x:c>
      <x:c r="K13" s="68" t="str">
        <x:f>'Research Tasks'!K13</x:f>
        <x:v>Derived material channels, likelihood independence, units, normalization, and provisional observation terms are explicitly decided.</x:v>
      </x:c>
    </x:row>
    <x:row r="14" ht="38" customHeight="1">
      <x:c r="A14" s="68" t="str">
        <x:f>'Research Tasks'!A14</x:f>
        <x:v>AI-104</x:v>
      </x:c>
      <x:c r="B14" s="68" t="str">
        <x:f>'Research Tasks'!B14</x:f>
        <x:v>M1</x:v>
      </x:c>
      <x:c r="C14" s="68" t="str">
        <x:f>'Research Tasks'!C14</x:f>
        <x:v>Active Inference/Validation</x:v>
      </x:c>
      <x:c r="D14" s="68" t="str">
        <x:f>'Research Tasks'!D14</x:f>
        <x:v>Verify VFE against tractable reference models</x:v>
      </x:c>
      <x:c r="E14" s="68" t="str">
        <x:f>'Research Tasks'!E14</x:f>
        <x:v>AI-101, AI-103</x:v>
      </x:c>
      <x:c r="F14" s="68" t="str">
        <x:v>Done</x:v>
      </x:c>
      <x:c r="G14" s="68" t="str">
        <x:f>'Research Tasks'!G14</x:f>
        <x:v>2 days</x:v>
      </x:c>
      <x:c r="H14" s="92" t="n">
        <x:f>'Research Tasks'!H14</x:f>
        <x:v>2</x:v>
      </x:c>
      <x:c r="I14" s="94" t="n">
        <x:f>'Research Tasks'!I14</x:f>
        <x:v>46255</x:v>
      </x:c>
      <x:c r="J14" s="94" t="n">
        <x:f>'Research Tasks'!J14</x:f>
        <x:v>46258</x:v>
      </x:c>
      <x:c r="K14" s="68" t="str">
        <x:f>'Research Tasks'!K14</x:f>
        <x:v>Analytic linear-Gaussian fixtures independently verify posterior moments and VFE decomposition across precision regimes.</x:v>
      </x:c>
    </x:row>
    <x:row r="15" ht="38" customHeight="1">
      <x:c r="A15" s="68" t="str">
        <x:f>'Research Tasks'!A15</x:f>
        <x:v>AI-105</x:v>
      </x:c>
      <x:c r="B15" s="68" t="str">
        <x:f>'Research Tasks'!B15</x:f>
        <x:v>M1</x:v>
      </x:c>
      <x:c r="C15" s="68" t="str">
        <x:f>'Research Tasks'!C15</x:f>
        <x:v>Active Inference/Validation</x:v>
      </x:c>
      <x:c r="D15" s="68" t="str">
        <x:f>'Research Tasks'!D15</x:f>
        <x:v>Verify EFE against enumerated or Monte Carlo references</x:v>
      </x:c>
      <x:c r="E15" s="68" t="str">
        <x:f>'Research Tasks'!E15</x:f>
        <x:v>AI-101, AI-104</x:v>
      </x:c>
      <x:c r="F15" s="68" t="str">
        <x:v>Done</x:v>
      </x:c>
      <x:c r="G15" s="68" t="str">
        <x:f>'Research Tasks'!G15</x:f>
        <x:v>2-3 days</x:v>
      </x:c>
      <x:c r="H15" s="92" t="n">
        <x:f>'Research Tasks'!H15</x:f>
        <x:v>2</x:v>
      </x:c>
      <x:c r="I15" s="94" t="n">
        <x:f>'Research Tasks'!I15</x:f>
        <x:v>46259</x:v>
      </x:c>
      <x:c r="J15" s="94" t="n">
        <x:f>'Research Tasks'!J15</x:f>
        <x:v>46260</x:v>
      </x:c>
      <x:c r="K15" s="68" t="str">
        <x:f>'Research Tasks'!K15</x:f>
        <x:v>Independent fixtures verify risk, ambiguity, information gain, policy priors, signs, and posterior normalization.</x:v>
      </x:c>
    </x:row>
    <x:row r="16" ht="38" customHeight="1">
      <x:c r="A16" s="68" t="str">
        <x:f>'Research Tasks'!A16</x:f>
        <x:v>AI-106</x:v>
      </x:c>
      <x:c r="B16" s="68" t="str">
        <x:f>'Research Tasks'!B16</x:f>
        <x:v>M1</x:v>
      </x:c>
      <x:c r="C16" s="68" t="str">
        <x:f>'Research Tasks'!C16</x:f>
        <x:v>Preferences/Validation</x:v>
      </x:c>
      <x:c r="D16" s="68" t="str">
        <x:f>'Research Tasks'!D16</x:f>
        <x:v>Stress-test terminal coverage and stopping</x:v>
      </x:c>
      <x:c r="E16" s="68" t="str">
        <x:f>'Research Tasks'!E16</x:f>
        <x:v>AI-105</x:v>
      </x:c>
      <x:c r="F16" s="68" t="str">
        <x:v>Done</x:v>
      </x:c>
      <x:c r="G16" s="68" t="str">
        <x:f>'Research Tasks'!G16</x:f>
        <x:v>1-2 days</x:v>
      </x:c>
      <x:c r="H16" s="92" t="n">
        <x:f>'Research Tasks'!H16</x:f>
        <x:v>1</x:v>
      </x:c>
      <x:c r="I16" s="94" t="n">
        <x:f>'Research Tasks'!I16</x:f>
        <x:v>46261</x:v>
      </x:c>
      <x:c r="J16" s="94" t="n">
        <x:f>'Research Tasks'!J16</x:f>
        <x:v>46261</x:v>
      </x:c>
      <x:c r="K16" s="68" t="str">
        <x:f>'Research Tasks'!K16</x:f>
        <x:v>Beta moment matching, clamps, alternatives, terminal-only application, and immediate-stop support have a documented decision.</x:v>
      </x:c>
    </x:row>
    <x:row r="17" ht="38" customHeight="1">
      <x:c r="A17" s="68" t="str">
        <x:f>'Research Tasks'!A17</x:f>
        <x:v>AI-111</x:v>
      </x:c>
      <x:c r="B17" s="68" t="str">
        <x:f>'Research Tasks'!B17</x:f>
        <x:v>M1</x:v>
      </x:c>
      <x:c r="C17" s="68" t="str">
        <x:f>'Research Tasks'!C17</x:f>
        <x:v>Policy Inference</x:v>
      </x:c>
      <x:c r="D17" s="68" t="str">
        <x:f>'Research Tasks'!D17</x:f>
        <x:v>Separate proposal distributions from policy priors</x:v>
      </x:c>
      <x:c r="E17" s="68" t="str">
        <x:f>'Research Tasks'!E17</x:f>
        <x:v>AI-101, AI-105</x:v>
      </x:c>
      <x:c r="F17" s="68" t="str">
        <x:v>Done</x:v>
      </x:c>
      <x:c r="G17" s="68" t="str">
        <x:f>'Research Tasks'!G17</x:f>
        <x:v>2 days</x:v>
      </x:c>
      <x:c r="H17" s="92" t="n">
        <x:f>'Research Tasks'!H17</x:f>
        <x:v>2</x:v>
      </x:c>
      <x:c r="I17" s="94" t="n">
        <x:f>'Research Tasks'!I17</x:f>
        <x:v>46262</x:v>
      </x:c>
      <x:c r="J17" s="94" t="n">
        <x:f>'Research Tasks'!J17</x:f>
        <x:v>46265</x:v>
      </x:c>
      <x:c r="K17" s="68" t="str">
        <x:f>'Research Tasks'!K17</x:f>
        <x:v>Candidate frequency, intended policy prior, proposal density, and finite-budget bias have explicit semantics and convergence tests.</x:v>
      </x:c>
    </x:row>
    <x:row r="18" ht="38" customHeight="1">
      <x:c r="A18" s="68" t="str">
        <x:f>'Research Tasks'!A18</x:f>
        <x:v>AI-108</x:v>
      </x:c>
      <x:c r="B18" s="68" t="str">
        <x:f>'Research Tasks'!B18</x:f>
        <x:v>M1</x:v>
      </x:c>
      <x:c r="C18" s="68" t="str">
        <x:f>'Research Tasks'!C18</x:f>
        <x:v>Data/Validation</x:v>
      </x:c>
      <x:c r="D18" s="68" t="str">
        <x:f>'Research Tasks'!D18</x:f>
        <x:v>Build a leakage-resistant baseline corpus</x:v>
      </x:c>
      <x:c r="E18" s="68" t="str">
        <x:f>'Research Tasks'!E18</x:f>
        <x:v>AI-102, T-101, T-102</x:v>
      </x:c>
      <x:c r="F18" s="68" t="str">
        <x:v>Done</x:v>
      </x:c>
      <x:c r="G18" s="68" t="str">
        <x:f>'Research Tasks'!G18</x:f>
        <x:v>2-3 days</x:v>
      </x:c>
      <x:c r="H18" s="92" t="n">
        <x:f>'Research Tasks'!H18</x:f>
        <x:v>2</x:v>
      </x:c>
      <x:c r="I18" s="94" t="n">
        <x:f>'Research Tasks'!I18</x:f>
        <x:v>46266</x:v>
      </x:c>
      <x:c r="J18" s="94" t="n">
        <x:f>'Research Tasks'!J18</x:f>
        <x:v>46267</x:v>
      </x:c>
      <x:c r="K18" s="68" t="str">
        <x:f>'Research Tasks'!K18</x:f>
        <x:v>Accepted posterior-only baseline. It does not retain registered pre/post camera images and is not a visual hierarchy corpus.</x:v>
      </x:c>
    </x:row>
    <x:row r="19" ht="38" customHeight="1">
      <x:c r="A19" s="68" t="str">
        <x:f>'Research Tasks'!A19</x:f>
        <x:v>AI-107</x:v>
      </x:c>
      <x:c r="B19" s="68" t="str">
        <x:f>'Research Tasks'!B19</x:f>
        <x:v>M1</x:v>
      </x:c>
      <x:c r="C19" s="68" t="str">
        <x:f>'Research Tasks'!C19</x:f>
        <x:v>Uncertainty</x:v>
      </x:c>
      <x:c r="D19" s="68" t="str">
        <x:f>'Research Tasks'!D19</x:f>
        <x:v>Calibrate transition and precision approximations</x:v>
      </x:c>
      <x:c r="E19" s="68" t="str">
        <x:f>'Research Tasks'!E19</x:f>
        <x:v>AI-103, AI-108</x:v>
      </x:c>
      <x:c r="F19" s="68" t="str">
        <x:v>Done</x:v>
      </x:c>
      <x:c r="G19" s="68" t="str">
        <x:f>'Research Tasks'!G19</x:f>
        <x:v>2-3 days</x:v>
      </x:c>
      <x:c r="H19" s="92" t="n">
        <x:f>'Research Tasks'!H19</x:f>
        <x:v>2</x:v>
      </x:c>
      <x:c r="I19" s="94" t="n">
        <x:f>'Research Tasks'!I19</x:f>
        <x:v>46268</x:v>
      </x:c>
      <x:c r="J19" s="94" t="n">
        <x:f>'Research Tasks'!J19</x:f>
        <x:v>46269</x:v>
      </x:c>
      <x:c r="K19" s="68" t="str">
        <x:f>'Research Tasks'!K19</x:f>
        <x:v>Current material-posterior likelihoods were measured and failed calibration. The material cVAE result does not test the proposed visual VAE.</x:v>
      </x:c>
    </x:row>
    <x:row r="20" ht="38" customHeight="1">
      <x:c r="A20" s="68" t="str">
        <x:f>'Research Tasks'!A20</x:f>
        <x:v>AI-109</x:v>
      </x:c>
      <x:c r="B20" s="68" t="str">
        <x:f>'Research Tasks'!B20</x:f>
        <x:v>M1</x:v>
      </x:c>
      <x:c r="C20" s="68" t="str">
        <x:f>'Research Tasks'!C20</x:f>
        <x:v>Modeling/Validation</x:v>
      </x:c>
      <x:c r="D20" s="68" t="str">
        <x:f>'Research Tasks'!D20</x:f>
        <x:v>Establish predictive learning curves</x:v>
      </x:c>
      <x:c r="E20" s="68" t="str">
        <x:f>'Research Tasks'!E20</x:f>
        <x:v>AI-107, AI-108</x:v>
      </x:c>
      <x:c r="F20" s="68" t="str">
        <x:v>Active</x:v>
      </x:c>
      <x:c r="G20" s="68" t="str">
        <x:f>'Research Tasks'!G20</x:f>
        <x:v>2 days</x:v>
      </x:c>
      <x:c r="H20" s="92" t="n">
        <x:f>'Research Tasks'!H20</x:f>
        <x:v>2</x:v>
      </x:c>
      <x:c r="I20" s="94" t="n">
        <x:f>'Research Tasks'!I20</x:f>
        <x:v>46272</x:v>
      </x:c>
      <x:c r="J20" s="94" t="n">
        <x:f>'Research Tasks'!J20</x:f>
        <x:v>46273</x:v>
      </x:c>
      <x:c r="K20" s="68" t="str">
        <x:v>2026-08-12: local material-posterior matrix completed; mixture density improved but calibration failed. A 192-step stop pilot yielded 6 selected stops and 2 truncations, but no registered image stream. AI-109 remains active pending a genuine-stop visual corpus and hierarchy curves.</x:v>
      </x:c>
    </x:row>
    <x:row r="21" ht="38" customHeight="1">
      <x:c r="A21" s="68" t="str">
        <x:f>'Research Tasks'!A21</x:f>
        <x:v>AI-112</x:v>
      </x:c>
      <x:c r="B21" s="68" t="str">
        <x:f>'Research Tasks'!B21</x:f>
        <x:v>M1</x:v>
      </x:c>
      <x:c r="C21" s="68" t="str">
        <x:f>'Research Tasks'!C21</x:f>
        <x:v>Continual Learning/Research Ops</x:v>
      </x:c>
      <x:c r="D21" s="68" t="str">
        <x:f>'Research Tasks'!D21</x:f>
        <x:v>Define online learning and inheritance semantics</x:v>
      </x:c>
      <x:c r="E21" s="68" t="str">
        <x:f>'Research Tasks'!E21</x:f>
        <x:v>AI-101, AI-108</x:v>
      </x:c>
      <x:c r="F21" s="68" t="str">
        <x:v>Ready</x:v>
      </x:c>
      <x:c r="G21" s="68" t="str">
        <x:f>'Research Tasks'!G21</x:f>
        <x:v>1-2 days</x:v>
      </x:c>
      <x:c r="H21" s="92" t="n">
        <x:f>'Research Tasks'!H21</x:f>
        <x:v>1</x:v>
      </x:c>
      <x:c r="I21" s="94" t="n">
        <x:f>'Research Tasks'!I21</x:f>
        <x:v>46274</x:v>
      </x:c>
      <x:c r="J21" s="94" t="n">
        <x:f>'Research Tasks'!J21</x:f>
        <x:v>46274</x:v>
      </x:c>
      <x:c r="K21" s="68" t="str">
        <x:f>'Research Tasks'!K21</x:f>
        <x:v>Shared parameters, optimizer, replay, calibration, episodic beliefs, and canvas history have separate persistence and reporting rules.</x:v>
      </x:c>
    </x:row>
    <x:row r="22" ht="38" customHeight="1">
      <x:c r="A22" s="68" t="str">
        <x:f>'Research Tasks'!A22</x:f>
        <x:v>AI-113</x:v>
      </x:c>
      <x:c r="B22" s="68" t="str">
        <x:f>'Research Tasks'!B22</x:f>
        <x:v>M1</x:v>
      </x:c>
      <x:c r="C22" s="68" t="str">
        <x:f>'Research Tasks'!C22</x:f>
        <x:v>Performance/Feasibility</x:v>
      </x:c>
      <x:c r="D22" s="68" t="str">
        <x:f>'Research Tasks'!D22</x:f>
        <x:v>Profile inference, rollout, and learning separately</x:v>
      </x:c>
      <x:c r="E22" s="68" t="str">
        <x:f>'Research Tasks'!E22</x:f>
        <x:v>AI-109</x:v>
      </x:c>
      <x:c r="F22" s="68" t="str">
        <x:v>Blocked</x:v>
      </x:c>
      <x:c r="G22" s="68" t="str">
        <x:f>'Research Tasks'!G22</x:f>
        <x:v>1 day</x:v>
      </x:c>
      <x:c r="H22" s="92" t="n">
        <x:f>'Research Tasks'!H22</x:f>
        <x:v>1</x:v>
      </x:c>
      <x:c r="I22" s="94" t="n">
        <x:f>'Research Tasks'!I22</x:f>
        <x:v>46275</x:v>
      </x:c>
      <x:c r="J22" s="94" t="n">
        <x:f>'Research Tasks'!J22</x:f>
        <x:v>46275</x:v>
      </x:c>
      <x:c r="K22" s="68" t="str">
        <x:f>'Research Tasks'!K22</x:f>
        <x:v>State inference, EFE, motor forecasting, hierarchy, training, serialization, and rendering have separate timings and a ranked optimization plan.</x:v>
      </x:c>
    </x:row>
    <x:row r="23" ht="38" customHeight="1">
      <x:c r="A23" s="68" t="str">
        <x:f>'Research Tasks'!A23</x:f>
        <x:v>AI-110</x:v>
      </x:c>
      <x:c r="B23" s="68" t="str">
        <x:f>'Research Tasks'!B23</x:f>
        <x:v>M1</x:v>
      </x:c>
      <x:c r="C23" s="68" t="str">
        <x:f>'Research Tasks'!C23</x:f>
        <x:v>Active Inference/Preferences</x:v>
      </x:c>
      <x:c r="D23" s="68" t="str">
        <x:f>'Research Tasks'!D23</x:f>
        <x:v>Resolve the composition-preference closed loop</x:v>
      </x:c>
      <x:c r="E23" s="68" t="str">
        <x:f>'Research Tasks'!E23</x:f>
        <x:v>AI-101, AI-105, AI-109</x:v>
      </x:c>
      <x:c r="F23" s="68" t="str">
        <x:v>Blocked</x:v>
      </x:c>
      <x:c r="G23" s="68" t="str">
        <x:f>'Research Tasks'!G23</x:f>
        <x:v>2-3 days</x:v>
      </x:c>
      <x:c r="H23" s="92" t="n">
        <x:f>'Research Tasks'!H23</x:f>
        <x:v>2</x:v>
      </x:c>
      <x:c r="I23" s="94" t="n">
        <x:f>'Research Tasks'!I23</x:f>
        <x:v>46276</x:v>
      </x:c>
      <x:c r="J23" s="94" t="n">
        <x:f>'Research Tasks'!J23</x:f>
        <x:v>46279</x:v>
      </x:c>
      <x:c r="K23" s="68" t="str">
        <x:f>'Research Tasks'!K23</x:f>
        <x:v>Resolve structural preference only against an admitted predictive visual tone/edge/mass hierarchy and genuine-stop visual corpus; the provisional 16x16 material posterior is not sufficient.</x:v>
      </x:c>
    </x:row>
    <x:row r="24" ht="38" customHeight="1">
      <x:c r="A24" s="68" t="str">
        <x:f>'Research Tasks'!A24</x:f>
        <x:v>AI-114</x:v>
      </x:c>
      <x:c r="B24" s="68" t="str">
        <x:f>'Research Tasks'!B24</x:f>
        <x:v>M1</x:v>
      </x:c>
      <x:c r="C24" s="68" t="str">
        <x:f>'Research Tasks'!C24</x:f>
        <x:v>Research Ops</x:v>
      </x:c>
      <x:c r="D24" s="68" t="str">
        <x:f>'Research Tasks'!D24</x:f>
        <x:v>Capture reproducible baseline replicas</x:v>
      </x:c>
      <x:c r="E24" s="68" t="str">
        <x:f>'Research Tasks'!E24</x:f>
        <x:v>AI-104, AI-105, AI-106, AI-107, AI-109, AI-110, AI-111, AI-113</x:v>
      </x:c>
      <x:c r="F24" s="68" t="str">
        <x:v>Blocked</x:v>
      </x:c>
      <x:c r="G24" s="68" t="str">
        <x:f>'Research Tasks'!G24</x:f>
        <x:v>2 days</x:v>
      </x:c>
      <x:c r="H24" s="92" t="n">
        <x:f>'Research Tasks'!H24</x:f>
        <x:v>2</x:v>
      </x:c>
      <x:c r="I24" s="94" t="n">
        <x:f>'Research Tasks'!I24</x:f>
        <x:v>46280</x:v>
      </x:c>
      <x:c r="J24" s="94" t="n">
        <x:f>'Research Tasks'!J24</x:f>
        <x:v>46281</x:v>
      </x:c>
      <x:c r="K24" s="68" t="str">
        <x:f>'Research Tasks'!K24</x:f>
        <x:v>At least three fixed-seed runs archive manifests, beliefs, VFE/EFE, calibration, proposal statistics, telemetry, failures, and canvases.</x:v>
      </x:c>
    </x:row>
    <x:row r="25" ht="38" customHeight="1">
      <x:c r="A25" s="68" t="str">
        <x:f>'Research Tasks'!A25</x:f>
        <x:v>AI-115</x:v>
      </x:c>
      <x:c r="B25" s="68" t="str">
        <x:f>'Research Tasks'!B25</x:f>
        <x:v>M1</x:v>
      </x:c>
      <x:c r="C25" s="68" t="str">
        <x:f>'Research Tasks'!C25</x:f>
        <x:v>Validation</x:v>
      </x:c>
      <x:c r="D25" s="68" t="str">
        <x:f>'Research Tasks'!D25</x:f>
        <x:v>M1 lock decision</x:v>
      </x:c>
      <x:c r="E25" s="68" t="str">
        <x:f>'Research Tasks'!E25</x:f>
        <x:v>AI-114</x:v>
      </x:c>
      <x:c r="F25" s="68" t="str">
        <x:v>Blocked</x:v>
      </x:c>
      <x:c r="G25" s="68" t="str">
        <x:f>'Research Tasks'!G25</x:f>
        <x:v>0.5 day</x:v>
      </x:c>
      <x:c r="H25" s="92" t="n">
        <x:f>'Research Tasks'!H25</x:f>
        <x:v>1</x:v>
      </x:c>
      <x:c r="I25" s="94" t="n">
        <x:f>'Research Tasks'!I25</x:f>
        <x:v>46282</x:v>
      </x:c>
      <x:c r="J25" s="94" t="n">
        <x:f>'Research Tasks'!J25</x:f>
        <x:v>46282</x:v>
      </x:c>
      <x:c r="K25" s="68" t="str">
        <x:f>'Research Tasks'!K25</x:f>
        <x:v>Formal, sensor-access, VFE/EFE, calibration, terminal, composition, proposal, and inheritance decisions are accepted before M2.</x:v>
      </x:c>
    </x:row>
    <x:row r="26" ht="38" customHeight="1">
      <x:c r="A26" s="68" t="str">
        <x:f>'Research Tasks'!A26</x:f>
        <x:v>AI-201</x:v>
      </x:c>
      <x:c r="B26" s="68" t="str">
        <x:f>'Research Tasks'!B26</x:f>
        <x:v>M2</x:v>
      </x:c>
      <x:c r="C26" s="68" t="str">
        <x:f>'Research Tasks'!C26</x:f>
        <x:v>Sensors/Active Inference</x:v>
      </x:c>
      <x:c r="D26" s="68" t="str">
        <x:f>'Research Tasks'!D26</x:f>
        <x:v>Define the sensor-grounded M2 observation package</x:v>
      </x:c>
      <x:c r="E26" s="68" t="str">
        <x:f>'Research Tasks'!E26</x:f>
        <x:v>M1</x:v>
      </x:c>
      <x:c r="F26" s="68" t="str">
        <x:v>Active</x:v>
      </x:c>
      <x:c r="G26" s="68" t="str">
        <x:f>'Research Tasks'!G26</x:f>
        <x:v>2 days</x:v>
      </x:c>
      <x:c r="H26" s="92" t="n">
        <x:f>'Research Tasks'!H26</x:f>
        <x:v>2</x:v>
      </x:c>
      <x:c r="I26" s="94" t="n">
        <x:f>'Research Tasks'!I26</x:f>
        <x:v>46293</x:v>
      </x:c>
      <x:c r="J26" s="94" t="n">
        <x:f>'Research Tasks'!J26</x:f>
        <x:v>46294</x:v>
      </x:c>
      <x:c r="K26" s="68" t="str">
        <x:f>'Research Tasks'!K26</x:f>
        <x:v>Declare provisional camera/body channels and retain registered rectified pre/post images, timing/calibration/masks, action crops, brush/motor context, and termination provenance.</x:v>
      </x:c>
    </x:row>
    <x:row r="27" ht="38" customHeight="1">
      <x:c r="A27" s="68" t="str">
        <x:f>'Research Tasks'!A27</x:f>
        <x:v>AI-202</x:v>
      </x:c>
      <x:c r="B27" s="68" t="str">
        <x:f>'Research Tasks'!B27</x:f>
        <x:v>M2</x:v>
      </x:c>
      <x:c r="C27" s="68" t="str">
        <x:f>'Research Tasks'!C27</x:f>
        <x:v>Generative Process/Sensors</x:v>
      </x:c>
      <x:c r="D27" s="68" t="str">
        <x:f>'Research Tasks'!D27</x:f>
        <x:v>Implement the fixed-view observation generative process</x:v>
      </x:c>
      <x:c r="E27" s="68" t="str">
        <x:f>'Research Tasks'!E27</x:f>
        <x:v>AI-201, T-101, T-102</x:v>
      </x:c>
      <x:c r="F27" s="68" t="str">
        <x:v>Active</x:v>
      </x:c>
      <x:c r="G27" s="68" t="str">
        <x:f>'Research Tasks'!G27</x:f>
        <x:v>2-3 days</x:v>
      </x:c>
      <x:c r="H27" s="92" t="n">
        <x:f>'Research Tasks'!H27</x:f>
        <x:v>3</x:v>
      </x:c>
      <x:c r="I27" s="94" t="n">
        <x:f>'Research Tasks'!I27</x:f>
        <x:v>46295</x:v>
      </x:c>
      <x:c r="J27" s="94" t="n">
        <x:f>'Research Tasks'!J27</x:f>
        <x:v>46297</x:v>
      </x:c>
      <x:c r="K27" s="68" t="str">
        <x:f>'Research Tasks'!K27</x:f>
        <x:v>The process emits declared provisional observations while hidden material arrays remain evaluation-only; sensor-equivalence waits for physical calibration.</x:v>
      </x:c>
    </x:row>
    <x:row r="28" ht="38" customHeight="1">
      <x:c r="A28" s="68" t="str">
        <x:f>'Research Tasks'!A28</x:f>
        <x:v>AI-203</x:v>
      </x:c>
      <x:c r="B28" s="68" t="str">
        <x:f>'Research Tasks'!B28</x:f>
        <x:v>M2</x:v>
      </x:c>
      <x:c r="C28" s="68" t="str">
        <x:f>'Research Tasks'!C28</x:f>
        <x:v>Generative Model</x:v>
      </x:c>
      <x:c r="D28" s="68" t="str">
        <x:f>'Research Tasks'!D28</x:f>
        <x:v>Specify and implement the observation likelihood</x:v>
      </x:c>
      <x:c r="E28" s="68" t="str">
        <x:f>'Research Tasks'!E28</x:f>
        <x:v>AI-201, AI-202</x:v>
      </x:c>
      <x:c r="F28" s="68" t="str">
        <x:v>Active</x:v>
      </x:c>
      <x:c r="G28" s="68" t="str">
        <x:f>'Research Tasks'!G28</x:f>
        <x:v>3-5 days</x:v>
      </x:c>
      <x:c r="H28" s="92" t="n">
        <x:f>'Research Tasks'!H28</x:f>
        <x:v>4</x:v>
      </x:c>
      <x:c r="I28" s="94" t="n">
        <x:f>'Research Tasks'!I28</x:f>
        <x:v>46300</x:v>
      </x:c>
      <x:c r="J28" s="94" t="n">
        <x:f>'Research Tasks'!J28</x:f>
        <x:v>46303</x:v>
      </x:c>
      <x:c r="K28" s="68" t="str">
        <x:f>'Research Tasks'!K28</x:f>
        <x:v>Registered-image, action-conditioned visual-transition, proprioceptive, current, and contact likelihoods are explicit, calibrated, and avoid double-counting image transforms.</x:v>
      </x:c>
    </x:row>
    <x:row r="29" ht="38" customHeight="1">
      <x:c r="A29" s="68" t="str">
        <x:f>'Research Tasks'!A29</x:f>
        <x:v>AI-204</x:v>
      </x:c>
      <x:c r="B29" s="68" t="str">
        <x:f>'Research Tasks'!B29</x:f>
        <x:v>M2</x:v>
      </x:c>
      <x:c r="C29" s="68" t="str">
        <x:f>'Research Tasks'!C29</x:f>
        <x:v>Variational Inference</x:v>
      </x:c>
      <x:c r="D29" s="68" t="str">
        <x:f>'Research Tasks'!D29</x:f>
        <x:v>Build the compact state-inference path</x:v>
      </x:c>
      <x:c r="E29" s="68" t="str">
        <x:f>'Research Tasks'!E29</x:f>
        <x:v>AI-203</x:v>
      </x:c>
      <x:c r="F29" s="68" t="str">
        <x:v>Active</x:v>
      </x:c>
      <x:c r="G29" s="68" t="str">
        <x:f>'Research Tasks'!G29</x:f>
        <x:v>4-6 days</x:v>
      </x:c>
      <x:c r="H29" s="92" t="n">
        <x:f>'Research Tasks'!H29</x:f>
        <x:v>5</x:v>
      </x:c>
      <x:c r="I29" s="94" t="n">
        <x:f>'Research Tasks'!I29</x:f>
        <x:v>46304</x:v>
      </x:c>
      <x:c r="J29" s="94" t="n">
        <x:f>'Research Tasks'!J29</x:f>
        <x:v>46310</x:v>
      </x:c>
      <x:c r="K29" s="68" t="str">
        <x:f>'Research Tasks'!K29</x:f>
        <x:v>A compact visual/body posterior fuses priors with permitted observations. Persistent canvas-wide wetness is excluded; any local interaction latent is ephemeral.</x:v>
      </x:c>
    </x:row>
    <x:row r="30" ht="38" customHeight="1">
      <x:c r="A30" s="68" t="str">
        <x:f>'Research Tasks'!A30</x:f>
        <x:v>AI-205</x:v>
      </x:c>
      <x:c r="B30" s="68" t="str">
        <x:f>'Research Tasks'!B30</x:f>
        <x:v>M2</x:v>
      </x:c>
      <x:c r="C30" s="68" t="str">
        <x:f>'Research Tasks'!C30</x:f>
        <x:v>Transition Model/Data</x:v>
      </x:c>
      <x:c r="D30" s="68" t="str">
        <x:f>'Research Tasks'!D30</x:f>
        <x:v>Align local visual dynamics training with live execution</x:v>
      </x:c>
      <x:c r="E30" s="68" t="str">
        <x:f>'Research Tasks'!E30</x:f>
        <x:v>AI-108, AI-202</x:v>
      </x:c>
      <x:c r="F30" s="68" t="str">
        <x:v>Blocked</x:v>
      </x:c>
      <x:c r="G30" s="68" t="str">
        <x:f>'Research Tasks'!G30</x:f>
        <x:v>2-3 days</x:v>
      </x:c>
      <x:c r="H30" s="92" t="n">
        <x:f>'Research Tasks'!H30</x:f>
        <x:v>3</x:v>
      </x:c>
      <x:c r="I30" s="94" t="n">
        <x:f>'Research Tasks'!I30</x:f>
        <x:v>46311</x:v>
      </x:c>
      <x:c r="J30" s="94" t="n">
        <x:f>'Research Tasks'!J30</x:f>
        <x:v>46315</x:v>
      </x:c>
      <x:c r="K30" s="68" t="str">
        <x:f>'Research Tasks'!K30</x:f>
        <x:v>Corpus and execution share camera registration, physical pixel scale, action support, and held-out visual calibration; registered pre/post patches and provenance are retained.</x:v>
      </x:c>
    </x:row>
    <x:row r="31" ht="38" customHeight="1">
      <x:c r="A31" s="68" t="str">
        <x:f>'Research Tasks'!A31</x:f>
        <x:v>AI-206</x:v>
      </x:c>
      <x:c r="B31" s="68" t="str">
        <x:f>'Research Tasks'!B31</x:f>
        <x:v>M2</x:v>
      </x:c>
      <x:c r="C31" s="68" t="str">
        <x:f>'Research Tasks'!C31</x:f>
        <x:v>Transition Model/Validation</x:v>
      </x:c>
      <x:c r="D31" s="68" t="str">
        <x:f>'Research Tasks'!D31</x:f>
        <x:v>Validate multi-step visual prediction</x:v>
      </x:c>
      <x:c r="E31" s="68" t="str">
        <x:f>'Research Tasks'!E31</x:f>
        <x:v>AI-204, AI-205</x:v>
      </x:c>
      <x:c r="F31" s="68" t="str">
        <x:v>Blocked</x:v>
      </x:c>
      <x:c r="G31" s="68" t="str">
        <x:f>'Research Tasks'!G31</x:f>
        <x:v>2-3 days</x:v>
      </x:c>
      <x:c r="H31" s="92" t="n">
        <x:f>'Research Tasks'!H31</x:f>
        <x:v>3</x:v>
      </x:c>
      <x:c r="I31" s="94" t="n">
        <x:f>'Research Tasks'!I31</x:f>
        <x:v>46316</x:v>
      </x:c>
      <x:c r="J31" s="94" t="n">
        <x:f>'Research Tasks'!J31</x:f>
        <x:v>46318</x:v>
      </x:c>
      <x:c r="K31" s="68" t="str">
        <x:f>'Research Tasks'!K31</x:f>
        <x:v>One-mark through passage-length visual rollouts report normalized likelihood, tone/boundary fidelity, error growth, and uncertainty calibration.</x:v>
      </x:c>
    </x:row>
    <x:row r="32" ht="38" customHeight="1">
      <x:c r="A32" s="68" t="str">
        <x:f>'Research Tasks'!A32</x:f>
        <x:v>AI-207</x:v>
      </x:c>
      <x:c r="B32" s="68" t="str">
        <x:f>'Research Tasks'!B32</x:f>
        <x:v>M2</x:v>
      </x:c>
      <x:c r="C32" s="68" t="str">
        <x:f>'Research Tasks'!C32</x:f>
        <x:v>Hierarchical Active Inference</x:v>
      </x:c>
      <x:c r="D32" s="68" t="str">
        <x:f>'Research Tasks'!D32</x:f>
        <x:v>Define the multiscale latent clocks and messages</x:v>
      </x:c>
      <x:c r="E32" s="68" t="str">
        <x:f>'Research Tasks'!E32</x:f>
        <x:v>AI-101, AI-204</x:v>
      </x:c>
      <x:c r="F32" s="68" t="str">
        <x:v>Blocked</x:v>
      </x:c>
      <x:c r="G32" s="68" t="str">
        <x:f>'Research Tasks'!G32</x:f>
        <x:v>2 days</x:v>
      </x:c>
      <x:c r="H32" s="92" t="n">
        <x:f>'Research Tasks'!H32</x:f>
        <x:v>2</x:v>
      </x:c>
      <x:c r="I32" s="94" t="n">
        <x:f>'Research Tasks'!I32</x:f>
        <x:v>46321</x:v>
      </x:c>
      <x:c r="J32" s="94" t="n">
        <x:f>'Research Tasks'!J32</x:f>
        <x:v>46322</x:v>
      </x:c>
      <x:c r="K32" s="68" t="str">
        <x:f>'Research Tasks'!K32</x:f>
        <x:v>Pixel, mark, tile, passage, and painting levels have explicit probabilistic messages and persistence; canvas-wide wetness is prohibited and local interaction latents expire.</x:v>
      </x:c>
    </x:row>
    <x:row r="33" ht="38" customHeight="1">
      <x:c r="A33" s="68" t="str">
        <x:f>'Research Tasks'!A33</x:f>
        <x:v>AI-208</x:v>
      </x:c>
      <x:c r="B33" s="68" t="str">
        <x:f>'Research Tasks'!B33</x:f>
        <x:v>M2</x:v>
      </x:c>
      <x:c r="C33" s="68" t="str">
        <x:f>'Research Tasks'!C33</x:f>
        <x:v>Hierarchical Modeling</x:v>
      </x:c>
      <x:c r="D33" s="68" t="str">
        <x:f>'Research Tasks'!D33</x:f>
        <x:v>Make the global canvas latent predictively necessary</x:v>
      </x:c>
      <x:c r="E33" s="68" t="str">
        <x:f>'Research Tasks'!E33</x:f>
        <x:v>AI-206, AI-207</x:v>
      </x:c>
      <x:c r="F33" s="68" t="str">
        <x:v>Blocked</x:v>
      </x:c>
      <x:c r="G33" s="68" t="str">
        <x:f>'Research Tasks'!G33</x:f>
        <x:v>3-5 days</x:v>
      </x:c>
      <x:c r="H33" s="92" t="n">
        <x:f>'Research Tasks'!H33</x:f>
        <x:v>4</x:v>
      </x:c>
      <x:c r="I33" s="94" t="n">
        <x:f>'Research Tasks'!I33</x:f>
        <x:v>46323</x:v>
      </x:c>
      <x:c r="J33" s="94" t="n">
        <x:f>'Research Tasks'!J33</x:f>
        <x:v>46328</x:v>
      </x:c>
      <x:c r="K33" s="68" t="str">
        <x:f>'Research Tasks'!K33</x:f>
        <x:v>A tone/edge/mass-preserving hierarchy improves held-out future prediction, survives spatial interventions, and retains oblique/curved boundaries without square-cell artifacts.</x:v>
      </x:c>
    </x:row>
    <x:row r="34" ht="38" customHeight="1">
      <x:c r="A34" s="68" t="str">
        <x:f>'Research Tasks'!A34</x:f>
        <x:v>AI-209</x:v>
      </x:c>
      <x:c r="B34" s="68" t="str">
        <x:f>'Research Tasks'!B34</x:f>
        <x:v>M2</x:v>
      </x:c>
      <x:c r="C34" s="68" t="str">
        <x:f>'Research Tasks'!C34</x:f>
        <x:v>Relational Inference</x:v>
      </x:c>
      <x:c r="D34" s="68" t="str">
        <x:f>'Research Tasks'!D34</x:f>
        <x:v>Replace or demote deterministic relational beliefs</x:v>
      </x:c>
      <x:c r="E34" s="68" t="str">
        <x:f>'Research Tasks'!E34</x:f>
        <x:v>AI-207, AI-208</x:v>
      </x:c>
      <x:c r="F34" s="68" t="str">
        <x:v>Blocked</x:v>
      </x:c>
      <x:c r="G34" s="68" t="str">
        <x:f>'Research Tasks'!G34</x:f>
        <x:v>4-6 days</x:v>
      </x:c>
      <x:c r="H34" s="92" t="n">
        <x:f>'Research Tasks'!H34</x:f>
        <x:v>5</x:v>
      </x:c>
      <x:c r="I34" s="94" t="n">
        <x:f>'Research Tasks'!I34</x:f>
        <x:v>46329</x:v>
      </x:c>
      <x:c r="J34" s="94" t="n">
        <x:f>'Research Tasks'!J34</x:f>
        <x:v>46335</x:v>
      </x:c>
      <x:c r="K34" s="68" t="str">
        <x:f>'Research Tasks'!K34</x:f>
        <x:v>Region existence, assignment, and relations are uncertain, or deterministic slots are relabeled and their claims restricted.</x:v>
      </x:c>
    </x:row>
    <x:row r="35" ht="38" customHeight="1">
      <x:c r="A35" s="68" t="str">
        <x:f>'Research Tasks'!A35</x:f>
        <x:v>AI-210</x:v>
      </x:c>
      <x:c r="B35" s="68" t="str">
        <x:f>'Research Tasks'!B35</x:f>
        <x:v>M2</x:v>
      </x:c>
      <x:c r="C35" s="68" t="str">
        <x:f>'Research Tasks'!C35</x:f>
        <x:v>Hierarchical Inference/Validation</x:v>
      </x:c>
      <x:c r="D35" s="68" t="str">
        <x:f>'Research Tasks'!D35</x:f>
        <x:v>Validate slow-state temporal persistence</x:v>
      </x:c>
      <x:c r="E35" s="68" t="str">
        <x:f>'Research Tasks'!E35</x:f>
        <x:v>AI-207, AI-208, AI-209</x:v>
      </x:c>
      <x:c r="F35" s="68" t="str">
        <x:v>Blocked</x:v>
      </x:c>
      <x:c r="G35" s="68" t="str">
        <x:f>'Research Tasks'!G35</x:f>
        <x:v>2-3 days</x:v>
      </x:c>
      <x:c r="H35" s="92" t="n">
        <x:f>'Research Tasks'!H35</x:f>
        <x:v>3</x:v>
      </x:c>
      <x:c r="I35" s="94" t="n">
        <x:f>'Research Tasks'!I35</x:f>
        <x:v>46336</x:v>
      </x:c>
      <x:c r="J35" s="94" t="n">
        <x:f>'Research Tasks'!J35</x:f>
        <x:v>46338</x:v>
      </x:c>
      <x:c r="K35" s="68" t="str">
        <x:f>'Research Tasks'!K35</x:f>
        <x:v>Slow states predict later events beyond the current frame and pass freeze, shuffle, reset, and update-clock tests.</x:v>
      </x:c>
    </x:row>
    <x:row r="36" ht="38" customHeight="1">
      <x:c r="A36" s="68" t="str">
        <x:f>'Research Tasks'!A36</x:f>
        <x:v>AI-211</x:v>
      </x:c>
      <x:c r="B36" s="68" t="str">
        <x:f>'Research Tasks'!B36</x:f>
        <x:v>M2</x:v>
      </x:c>
      <x:c r="C36" s="68" t="str">
        <x:f>'Research Tasks'!C36</x:f>
        <x:v>Preferences</x:v>
      </x:c>
      <x:c r="D36" s="68" t="str">
        <x:f>'Research Tasks'!D36</x:f>
        <x:v>Implement the M1 structural-preference decision</x:v>
      </x:c>
      <x:c r="E36" s="68" t="str">
        <x:f>'Research Tasks'!E36</x:f>
        <x:v>AI-110, AI-208, AI-210</x:v>
      </x:c>
      <x:c r="F36" s="68" t="str">
        <x:v>Blocked</x:v>
      </x:c>
      <x:c r="G36" s="68" t="str">
        <x:f>'Research Tasks'!G36</x:f>
        <x:v>2-4 days</x:v>
      </x:c>
      <x:c r="H36" s="92" t="n">
        <x:f>'Research Tasks'!H36</x:f>
        <x:v>3</x:v>
      </x:c>
      <x:c r="I36" s="94" t="n">
        <x:f>'Research Tasks'!I36</x:f>
        <x:v>46339</x:v>
      </x:c>
      <x:c r="J36" s="94" t="n">
        <x:f>'Research Tasks'!J36</x:f>
        <x:v>46343</x:v>
      </x:c>
      <x:c r="K36" s="68" t="str">
        <x:f>'Research Tasks'!K36</x:f>
        <x:v>Only the approved structural preference is enabled, separately logged, tested for self-reinforcement, and paired with a zero-preference ablation.</x:v>
      </x:c>
    </x:row>
    <x:row r="37" ht="38" customHeight="1">
      <x:c r="A37" s="68" t="str">
        <x:f>'Research Tasks'!A37</x:f>
        <x:v>AI-212</x:v>
      </x:c>
      <x:c r="B37" s="68" t="str">
        <x:f>'Research Tasks'!B37</x:f>
        <x:v>M2</x:v>
      </x:c>
      <x:c r="C37" s="68" t="str">
        <x:f>'Research Tasks'!C37</x:f>
        <x:v>Continual Learning</x:v>
      </x:c>
      <x:c r="D37" s="68" t="str">
        <x:f>'Research Tasks'!D37</x:f>
        <x:v>Separate shared pretraining from individual development</x:v>
      </x:c>
      <x:c r="E37" s="68" t="str">
        <x:f>'Research Tasks'!E37</x:f>
        <x:v>AI-112, AI-205, AI-210</x:v>
      </x:c>
      <x:c r="F37" s="68" t="str">
        <x:v>Blocked</x:v>
      </x:c>
      <x:c r="G37" s="68" t="str">
        <x:f>'Research Tasks'!G37</x:f>
        <x:v>2-3 days</x:v>
      </x:c>
      <x:c r="H37" s="92" t="n">
        <x:f>'Research Tasks'!H37</x:f>
        <x:v>3</x:v>
      </x:c>
      <x:c r="I37" s="94" t="n">
        <x:f>'Research Tasks'!I37</x:f>
        <x:v>46344</x:v>
      </x:c>
      <x:c r="J37" s="94" t="n">
        <x:f>'Research Tasks'!J37</x:f>
        <x:v>46346</x:v>
      </x:c>
      <x:c r="K37" s="68" t="str">
        <x:f>'Research Tasks'!K37</x:f>
        <x:v>Shared low-level parameters may pool data while every agent retains separate posteriors, histories, slow states, and online adaptation records.</x:v>
      </x:c>
    </x:row>
    <x:row r="38" ht="38" customHeight="1">
      <x:c r="A38" s="68" t="str">
        <x:f>'Research Tasks'!A38</x:f>
        <x:v>AI-213</x:v>
      </x:c>
      <x:c r="B38" s="68" t="str">
        <x:f>'Research Tasks'!B38</x:f>
        <x:v>M2</x:v>
      </x:c>
      <x:c r="C38" s="68" t="str">
        <x:f>'Research Tasks'!C38</x:f>
        <x:v>Performance/Data</x:v>
      </x:c>
      <x:c r="D38" s="68" t="str">
        <x:f>'Research Tasks'!D38</x:f>
        <x:v>Build the affordable parallel data and training path</x:v>
      </x:c>
      <x:c r="E38" s="68" t="str">
        <x:f>'Research Tasks'!E38</x:f>
        <x:v>AI-113, AI-205, AI-212</x:v>
      </x:c>
      <x:c r="F38" s="68" t="str">
        <x:v>Blocked</x:v>
      </x:c>
      <x:c r="G38" s="68" t="str">
        <x:f>'Research Tasks'!G38</x:f>
        <x:v>3-5 days</x:v>
      </x:c>
      <x:c r="H38" s="92" t="n">
        <x:f>'Research Tasks'!H38</x:f>
        <x:v>4</x:v>
      </x:c>
      <x:c r="I38" s="94" t="n">
        <x:f>'Research Tasks'!I38</x:f>
        <x:v>46349</x:v>
      </x:c>
      <x:c r="J38" s="94" t="n">
        <x:f>'Research Tasks'!J38</x:f>
        <x:v>46352</x:v>
      </x:c>
      <x:c r="K38" s="68" t="str">
        <x:f>'Research Tasks'!K38</x:f>
        <x:v>Parallel lower-level experience and batched training improve throughput without contaminating test data or canonical development.</x:v>
      </x:c>
    </x:row>
    <x:row r="39" ht="38" customHeight="1">
      <x:c r="A39" s="68" t="str">
        <x:f>'Research Tasks'!A39</x:f>
        <x:v>AI-214</x:v>
      </x:c>
      <x:c r="B39" s="68" t="str">
        <x:f>'Research Tasks'!B39</x:f>
        <x:v>M2</x:v>
      </x:c>
      <x:c r="C39" s="68" t="str">
        <x:f>'Research Tasks'!C39</x:f>
        <x:v>Feasibility/Modeling</x:v>
      </x:c>
      <x:c r="D39" s="68" t="str">
        <x:f>'Research Tasks'!D39</x:f>
        <x:v>Evaluate model size and pretrained readiness</x:v>
      </x:c>
      <x:c r="E39" s="68" t="str">
        <x:f>'Research Tasks'!E39</x:f>
        <x:v>AI-109, AI-204, AI-208, AI-213</x:v>
      </x:c>
      <x:c r="F39" s="68" t="str">
        <x:v>Blocked</x:v>
      </x:c>
      <x:c r="G39" s="68" t="str">
        <x:f>'Research Tasks'!G39</x:f>
        <x:v>2-3 days</x:v>
      </x:c>
      <x:c r="H39" s="92" t="n">
        <x:f>'Research Tasks'!H39</x:f>
        <x:v>3</x:v>
      </x:c>
      <x:c r="I39" s="94" t="n">
        <x:f>'Research Tasks'!I39</x:f>
        <x:v>46353</x:v>
      </x:c>
      <x:c r="J39" s="94" t="n">
        <x:f>'Research Tasks'!J39</x:f>
        <x:v>46357</x:v>
      </x:c>
      <x:c r="K39" s="68" t="str">
        <x:f>'Research Tasks'!K39</x:f>
        <x:v>Learning curves, latency, memory, cost, and a narrow frozen-feature adapter define whether larger or pretrained perception is justified.</x:v>
      </x:c>
    </x:row>
    <x:row r="40" ht="38" customHeight="1">
      <x:c r="A40" s="68" t="str">
        <x:f>'Research Tasks'!A40</x:f>
        <x:v>AI-215</x:v>
      </x:c>
      <x:c r="B40" s="68" t="str">
        <x:f>'Research Tasks'!B40</x:f>
        <x:v>M2</x:v>
      </x:c>
      <x:c r="C40" s="68" t="str">
        <x:f>'Research Tasks'!C40</x:f>
        <x:v>Validation</x:v>
      </x:c>
      <x:c r="D40" s="68" t="str">
        <x:f>'Research Tasks'!D40</x:f>
        <x:v>Run the M2 capability-gate suite</x:v>
      </x:c>
      <x:c r="E40" s="68" t="str">
        <x:f>'Research Tasks'!E40</x:f>
        <x:v>AI-203, AI-204, AI-206, AI-208, AI-209, AI-210, AI-211, AI-212</x:v>
      </x:c>
      <x:c r="F40" s="68" t="str">
        <x:v>Blocked</x:v>
      </x:c>
      <x:c r="G40" s="68" t="str">
        <x:f>'Research Tasks'!G40</x:f>
        <x:v>3 days</x:v>
      </x:c>
      <x:c r="H40" s="92" t="n">
        <x:f>'Research Tasks'!H40</x:f>
        <x:v>3</x:v>
      </x:c>
      <x:c r="I40" s="94" t="n">
        <x:f>'Research Tasks'!I40</x:f>
        <x:v>46358</x:v>
      </x:c>
      <x:c r="J40" s="94" t="n">
        <x:f>'Research Tasks'!J40</x:f>
        <x:v>46360</x:v>
      </x:c>
      <x:c r="K40" s="68" t="str">
        <x:f>'Research Tasks'!K40</x:f>
        <x:v>Observation, local prediction, embodiment, relational representation, and temporal-persistence gates pass under sensor-equivalent input.</x:v>
      </x:c>
    </x:row>
    <x:row r="41" ht="38" customHeight="1">
      <x:c r="A41" s="68" t="str">
        <x:f>'Research Tasks'!A41</x:f>
        <x:v>AI-216</x:v>
      </x:c>
      <x:c r="B41" s="68" t="str">
        <x:f>'Research Tasks'!B41</x:f>
        <x:v>M2</x:v>
      </x:c>
      <x:c r="C41" s="68" t="str">
        <x:f>'Research Tasks'!C41</x:f>
        <x:v>Validation</x:v>
      </x:c>
      <x:c r="D41" s="68" t="str">
        <x:f>'Research Tasks'!D41</x:f>
        <x:v>M2 lock decision</x:v>
      </x:c>
      <x:c r="E41" s="68" t="str">
        <x:f>'Research Tasks'!E41</x:f>
        <x:v>AI-215</x:v>
      </x:c>
      <x:c r="F41" s="68" t="str">
        <x:v>Blocked</x:v>
      </x:c>
      <x:c r="G41" s="68" t="str">
        <x:f>'Research Tasks'!G41</x:f>
        <x:v>0.5 day</x:v>
      </x:c>
      <x:c r="H41" s="92" t="n">
        <x:f>'Research Tasks'!H41</x:f>
        <x:v>1</x:v>
      </x:c>
      <x:c r="I41" s="94" t="n">
        <x:f>'Research Tasks'!I41</x:f>
        <x:v>46363</x:v>
      </x:c>
      <x:c r="J41" s="94" t="n">
        <x:f>'Research Tasks'!J41</x:f>
        <x:v>46363</x:v>
      </x:c>
      <x:c r="K41" s="68" t="str">
        <x:f>'Research Tasks'!K41</x:f>
        <x:v>Sensor-equivalent inference, calibrated dynamics, multiscale uncertainty, temporal persistence, and preference status are accepted before M3.</x:v>
      </x:c>
    </x:row>
    <x:row r="42" ht="38" customHeight="1">
      <x:c r="A42" s="68" t="str">
        <x:f>'Research Tasks'!A42</x:f>
        <x:v>AI-301</x:v>
      </x:c>
      <x:c r="B42" s="68" t="str">
        <x:f>'Research Tasks'!B42</x:f>
        <x:v>M3</x:v>
      </x:c>
      <x:c r="C42" s="68" t="str">
        <x:f>'Research Tasks'!C42</x:f>
        <x:v>Active Vision/Generative Process</x:v>
      </x:c>
      <x:c r="D42" s="68" t="str">
        <x:f>'Research Tasks'!D42</x:f>
        <x:v>Specify the foveated generative process</x:v>
      </x:c>
      <x:c r="E42" s="68" t="str">
        <x:f>'Research Tasks'!E42</x:f>
        <x:v>M2</x:v>
      </x:c>
      <x:c r="F42" s="68" t="str">
        <x:v>Blocked</x:v>
      </x:c>
      <x:c r="G42" s="68" t="str">
        <x:f>'Research Tasks'!G42</x:f>
        <x:v>2-3 days</x:v>
      </x:c>
      <x:c r="H42" s="92" t="n">
        <x:f>'Research Tasks'!H42</x:f>
        <x:v>3</x:v>
      </x:c>
      <x:c r="I42" s="94" t="n">
        <x:f>'Research Tasks'!I42</x:f>
        <x:v>46370</x:v>
      </x:c>
      <x:c r="J42" s="94" t="n">
        <x:f>'Research Tasks'!J42</x:f>
        <x:v>46372</x:v>
      </x:c>
      <x:c r="K42" s="68" t="str">
        <x:f>'Research Tasks'!K42</x:f>
        <x:v>Gaze state, sensor geometry, fovea, periphery, rates, latency, uncertainty, and accessible samples are explicitly defined.</x:v>
      </x:c>
    </x:row>
    <x:row r="43" ht="38" customHeight="1">
      <x:c r="A43" s="68" t="str">
        <x:f>'Research Tasks'!A43</x:f>
        <x:v>AI-302</x:v>
      </x:c>
      <x:c r="B43" s="68" t="str">
        <x:f>'Research Tasks'!B43</x:f>
        <x:v>M3</x:v>
      </x:c>
      <x:c r="C43" s="68" t="str">
        <x:f>'Research Tasks'!C43</x:f>
        <x:v>Active Vision/Sensors</x:v>
      </x:c>
      <x:c r="D43" s="68" t="str">
        <x:f>'Research Tasks'!D43</x:f>
        <x:v>Implement foveal and peripheral observations</x:v>
      </x:c>
      <x:c r="E43" s="68" t="str">
        <x:f>'Research Tasks'!E43</x:f>
        <x:v>AI-301, AI-202</x:v>
      </x:c>
      <x:c r="F43" s="68" t="str">
        <x:v>Blocked</x:v>
      </x:c>
      <x:c r="G43" s="68" t="str">
        <x:f>'Research Tasks'!G43</x:f>
        <x:v>3-5 days</x:v>
      </x:c>
      <x:c r="H43" s="92" t="n">
        <x:f>'Research Tasks'!H43</x:f>
        <x:v>4</x:v>
      </x:c>
      <x:c r="I43" s="94" t="n">
        <x:f>'Research Tasks'!I43</x:f>
        <x:v>46373</x:v>
      </x:c>
      <x:c r="J43" s="94" t="n">
        <x:f>'Research Tasks'!J43</x:f>
        <x:v>46378</x:v>
      </x:c>
      <x:c r="K43" s="68" t="str">
        <x:f>'Research Tasks'!K43</x:f>
        <x:v>Active, random, and uniform observation modes share one image process without leaking unsampled detail.</x:v>
      </x:c>
    </x:row>
    <x:row r="44" ht="38" customHeight="1">
      <x:c r="A44" s="68" t="str">
        <x:f>'Research Tasks'!A44</x:f>
        <x:v>AI-303</x:v>
      </x:c>
      <x:c r="B44" s="68" t="str">
        <x:f>'Research Tasks'!B44</x:f>
        <x:v>M3</x:v>
      </x:c>
      <x:c r="C44" s="68" t="str">
        <x:f>'Research Tasks'!C44</x:f>
        <x:v>Variational Inference</x:v>
      </x:c>
      <x:c r="D44" s="68" t="str">
        <x:f>'Research Tasks'!D44</x:f>
        <x:v>Maintain beliefs under partial observation</x:v>
      </x:c>
      <x:c r="E44" s="68" t="str">
        <x:f>'Research Tasks'!E44</x:f>
        <x:v>AI-204, AI-302</x:v>
      </x:c>
      <x:c r="F44" s="68" t="str">
        <x:v>Blocked</x:v>
      </x:c>
      <x:c r="G44" s="68" t="str">
        <x:f>'Research Tasks'!G44</x:f>
        <x:v>4-6 days</x:v>
      </x:c>
      <x:c r="H44" s="92" t="n">
        <x:f>'Research Tasks'!H44</x:f>
        <x:v>5</x:v>
      </x:c>
      <x:c r="I44" s="94" t="n">
        <x:f>'Research Tasks'!I44</x:f>
        <x:v>46379</x:v>
      </x:c>
      <x:c r="J44" s="94" t="n">
        <x:f>'Research Tasks'!J44</x:f>
        <x:v>46385</x:v>
      </x:c>
      <x:c r="K44" s="68" t="str">
        <x:f>'Research Tasks'!K44</x:f>
        <x:v>Foveated likelihood updates and unobserved transition uncertainty produce calibrated partial-observation posteriors.</x:v>
      </x:c>
    </x:row>
    <x:row r="45" ht="38" customHeight="1">
      <x:c r="A45" s="68" t="str">
        <x:f>'Research Tasks'!A45</x:f>
        <x:v>AI-304</x:v>
      </x:c>
      <x:c r="B45" s="68" t="str">
        <x:f>'Research Tasks'!B45</x:f>
        <x:v>M3</x:v>
      </x:c>
      <x:c r="C45" s="68" t="str">
        <x:f>'Research Tasks'!C45</x:f>
        <x:v>Active Inference/Policy</x:v>
      </x:c>
      <x:c r="D45" s="68" t="str">
        <x:f>'Research Tasks'!D45</x:f>
        <x:v>Define gaze policies and their EFE</x:v>
      </x:c>
      <x:c r="E45" s="68" t="str">
        <x:f>'Research Tasks'!E45</x:f>
        <x:v>AI-105, AI-303</x:v>
      </x:c>
      <x:c r="F45" s="68" t="str">
        <x:v>Blocked</x:v>
      </x:c>
      <x:c r="G45" s="68" t="str">
        <x:f>'Research Tasks'!G45</x:f>
        <x:v>3-5 days</x:v>
      </x:c>
      <x:c r="H45" s="92" t="n">
        <x:f>'Research Tasks'!H45</x:f>
        <x:v>4</x:v>
      </x:c>
      <x:c r="I45" s="94" t="n">
        <x:f>'Research Tasks'!I45</x:f>
        <x:v>46386</x:v>
      </x:c>
      <x:c r="J45" s="94" t="n">
        <x:f>'Research Tasks'!J45</x:f>
        <x:v>46391</x:v>
      </x:c>
      <x:c r="K45" s="68" t="str">
        <x:f>'Research Tasks'!K45</x:f>
        <x:v>Gaze risk, ambiguity, and information gain are derived, separately logged, and resolve controlled reducible ambiguity without saliency rewards.</x:v>
      </x:c>
    </x:row>
    <x:row r="46" ht="38" customHeight="1">
      <x:c r="A46" s="68" t="str">
        <x:f>'Research Tasks'!A46</x:f>
        <x:v>AI-305</x:v>
      </x:c>
      <x:c r="B46" s="68" t="str">
        <x:f>'Research Tasks'!B46</x:f>
        <x:v>M3</x:v>
      </x:c>
      <x:c r="C46" s="68" t="str">
        <x:f>'Research Tasks'!C46</x:f>
        <x:v>Hierarchical Active Inference</x:v>
      </x:c>
      <x:c r="D46" s="68" t="str">
        <x:f>'Research Tasks'!D46</x:f>
        <x:v>Factor gaze, mark, passage, and motor policies</x:v>
      </x:c>
      <x:c r="E46" s="68" t="str">
        <x:f>'Research Tasks'!E46</x:f>
        <x:v>AI-207, AI-304</x:v>
      </x:c>
      <x:c r="F46" s="68" t="str">
        <x:v>Blocked</x:v>
      </x:c>
      <x:c r="G46" s="68" t="str">
        <x:f>'Research Tasks'!G46</x:f>
        <x:v>4-6 days</x:v>
      </x:c>
      <x:c r="H46" s="92" t="n">
        <x:f>'Research Tasks'!H46</x:f>
        <x:v>5</x:v>
      </x:c>
      <x:c r="I46" s="94" t="n">
        <x:f>'Research Tasks'!I46</x:f>
        <x:v>46392</x:v>
      </x:c>
      <x:c r="J46" s="94" t="n">
        <x:f>'Research Tasks'!J46</x:f>
        <x:v>46398</x:v>
      </x:c>
      <x:c r="K46" s="68" t="str">
        <x:f>'Research Tasks'!K46</x:f>
        <x:v>Temporal levels exchange declared priors and evidence while low-level control and hard safety remain outside painting-policy inference.</x:v>
      </x:c>
    </x:row>
    <x:row r="47" ht="38" customHeight="1">
      <x:c r="A47" s="68" t="str">
        <x:f>'Research Tasks'!A47</x:f>
        <x:v>AI-306</x:v>
      </x:c>
      <x:c r="B47" s="68" t="str">
        <x:f>'Research Tasks'!B47</x:f>
        <x:v>M3</x:v>
      </x:c>
      <x:c r="C47" s="68" t="str">
        <x:f>'Research Tasks'!C47</x:f>
        <x:v>Policy Inference/Approximation</x:v>
      </x:c>
      <x:c r="D47" s="68" t="str">
        <x:f>'Research Tasks'!D47</x:f>
        <x:v>Correct finite-proposal policy inference</x:v>
      </x:c>
      <x:c r="E47" s="68" t="str">
        <x:f>'Research Tasks'!E47</x:f>
        <x:v>AI-111, AI-305</x:v>
      </x:c>
      <x:c r="F47" s="68" t="str">
        <x:v>Blocked</x:v>
      </x:c>
      <x:c r="G47" s="68" t="str">
        <x:f>'Research Tasks'!G47</x:f>
        <x:v>3-5 days</x:v>
      </x:c>
      <x:c r="H47" s="92" t="n">
        <x:f>'Research Tasks'!H47</x:f>
        <x:v>4</x:v>
      </x:c>
      <x:c r="I47" s="94" t="n">
        <x:f>'Research Tasks'!I47</x:f>
        <x:v>46399</x:v>
      </x:c>
      <x:c r="J47" s="94" t="n">
        <x:f>'Research Tasks'!J47</x:f>
        <x:v>46402</x:v>
      </x:c>
      <x:c r="K47" s="68" t="str">
        <x:f>'Research Tasks'!K47</x:f>
        <x:v>Proposal density and policy prior are distinct, immediate stop retains support, and finite-budget posterior bias is measured.</x:v>
      </x:c>
    </x:row>
    <x:row r="48" ht="38" customHeight="1">
      <x:c r="A48" s="68" t="str">
        <x:f>'Research Tasks'!A48</x:f>
        <x:v>AI-307</x:v>
      </x:c>
      <x:c r="B48" s="68" t="str">
        <x:f>'Research Tasks'!B48</x:f>
        <x:v>M3</x:v>
      </x:c>
      <x:c r="C48" s="68" t="str">
        <x:f>'Research Tasks'!C48</x:f>
        <x:v>Priors/Embodiment</x:v>
      </x:c>
      <x:c r="D48" s="68" t="str">
        <x:f>'Research Tasks'!D48</x:f>
        <x:v>Replace hand-shaped continuity scores with transition priors</x:v>
      </x:c>
      <x:c r="E48" s="68" t="str">
        <x:f>'Research Tasks'!E48</x:f>
        <x:v>AI-101, AI-305</x:v>
      </x:c>
      <x:c r="F48" s="68" t="str">
        <x:v>Blocked</x:v>
      </x:c>
      <x:c r="G48" s="68" t="str">
        <x:f>'Research Tasks'!G48</x:f>
        <x:v>2-3 days</x:v>
      </x:c>
      <x:c r="H48" s="92" t="n">
        <x:f>'Research Tasks'!H48</x:f>
        <x:v>3</x:v>
      </x:c>
      <x:c r="I48" s="94" t="n">
        <x:f>'Research Tasks'!I48</x:f>
        <x:v>46405</x:v>
      </x:c>
      <x:c r="J48" s="94" t="n">
        <x:f>'Research Tasks'!J48</x:f>
        <x:v>46407</x:v>
      </x:c>
      <x:c r="K48" s="68" t="str">
        <x:f>'Research Tasks'!K48</x:f>
        <x:v>Retained continuity effects are conditional trajectory priors or transitions with a flat-prior ablation, not aesthetic scores.</x:v>
      </x:c>
    </x:row>
    <x:row r="49" ht="38" customHeight="1">
      <x:c r="A49" s="68" t="str">
        <x:f>'Research Tasks'!A49</x:f>
        <x:v>AI-308</x:v>
      </x:c>
      <x:c r="B49" s="68" t="str">
        <x:f>'Research Tasks'!B49</x:f>
        <x:v>M3</x:v>
      </x:c>
      <x:c r="C49" s="68" t="str">
        <x:f>'Research Tasks'!C49</x:f>
        <x:v>Embodied Active Inference</x:v>
      </x:c>
      <x:c r="D49" s="68" t="str">
        <x:f>'Research Tasks'!D49</x:f>
        <x:v>Formalize bodily viability and energy preferences</x:v>
      </x:c>
      <x:c r="E49" s="68" t="str">
        <x:f>'Research Tasks'!E49</x:f>
        <x:v>AI-105, AI-205, AI-305</x:v>
      </x:c>
      <x:c r="F49" s="68" t="str">
        <x:v>Blocked</x:v>
      </x:c>
      <x:c r="G49" s="68" t="str">
        <x:f>'Research Tasks'!G49</x:f>
        <x:v>3-5 days</x:v>
      </x:c>
      <x:c r="H49" s="92" t="n">
        <x:f>'Research Tasks'!H49</x:f>
        <x:v>4</x:v>
      </x:c>
      <x:c r="I49" s="94" t="n">
        <x:f>'Research Tasks'!I49</x:f>
        <x:v>46408</x:v>
      </x:c>
      <x:c r="J49" s="94" t="n">
        <x:f>'Research Tasks'!J49</x:f>
        <x:v>46413</x:v>
      </x:c>
      <x:c r="K49" s="68" t="str">
        <x:f>'Research Tasks'!K49</x:f>
        <x:v>Observable current, temperature, limits, contact, and tracking outcomes have declared priors separate from hard safety and avoid trivial inactivity.</x:v>
      </x:c>
    </x:row>
    <x:row r="50" ht="38" customHeight="1">
      <x:c r="A50" s="68" t="str">
        <x:f>'Research Tasks'!A50</x:f>
        <x:v>AI-309</x:v>
      </x:c>
      <x:c r="B50" s="68" t="str">
        <x:f>'Research Tasks'!B50</x:f>
        <x:v>M3</x:v>
      </x:c>
      <x:c r="C50" s="68" t="str">
        <x:f>'Research Tasks'!C50</x:f>
        <x:v>Active Inference/Validation</x:v>
      </x:c>
      <x:c r="D50" s="68" t="str">
        <x:f>'Research Tasks'!D50</x:f>
        <x:v>Test whether epistemic action is informative or pathological</x:v>
      </x:c>
      <x:c r="E50" s="68" t="str">
        <x:f>'Research Tasks'!E50</x:f>
        <x:v>AI-304, AI-308</x:v>
      </x:c>
      <x:c r="F50" s="68" t="str">
        <x:v>Blocked</x:v>
      </x:c>
      <x:c r="G50" s="68" t="str">
        <x:f>'Research Tasks'!G50</x:f>
        <x:v>3-4 days</x:v>
      </x:c>
      <x:c r="H50" s="92" t="n">
        <x:f>'Research Tasks'!H50</x:f>
        <x:v>4</x:v>
      </x:c>
      <x:c r="I50" s="94" t="n">
        <x:f>'Research Tasks'!I50</x:f>
        <x:v>46414</x:v>
      </x:c>
      <x:c r="J50" s="94" t="n">
        <x:f>'Research Tasks'!J50</x:f>
        <x:v>46419</x:v>
      </x:c>
      <x:c r="K50" s="68" t="str">
        <x:f>'Research Tasks'!K50</x:f>
        <x:v>Ambiguity, noise, misspecification, unreachable state, repeat-fixation, and model-hacking fixtures separate reducible information from novelty.</x:v>
      </x:c>
    </x:row>
    <x:row r="51" ht="38" customHeight="1">
      <x:c r="A51" s="68" t="str">
        <x:f>'Research Tasks'!A51</x:f>
        <x:v>AI-310</x:v>
      </x:c>
      <x:c r="B51" s="68" t="str">
        <x:f>'Research Tasks'!B51</x:f>
        <x:v>M3</x:v>
      </x:c>
      <x:c r="C51" s="68" t="str">
        <x:f>'Research Tasks'!C51</x:f>
        <x:v>Hierarchical Inference/Validation</x:v>
      </x:c>
      <x:c r="D51" s="68" t="str">
        <x:f>'Research Tasks'!D51</x:f>
        <x:v>Make passage and painting timescales causally testable</x:v>
      </x:c>
      <x:c r="E51" s="68" t="str">
        <x:f>'Research Tasks'!E51</x:f>
        <x:v>AI-210, AI-305</x:v>
      </x:c>
      <x:c r="F51" s="68" t="str">
        <x:v>Blocked</x:v>
      </x:c>
      <x:c r="G51" s="68" t="str">
        <x:f>'Research Tasks'!G51</x:f>
        <x:v>3-5 days</x:v>
      </x:c>
      <x:c r="H51" s="92" t="n">
        <x:f>'Research Tasks'!H51</x:f>
        <x:v>4</x:v>
      </x:c>
      <x:c r="I51" s="94" t="n">
        <x:f>'Research Tasks'!I51</x:f>
        <x:v>46420</x:v>
      </x:c>
      <x:c r="J51" s="94" t="n">
        <x:f>'Research Tasks'!J51</x:f>
        <x:v>46423</x:v>
      </x:c>
      <x:c r="K51" s="68" t="str">
        <x:f>'Research Tasks'!K51</x:f>
        <x:v>Freeze, shuffle, reset, and substitution interventions establish whether slow states causally affect later prediction and policy.</x:v>
      </x:c>
    </x:row>
    <x:row r="52" ht="38" customHeight="1">
      <x:c r="A52" s="68" t="str">
        <x:f>'Research Tasks'!A52</x:f>
        <x:v>AI-311</x:v>
      </x:c>
      <x:c r="B52" s="68" t="str">
        <x:f>'Research Tasks'!B52</x:f>
        <x:v>M3</x:v>
      </x:c>
      <x:c r="C52" s="68" t="str">
        <x:f>'Research Tasks'!C52</x:f>
        <x:v>Performance/Inference</x:v>
      </x:c>
      <x:c r="D52" s="68" t="str">
        <x:f>'Research Tasks'!D52</x:f>
        <x:v>Parallelize counterfactual rollout without changing the agent</x:v>
      </x:c>
      <x:c r="E52" s="68" t="str">
        <x:f>'Research Tasks'!E52</x:f>
        <x:v>AI-113, AI-206, AI-305</x:v>
      </x:c>
      <x:c r="F52" s="68" t="str">
        <x:v>Blocked</x:v>
      </x:c>
      <x:c r="G52" s="68" t="str">
        <x:f>'Research Tasks'!G52</x:f>
        <x:v>3-6 days</x:v>
      </x:c>
      <x:c r="H52" s="92" t="n">
        <x:f>'Research Tasks'!H52</x:f>
        <x:v>5</x:v>
      </x:c>
      <x:c r="I52" s="94" t="n">
        <x:f>'Research Tasks'!I52</x:f>
        <x:v>46426</x:v>
      </x:c>
      <x:c r="J52" s="94" t="n">
        <x:f>'Research Tasks'!J52</x:f>
        <x:v>46430</x:v>
      </x:c>
      <x:c r="K52" s="68" t="str">
        <x:f>'Research Tasks'!K52</x:f>
        <x:v>Concurrent policy and motor particles preserve equations, seeds, marginalization, and replay boundaries while reducing measured wall time.</x:v>
      </x:c>
    </x:row>
    <x:row r="53" ht="38" customHeight="1">
      <x:c r="A53" s="68" t="str">
        <x:f>'Research Tasks'!A53</x:f>
        <x:v>AI-312</x:v>
      </x:c>
      <x:c r="B53" s="68" t="str">
        <x:f>'Research Tasks'!B53</x:f>
        <x:v>M3</x:v>
      </x:c>
      <x:c r="C53" s="68" t="str">
        <x:f>'Research Tasks'!C53</x:f>
        <x:v>Research Design</x:v>
      </x:c>
      <x:c r="D53" s="68" t="str">
        <x:f>'Research Tasks'!D53</x:f>
        <x:v>Define the single-agent developmental protocol</x:v>
      </x:c>
      <x:c r="E53" s="68" t="str">
        <x:f>'Research Tasks'!E53</x:f>
        <x:v>AI-112, AI-212, AI-305</x:v>
      </x:c>
      <x:c r="F53" s="68" t="str">
        <x:v>Blocked</x:v>
      </x:c>
      <x:c r="G53" s="68" t="str">
        <x:f>'Research Tasks'!G53</x:f>
        <x:v>2 days</x:v>
      </x:c>
      <x:c r="H53" s="92" t="n">
        <x:f>'Research Tasks'!H53</x:f>
        <x:v>2</x:v>
      </x:c>
      <x:c r="I53" s="94" t="n">
        <x:f>'Research Tasks'!I53</x:f>
        <x:v>46433</x:v>
      </x:c>
      <x:c r="J53" s="94" t="n">
        <x:f>'Research Tasks'!J53</x:f>
        <x:v>46434</x:v>
      </x:c>
      <x:c r="K53" s="68" t="str">
        <x:f>'Research Tasks'!K53</x:f>
        <x:v>Inherited parameters, individual beliefs, replay, histories, independent replicas, and online persistence have explicit experimental rules.</x:v>
      </x:c>
    </x:row>
    <x:row r="54" ht="38" customHeight="1">
      <x:c r="A54" s="68" t="str">
        <x:f>'Research Tasks'!A54</x:f>
        <x:v>AI-313</x:v>
      </x:c>
      <x:c r="B54" s="68" t="str">
        <x:f>'Research Tasks'!B54</x:f>
        <x:v>M3</x:v>
      </x:c>
      <x:c r="C54" s="68" t="str">
        <x:f>'Research Tasks'!C54</x:f>
        <x:v>Research Experiments</x:v>
      </x:c>
      <x:c r="D54" s="68" t="str">
        <x:f>'Research Tasks'!D54</x:f>
        <x:v>Run the core foveation and hierarchy ablations</x:v>
      </x:c>
      <x:c r="E54" s="68" t="str">
        <x:f>'Research Tasks'!E54</x:f>
        <x:v>AI-306, AI-307, AI-308, AI-309, AI-310, AI-312</x:v>
      </x:c>
      <x:c r="F54" s="68" t="str">
        <x:v>Blocked</x:v>
      </x:c>
      <x:c r="G54" s="68" t="str">
        <x:f>'Research Tasks'!G54</x:f>
        <x:v>5-8 days</x:v>
      </x:c>
      <x:c r="H54" s="92" t="n">
        <x:f>'Research Tasks'!H54</x:f>
        <x:v>7</x:v>
      </x:c>
      <x:c r="I54" s="94" t="n">
        <x:f>'Research Tasks'!I54</x:f>
        <x:v>46435</x:v>
      </x:c>
      <x:c r="J54" s="94" t="n">
        <x:f>'Research Tasks'!J54</x:f>
        <x:v>46443</x:v>
      </x:c>
      <x:c r="K54" s="68" t="str">
        <x:f>'Research Tasks'!K54</x:f>
        <x:v>Matched foveation, hierarchy, timescale, embodiment, uncertainty, and passage ablations report mechanism measures and complete artifacts.</x:v>
      </x:c>
    </x:row>
    <x:row r="55" ht="38" customHeight="1">
      <x:c r="A55" s="68" t="str">
        <x:f>'Research Tasks'!A55</x:f>
        <x:v>AI-314</x:v>
      </x:c>
      <x:c r="B55" s="68" t="str">
        <x:f>'Research Tasks'!B55</x:f>
        <x:v>M3</x:v>
      </x:c>
      <x:c r="C55" s="68" t="str">
        <x:f>'Research Tasks'!C55</x:f>
        <x:v>Perception/Feasibility</x:v>
      </x:c>
      <x:c r="D55" s="68" t="str">
        <x:f>'Research Tasks'!D55</x:f>
        <x:v>Evaluate frozen pretrained perception only after baseline</x:v>
      </x:c>
      <x:c r="E55" s="68" t="str">
        <x:f>'Research Tasks'!E55</x:f>
        <x:v>AI-214, AI-313</x:v>
      </x:c>
      <x:c r="F55" s="68" t="str">
        <x:v>Blocked</x:v>
      </x:c>
      <x:c r="G55" s="68" t="str">
        <x:f>'Research Tasks'!G55</x:f>
        <x:v>4-7 days</x:v>
      </x:c>
      <x:c r="H55" s="92" t="n">
        <x:f>'Research Tasks'!H55</x:f>
        <x:v>6</x:v>
      </x:c>
      <x:c r="I55" s="94" t="n">
        <x:f>'Research Tasks'!I55</x:f>
        <x:v>46444</x:v>
      </x:c>
      <x:c r="J55" s="94" t="n">
        <x:f>'Research Tasks'!J55</x:f>
        <x:v>46451</x:v>
      </x:c>
      <x:c r="K55" s="68" t="str">
        <x:f>'Research Tasks'!K55</x:f>
        <x:v>At most two frozen encoders are compared through the same probabilistic adapter, data split, and metrics without pretrained policy or aesthetic scores.</x:v>
      </x:c>
    </x:row>
    <x:row r="56" ht="38" customHeight="1">
      <x:c r="A56" s="68" t="str">
        <x:f>'Research Tasks'!A56</x:f>
        <x:v>AI-315</x:v>
      </x:c>
      <x:c r="B56" s="68" t="str">
        <x:f>'Research Tasks'!B56</x:f>
        <x:v>M3</x:v>
      </x:c>
      <x:c r="C56" s="68" t="str">
        <x:f>'Research Tasks'!C56</x:f>
        <x:v>Validation</x:v>
      </x:c>
      <x:c r="D56" s="68" t="str">
        <x:f>'Research Tasks'!D56</x:f>
        <x:v>Run the M3 capability-gate suite</x:v>
      </x:c>
      <x:c r="E56" s="68" t="str">
        <x:f>'Research Tasks'!E56</x:f>
        <x:v>AI-303, AI-304, AI-306, AI-308, AI-309, AI-310, AI-311, AI-313</x:v>
      </x:c>
      <x:c r="F56" s="68" t="str">
        <x:v>Blocked</x:v>
      </x:c>
      <x:c r="G56" s="68" t="str">
        <x:f>'Research Tasks'!G56</x:f>
        <x:v>3-5 days</x:v>
      </x:c>
      <x:c r="H56" s="92" t="n">
        <x:f>'Research Tasks'!H56</x:f>
        <x:v>4</x:v>
      </x:c>
      <x:c r="I56" s="94" t="n">
        <x:f>'Research Tasks'!I56</x:f>
        <x:v>46454</x:v>
      </x:c>
      <x:c r="J56" s="94" t="n">
        <x:f>'Research Tasks'!J56</x:f>
        <x:v>46457</x:v>
      </x:c>
      <x:c r="K56" s="68" t="str">
        <x:f>'Research Tasks'!K56</x:f>
        <x:v>Partial beliefs, informative gaze, proposal convergence, slow-state causality, embodiment, rollout parity, and VFE/EFE logging pass.</x:v>
      </x:c>
    </x:row>
    <x:row r="57" ht="38" customHeight="1">
      <x:c r="A57" s="68" t="str">
        <x:f>'Research Tasks'!A57</x:f>
        <x:v>AI-316</x:v>
      </x:c>
      <x:c r="B57" s="68" t="str">
        <x:f>'Research Tasks'!B57</x:f>
        <x:v>M3</x:v>
      </x:c>
      <x:c r="C57" s="68" t="str">
        <x:f>'Research Tasks'!C57</x:f>
        <x:v>Validation</x:v>
      </x:c>
      <x:c r="D57" s="68" t="str">
        <x:f>'Research Tasks'!D57</x:f>
        <x:v>M3 lock decision</x:v>
      </x:c>
      <x:c r="E57" s="68" t="str">
        <x:f>'Research Tasks'!E57</x:f>
        <x:v>AI-315</x:v>
      </x:c>
      <x:c r="F57" s="68" t="str">
        <x:v>Blocked</x:v>
      </x:c>
      <x:c r="G57" s="68" t="str">
        <x:f>'Research Tasks'!G57</x:f>
        <x:v>0.5 day</x:v>
      </x:c>
      <x:c r="H57" s="92" t="n">
        <x:f>'Research Tasks'!H57</x:f>
        <x:v>1</x:v>
      </x:c>
      <x:c r="I57" s="94" t="n">
        <x:f>'Research Tasks'!I57</x:f>
        <x:v>46458</x:v>
      </x:c>
      <x:c r="J57" s="94" t="n">
        <x:f>'Research Tasks'!J57</x:f>
        <x:v>46458</x:v>
      </x:c>
      <x:c r="K57" s="68" t="str">
        <x:f>'Research Tasks'!K57</x:f>
        <x:v>The core foveated hierarchical active-inference model and ablations are accepted before compositional claims or visual-transfer expansion.</x:v>
      </x:c>
    </x:row>
    <x:row r="58" ht="38" customHeight="1">
      <x:c r="A58" s="68" t="str">
        <x:f>'Simulation Tasks'!A32</x:f>
        <x:v>T-401</x:v>
      </x:c>
      <x:c r="B58" s="68" t="str">
        <x:f>'Simulation Tasks'!B32</x:f>
        <x:v>M4</x:v>
      </x:c>
      <x:c r="C58" s="68" t="str">
        <x:f>'Simulation Tasks'!C32</x:f>
        <x:v>Architecture/Research Ops</x:v>
      </x:c>
      <x:c r="D58" s="68" t="str">
        <x:f>'Simulation Tasks'!D32</x:f>
        <x:v>Define the experimental-state contract</x:v>
      </x:c>
      <x:c r="E58" s="68" t="str">
        <x:f>'Simulation Tasks'!E32</x:f>
        <x:v>T-003, T-103, T-105</x:v>
      </x:c>
      <x:c r="F58" s="68" t="str">
        <x:v>Blocked</x:v>
      </x:c>
      <x:c r="G58" s="68" t="str">
        <x:f>'Simulation Tasks'!G32</x:f>
        <x:v>1-2 days</x:v>
      </x:c>
      <x:c r="H58" s="92" t="n">
        <x:f>'Simulation Tasks'!H32</x:f>
        <x:v>1</x:v>
      </x:c>
      <x:c r="I58" s="94" t="n">
        <x:f>'Simulation Tasks'!I32</x:f>
        <x:v>46272</x:v>
      </x:c>
      <x:c r="J58" s="94" t="n">
        <x:f>'Simulation Tasks'!J32</x:f>
        <x:v>46272</x:v>
      </x:c>
      <x:c r="K58" s="68" t="str">
        <x:f>'Simulation Tasks'!K32</x:f>
        <x:v>Truth, observation, belief, prediction, policy, control, telemetry, canvas, capability, and provenance fields have versioned units, frames, shapes, and access roles.</x:v>
      </x:c>
    </x:row>
    <x:row r="59" ht="38" customHeight="1">
      <x:c r="A59" s="68" t="str">
        <x:f>'Simulation Tasks'!A33</x:f>
        <x:v>T-402</x:v>
      </x:c>
      <x:c r="B59" s="68" t="str">
        <x:f>'Simulation Tasks'!B33</x:f>
        <x:v>M4</x:v>
      </x:c>
      <x:c r="C59" s="68" t="str">
        <x:f>'Simulation Tasks'!C33</x:f>
        <x:v>Research Ops/Telemetry</x:v>
      </x:c>
      <x:c r="D59" s="68" t="str">
        <x:f>'Simulation Tasks'!D33</x:f>
        <x:v>Define clocks, revisions, and provenance</x:v>
      </x:c>
      <x:c r="E59" s="68" t="str">
        <x:f>'Simulation Tasks'!E33</x:f>
        <x:v>T-002, T-401</x:v>
      </x:c>
      <x:c r="F59" s="68" t="str">
        <x:v>Blocked</x:v>
      </x:c>
      <x:c r="G59" s="68" t="str">
        <x:f>'Simulation Tasks'!G33</x:f>
        <x:v>1 day</x:v>
      </x:c>
      <x:c r="H59" s="92" t="n">
        <x:f>'Simulation Tasks'!H33</x:f>
        <x:v>1</x:v>
      </x:c>
      <x:c r="I59" s="94" t="n">
        <x:f>'Simulation Tasks'!I33</x:f>
        <x:v>46273</x:v>
      </x:c>
      <x:c r="J59" s="94" t="n">
        <x:f>'Simulation Tasks'!J33</x:f>
        <x:v>46273</x:v>
      </x:c>
      <x:c r="K59" s="68" t="str">
        <x:f>'Simulation Tasks'!K33</x:f>
        <x:v>Runtime outputs distinguish simulation, sensor, inference, policy, control, canvas, telemetry, and wall clocks and refer to exact revisions.</x:v>
      </x:c>
    </x:row>
    <x:row r="60" ht="38" customHeight="1">
      <x:c r="A60" s="68" t="str">
        <x:f>'Simulation Tasks'!A34</x:f>
        <x:v>T-403</x:v>
      </x:c>
      <x:c r="B60" s="68" t="str">
        <x:f>'Simulation Tasks'!B34</x:f>
        <x:v>M4</x:v>
      </x:c>
      <x:c r="C60" s="68" t="str">
        <x:f>'Simulation Tasks'!C34</x:f>
        <x:v>Runtime/Web</x:v>
      </x:c>
      <x:c r="D60" s="68" t="str">
        <x:f>'Simulation Tasks'!D34</x:f>
        <x:v>Implement the native runtime adapter</x:v>
      </x:c>
      <x:c r="E60" s="68" t="str">
        <x:f>'Simulation Tasks'!E34</x:f>
        <x:v>T-401, T-402</x:v>
      </x:c>
      <x:c r="F60" s="68" t="str">
        <x:v>Blocked</x:v>
      </x:c>
      <x:c r="G60" s="68" t="str">
        <x:f>'Simulation Tasks'!G34</x:f>
        <x:v>1-2 days</x:v>
      </x:c>
      <x:c r="H60" s="92" t="n">
        <x:f>'Simulation Tasks'!H34</x:f>
        <x:v>1</x:v>
      </x:c>
      <x:c r="I60" s="94" t="n">
        <x:f>'Simulation Tasks'!I34</x:f>
        <x:v>46274</x:v>
      </x:c>
      <x:c r="J60" s="94" t="n">
        <x:f>'Simulation Tasks'!J34</x:f>
        <x:v>46274</x:v>
      </x:c>
      <x:c r="K60" s="68" t="str">
        <x:f>'Simulation Tasks'!K34</x:f>
        <x:v>Native state populates the versioned contract without browser-side physical or inferential corrections.</x:v>
      </x:c>
    </x:row>
    <x:row r="61" ht="38" customHeight="1">
      <x:c r="A61" s="68" t="str">
        <x:f>'Simulation Tasks'!A35</x:f>
        <x:v>T-404</x:v>
      </x:c>
      <x:c r="B61" s="68" t="str">
        <x:f>'Simulation Tasks'!B35</x:f>
        <x:v>M4</x:v>
      </x:c>
      <x:c r="C61" s="68" t="str">
        <x:f>'Simulation Tasks'!C35</x:f>
        <x:v>Web</x:v>
      </x:c>
      <x:c r="D61" s="68" t="str">
        <x:f>'Simulation Tasks'!D35</x:f>
        <x:v>Reuse the Three.js arm and canvas scene</x:v>
      </x:c>
      <x:c r="E61" s="68" t="str">
        <x:f>'Simulation Tasks'!E35</x:f>
        <x:v>T-403</x:v>
      </x:c>
      <x:c r="F61" s="68" t="str">
        <x:v>Blocked</x:v>
      </x:c>
      <x:c r="G61" s="68" t="str">
        <x:f>'Simulation Tasks'!G35</x:f>
        <x:v>1-2 days</x:v>
      </x:c>
      <x:c r="H61" s="92" t="n">
        <x:f>'Simulation Tasks'!H35</x:f>
        <x:v>1</x:v>
      </x:c>
      <x:c r="I61" s="94" t="n">
        <x:f>'Simulation Tasks'!I35</x:f>
        <x:v>46275</x:v>
      </x:c>
      <x:c r="J61" s="94" t="n">
        <x:f>'Simulation Tasks'!J35</x:f>
        <x:v>46275</x:v>
      </x:c>
      <x:c r="K61" s="68" t="str">
        <x:f>'Simulation Tasks'!K35</x:f>
        <x:v>One stable scene renders backend-provided geometry and contact while preserving existing navigation and native appearance.</x:v>
      </x:c>
    </x:row>
    <x:row r="62" ht="38" customHeight="1">
      <x:c r="A62" s="68" t="str">
        <x:f>'Simulation Tasks'!A36</x:f>
        <x:v>T-405</x:v>
      </x:c>
      <x:c r="B62" s="68" t="str">
        <x:f>'Simulation Tasks'!B36</x:f>
        <x:v>M4</x:v>
      </x:c>
      <x:c r="C62" s="68" t="str">
        <x:f>'Simulation Tasks'!C36</x:f>
        <x:v>Web/Observation Boundary</x:v>
      </x:c>
      <x:c r="D62" s="68" t="str">
        <x:f>'Simulation Tasks'!D36</x:f>
        <x:v>Separate material truth, observation, and prediction views</x:v>
      </x:c>
      <x:c r="E62" s="68" t="str">
        <x:f>'Simulation Tasks'!E36</x:f>
        <x:v>T-102, T-403</x:v>
      </x:c>
      <x:c r="F62" s="68" t="str">
        <x:v>Blocked</x:v>
      </x:c>
      <x:c r="G62" s="68" t="str">
        <x:f>'Simulation Tasks'!G36</x:f>
        <x:v>2-3 days</x:v>
      </x:c>
      <x:c r="H62" s="92" t="n">
        <x:f>'Simulation Tasks'!H36</x:f>
        <x:v>2</x:v>
      </x:c>
      <x:c r="I62" s="94" t="n">
        <x:f>'Simulation Tasks'!I36</x:f>
        <x:v>46276</x:v>
      </x:c>
      <x:c r="J62" s="94" t="n">
        <x:f>'Simulation Tasks'!J36</x:f>
        <x:v>46279</x:v>
      </x:c>
      <x:c r="K62" s="68" t="str">
        <x:f>'Simulation Tasks'!K36</x:f>
        <x:v>Process truth, agent-accessible observation, and predicted canvas statistics are separately labeled and revision-synchronized.</x:v>
      </x:c>
    </x:row>
    <x:row r="63" ht="38" customHeight="1">
      <x:c r="A63" s="68" t="str">
        <x:f>'Simulation Tasks'!A37</x:f>
        <x:v>T-406</x:v>
      </x:c>
      <x:c r="B63" s="68" t="str">
        <x:f>'Simulation Tasks'!B37</x:f>
        <x:v>M4</x:v>
      </x:c>
      <x:c r="C63" s="68" t="str">
        <x:f>'Simulation Tasks'!C37</x:f>
        <x:v>Web/Runtime</x:v>
      </x:c>
      <x:c r="D63" s="68" t="str">
        <x:f>'Simulation Tasks'!D37</x:f>
        <x:v>Handle capabilities, stale state, and runtime errors</x:v>
      </x:c>
      <x:c r="E63" s="68" t="str">
        <x:f>'Simulation Tasks'!E37</x:f>
        <x:v>T-402, T-403, T-404</x:v>
      </x:c>
      <x:c r="F63" s="68" t="str">
        <x:v>Blocked</x:v>
      </x:c>
      <x:c r="G63" s="68" t="str">
        <x:f>'Simulation Tasks'!G37</x:f>
        <x:v>1-2 days</x:v>
      </x:c>
      <x:c r="H63" s="92" t="n">
        <x:f>'Simulation Tasks'!H37</x:f>
        <x:v>1</x:v>
      </x:c>
      <x:c r="I63" s="94" t="n">
        <x:f>'Simulation Tasks'!I37</x:f>
        <x:v>46280</x:v>
      </x:c>
      <x:c r="J63" s="94" t="n">
        <x:f>'Simulation Tasks'!J37</x:f>
        <x:v>46280</x:v>
      </x:c>
      <x:c r="K63" s="68" t="str">
        <x:f>'Simulation Tasks'!K37</x:f>
        <x:v>Unsupported, stale, invalid, faulted, paused, planning, retracting, and disconnected states cannot masquerade as valid execution.</x:v>
      </x:c>
    </x:row>
    <x:row r="64" ht="38" customHeight="1">
      <x:c r="A64" s="68" t="str">
        <x:f>'Simulation Tasks'!A38</x:f>
        <x:v>T-407</x:v>
      </x:c>
      <x:c r="B64" s="68" t="str">
        <x:f>'Simulation Tasks'!B38</x:f>
        <x:v>M4</x:v>
      </x:c>
      <x:c r="C64" s="68" t="str">
        <x:f>'Simulation Tasks'!C38</x:f>
        <x:v>Web/Active-Inference Diagnostics</x:v>
      </x:c>
      <x:c r="D64" s="68" t="str">
        <x:f>'Simulation Tasks'!D38</x:f>
        <x:v>Add belief, prediction, and policy overlays</x:v>
      </x:c>
      <x:c r="E64" s="68" t="str">
        <x:f>'Simulation Tasks'!E38</x:f>
        <x:v>AI-101, T-403, T-405</x:v>
      </x:c>
      <x:c r="F64" s="68" t="str">
        <x:v>Blocked</x:v>
      </x:c>
      <x:c r="G64" s="68" t="str">
        <x:f>'Simulation Tasks'!G38</x:f>
        <x:v>2-3 days</x:v>
      </x:c>
      <x:c r="H64" s="92" t="n">
        <x:f>'Simulation Tasks'!H38</x:f>
        <x:v>2</x:v>
      </x:c>
      <x:c r="I64" s="94" t="n">
        <x:f>'Simulation Tasks'!I38</x:f>
        <x:v>46281</x:v>
      </x:c>
      <x:c r="J64" s="94" t="n">
        <x:f>'Simulation Tasks'!J38</x:f>
        <x:v>46282</x:v>
      </x:c>
      <x:c r="K64" s="68" t="str">
        <x:f>'Simulation Tasks'!K38</x:f>
        <x:v>Prior/posterior, predicted/realized, precision, VFE, EFE, and approximation diagnostics are distinct and optional.</x:v>
      </x:c>
    </x:row>
    <x:row r="65" ht="38" customHeight="1">
      <x:c r="A65" s="68" t="str">
        <x:f>'Simulation Tasks'!A39</x:f>
        <x:v>T-408</x:v>
      </x:c>
      <x:c r="B65" s="68" t="str">
        <x:f>'Simulation Tasks'!B39</x:f>
        <x:v>M4</x:v>
      </x:c>
      <x:c r="C65" s="68" t="str">
        <x:f>'Simulation Tasks'!C39</x:f>
        <x:v>Research Ops</x:v>
      </x:c>
      <x:c r="D65" s="68" t="str">
        <x:f>'Simulation Tasks'!D39</x:f>
        <x:v>Implement synchronized experiment artifact capture</x:v>
      </x:c>
      <x:c r="E65" s="68" t="str">
        <x:f>'Simulation Tasks'!E39</x:f>
        <x:v>T-003, T-402, T-405, T-407</x:v>
      </x:c>
      <x:c r="F65" s="68" t="str">
        <x:v>Blocked</x:v>
      </x:c>
      <x:c r="G65" s="68" t="str">
        <x:f>'Simulation Tasks'!G39</x:f>
        <x:v>2 days</x:v>
      </x:c>
      <x:c r="H65" s="92" t="n">
        <x:f>'Simulation Tasks'!H39</x:f>
        <x:v>2</x:v>
      </x:c>
      <x:c r="I65" s="94" t="n">
        <x:f>'Simulation Tasks'!I39</x:f>
        <x:v>46283</x:v>
      </x:c>
      <x:c r="J65" s="94" t="n">
        <x:f>'Simulation Tasks'!J39</x:f>
        <x:v>46286</x:v>
      </x:c>
      <x:c r="K65" s="68" t="str">
        <x:f>'Simulation Tasks'!K39</x:f>
        <x:v>Named runtime events capture synchronized manifests, state, telemetry, truth, observation, prediction, and screenshot artifacts without entering policy inference.</x:v>
      </x:c>
    </x:row>
    <x:row r="66" ht="38" customHeight="1">
      <x:c r="A66" s="68" t="str">
        <x:f>'Simulation Tasks'!A40</x:f>
        <x:v>T-409</x:v>
      </x:c>
      <x:c r="B66" s="68" t="str">
        <x:f>'Simulation Tasks'!B40</x:f>
        <x:v>M4</x:v>
      </x:c>
      <x:c r="C66" s="68" t="str">
        <x:f>'Simulation Tasks'!C40</x:f>
        <x:v>Validation</x:v>
      </x:c>
      <x:c r="D66" s="68" t="str">
        <x:f>'Simulation Tasks'!D40</x:f>
        <x:v>Add contract and synchronization tests</x:v>
      </x:c>
      <x:c r="E66" s="68" t="str">
        <x:f>'Simulation Tasks'!E40</x:f>
        <x:v>T-403, T-405, T-406, T-407, T-408</x:v>
      </x:c>
      <x:c r="F66" s="68" t="str">
        <x:v>Blocked</x:v>
      </x:c>
      <x:c r="G66" s="68" t="str">
        <x:f>'Simulation Tasks'!G40</x:f>
        <x:v>2 days</x:v>
      </x:c>
      <x:c r="H66" s="92" t="n">
        <x:f>'Simulation Tasks'!H40</x:f>
        <x:v>2</x:v>
      </x:c>
      <x:c r="I66" s="94" t="n">
        <x:f>'Simulation Tasks'!I40</x:f>
        <x:v>46287</x:v>
      </x:c>
      <x:c r="J66" s="94" t="n">
        <x:f>'Simulation Tasks'!J40</x:f>
        <x:v>46288</x:v>
      </x:c>
      <x:c r="K66" s="68" t="str">
        <x:f>'Simulation Tasks'!K40</x:f>
        <x:v>Tests cover schema, unit, frame, revision, null, stale, non-finite, hidden-truth, and VFE/EFE separation invariants.</x:v>
      </x:c>
    </x:row>
    <x:row r="67" ht="38" customHeight="1">
      <x:c r="A67" s="68" t="str">
        <x:f>'Simulation Tasks'!A41</x:f>
        <x:v>T-411</x:v>
      </x:c>
      <x:c r="B67" s="68" t="str">
        <x:f>'Simulation Tasks'!B41</x:f>
        <x:v>M4</x:v>
      </x:c>
      <x:c r="C67" s="68" t="str">
        <x:f>'Simulation Tasks'!C41</x:f>
        <x:v>Web/Manual Validation</x:v>
      </x:c>
      <x:c r="D67" s="68" t="str">
        <x:f>'Simulation Tasks'!D41</x:f>
        <x:v>Validate responsiveness and visual legibility</x:v>
      </x:c>
      <x:c r="E67" s="68" t="str">
        <x:f>'Simulation Tasks'!E41</x:f>
        <x:v>T-404, T-405, T-406, T-407</x:v>
      </x:c>
      <x:c r="F67" s="68" t="str">
        <x:v>Blocked</x:v>
      </x:c>
      <x:c r="G67" s="68" t="str">
        <x:f>'Simulation Tasks'!G41</x:f>
        <x:v>1 day</x:v>
      </x:c>
      <x:c r="H67" s="92" t="n">
        <x:f>'Simulation Tasks'!H41</x:f>
        <x:v>1</x:v>
      </x:c>
      <x:c r="I67" s="94" t="n">
        <x:f>'Simulation Tasks'!I41</x:f>
        <x:v>46289</x:v>
      </x:c>
      <x:c r="J67" s="94" t="n">
        <x:f>'Simulation Tasks'!J41</x:f>
        <x:v>46289</x:v>
      </x:c>
      <x:c r="K67" s="68" t="str">
        <x:f>'Simulation Tasks'!K41</x:f>
        <x:v>Desktop/mobile views remain legible and observatory overhead is measured and does not materially change painting behavior.</x:v>
      </x:c>
    </x:row>
    <x:row r="68" ht="38" customHeight="1">
      <x:c r="A68" s="68" t="str">
        <x:f>'Simulation Tasks'!A42</x:f>
        <x:v>T-410</x:v>
      </x:c>
      <x:c r="B68" s="68" t="str">
        <x:f>'Simulation Tasks'!B42</x:f>
        <x:v>M4</x:v>
      </x:c>
      <x:c r="C68" s="68" t="str">
        <x:f>'Simulation Tasks'!C42</x:f>
        <x:v>Validation/Simulation</x:v>
      </x:c>
      <x:c r="D68" s="68" t="str">
        <x:f>'Simulation Tasks'!D42</x:f>
        <x:v>Capture native/MuJoCo parity artifacts</x:v>
      </x:c>
      <x:c r="E68" s="68" t="str">
        <x:f>'Simulation Tasks'!E42</x:f>
        <x:v>T-309, T-404, T-405, T-408</x:v>
      </x:c>
      <x:c r="F68" s="68" t="str">
        <x:v>Blocked</x:v>
      </x:c>
      <x:c r="G68" s="68" t="str">
        <x:f>'Simulation Tasks'!G42</x:f>
        <x:v>2-3 days</x:v>
      </x:c>
      <x:c r="H68" s="92" t="n">
        <x:f>'Simulation Tasks'!H42</x:f>
        <x:v>2</x:v>
      </x:c>
      <x:c r="I68" s="94" t="n">
        <x:f>'Simulation Tasks'!I42</x:f>
        <x:v>46307</x:v>
      </x:c>
      <x:c r="J68" s="94" t="n">
        <x:f>'Simulation Tasks'!J42</x:f>
        <x:v>46308</x:v>
      </x:c>
      <x:c r="K68" s="68" t="str">
        <x:f>'Simulation Tasks'!K42</x:f>
        <x:v>Matched pose, motion, contact, and stroke cases produce synchronized artifacts and triaged numeric backend differences.</x:v>
      </x:c>
    </x:row>
    <x:row r="69" ht="38" customHeight="1">
      <x:c r="A69" s="68" t="str">
        <x:f>'Simulation Tasks'!A43</x:f>
        <x:v>T-412</x:v>
      </x:c>
      <x:c r="B69" s="68" t="str">
        <x:f>'Simulation Tasks'!B43</x:f>
        <x:v>M4</x:v>
      </x:c>
      <x:c r="C69" s="68" t="str">
        <x:f>'Simulation Tasks'!C43</x:f>
        <x:v>Validation</x:v>
      </x:c>
      <x:c r="D69" s="68" t="str">
        <x:f>'Simulation Tasks'!D43</x:f>
        <x:v>M4 observatory gate</x:v>
      </x:c>
      <x:c r="E69" s="68" t="str">
        <x:f>'Simulation Tasks'!E43</x:f>
        <x:v>T-409, T-410, T-411</x:v>
      </x:c>
      <x:c r="F69" s="68" t="str">
        <x:v>Blocked</x:v>
      </x:c>
      <x:c r="G69" s="68" t="str">
        <x:f>'Simulation Tasks'!G43</x:f>
        <x:v>0.5 day</x:v>
      </x:c>
      <x:c r="H69" s="92" t="n">
        <x:f>'Simulation Tasks'!H43</x:f>
        <x:v>1</x:v>
      </x:c>
      <x:c r="I69" s="94" t="n">
        <x:f>'Simulation Tasks'!I43</x:f>
        <x:v>46309</x:v>
      </x:c>
      <x:c r="J69" s="94" t="n">
        <x:f>'Simulation Tasks'!J43</x:f>
        <x:v>46309</x:v>
      </x:c>
      <x:c r="K69" s="68" t="str">
        <x:f>'Simulation Tasks'!K43</x:f>
        <x:v>Shared contracts, provenance, clocks, access boundaries, synchronized artifacts, parity evidence, and bounded overhead are accepted.</x:v>
      </x:c>
    </x:row>
    <x:row r="70" ht="38" customHeight="1">
      <x:c r="A70" s="68" t="str">
        <x:f>'Hardware Tasks'!A5</x:f>
        <x:v>T-501</x:v>
      </x:c>
      <x:c r="B70" s="68" t="str">
        <x:f>'Hardware Tasks'!B5</x:f>
        <x:v>M5</x:v>
      </x:c>
      <x:c r="C70" s="68" t="str">
        <x:f>'Hardware Tasks'!C5</x:f>
        <x:v>Geometry/Architecture</x:v>
      </x:c>
      <x:c r="D70" s="68" t="str">
        <x:f>'Hardware Tasks'!D5</x:f>
        <x:v>Define RobotGeometrySpec</x:v>
      </x:c>
      <x:c r="E70" s="68" t="str">
        <x:f>'Hardware Tasks'!E5</x:f>
        <x:v>T-101, T-103</x:v>
      </x:c>
      <x:c r="F70" s="68" t="str">
        <x:v>Active</x:v>
      </x:c>
      <x:c r="G70" s="68" t="str">
        <x:f>'Hardware Tasks'!G5</x:f>
        <x:v>2 days</x:v>
      </x:c>
      <x:c r="H70" s="92" t="n">
        <x:f>'Hardware Tasks'!H5</x:f>
        <x:v>2</x:v>
      </x:c>
      <x:c r="I70" s="94" t="n">
        <x:f>'Hardware Tasks'!I5</x:f>
        <x:v>46279</x:v>
      </x:c>
      <x:c r="J70" s="94" t="n">
        <x:f>'Hardware Tasks'!J5</x:f>
        <x:v>46280</x:v>
      </x:c>
      <x:c r="K70" s="68" t="str">
        <x:f>'Hardware Tasks'!K5</x:f>
        <x:v>A versioned SI-unit schema covers frames, joints, limits, transforms, mass properties, collision geometry, brush, canvas, and camera references without controller corrections.</x:v>
      </x:c>
    </x:row>
    <x:row r="71" ht="38" customHeight="1">
      <x:c r="A71" s="68" t="str">
        <x:f>'Hardware Tasks'!A6</x:f>
        <x:v>T-502</x:v>
      </x:c>
      <x:c r="B71" s="68" t="str">
        <x:f>'Hardware Tasks'!B6</x:f>
        <x:v>M5</x:v>
      </x:c>
      <x:c r="C71" s="68" t="str">
        <x:f>'Hardware Tasks'!C6</x:f>
        <x:v>Geometry</x:v>
      </x:c>
      <x:c r="D71" s="68" t="str">
        <x:f>'Hardware Tasks'!D6</x:f>
        <x:v>Define the frame graph and naming convention</x:v>
      </x:c>
      <x:c r="E71" s="68" t="str">
        <x:f>'Hardware Tasks'!E6</x:f>
        <x:v>T-501</x:v>
      </x:c>
      <x:c r="F71" s="68" t="str">
        <x:v>Blocked</x:v>
      </x:c>
      <x:c r="G71" s="68" t="str">
        <x:f>'Hardware Tasks'!G6</x:f>
        <x:v>1 day</x:v>
      </x:c>
      <x:c r="H71" s="92" t="n">
        <x:f>'Hardware Tasks'!H6</x:f>
        <x:v>1</x:v>
      </x:c>
      <x:c r="I71" s="94" t="n">
        <x:f>'Hardware Tasks'!I6</x:f>
        <x:v>46281</x:v>
      </x:c>
      <x:c r="J71" s="94" t="n">
        <x:f>'Hardware Tasks'!J6</x:f>
        <x:v>46281</x:v>
      </x:c>
      <x:c r="K71" s="68" t="str">
        <x:f>'Hardware Tasks'!K6</x:f>
        <x:v>Design and calibration frames share declared names, handedness, transform direction, timestamps, and canonical pose fixtures.</x:v>
      </x:c>
    </x:row>
    <x:row r="72" ht="38" customHeight="1">
      <x:c r="A72" s="68" t="str">
        <x:f>'Hardware Tasks'!A7</x:f>
        <x:v>T-503</x:v>
      </x:c>
      <x:c r="B72" s="68" t="str">
        <x:f>'Hardware Tasks'!B7</x:f>
        <x:v>M5</x:v>
      </x:c>
      <x:c r="C72" s="68" t="str">
        <x:f>'Hardware Tasks'!C7</x:f>
        <x:v>Actuation/Control Interface</x:v>
      </x:c>
      <x:c r="D72" s="68" t="str">
        <x:f>'Hardware Tasks'!D7</x:f>
        <x:v>Define actuator, transmission, and sensor specifications</x:v>
      </x:c>
      <x:c r="E72" s="68" t="str">
        <x:f>'Hardware Tasks'!E7</x:f>
        <x:v>T-103, T-501</x:v>
      </x:c>
      <x:c r="F72" s="68" t="str">
        <x:v>Blocked</x:v>
      </x:c>
      <x:c r="G72" s="68" t="str">
        <x:f>'Hardware Tasks'!G7</x:f>
        <x:v>2-3 days</x:v>
      </x:c>
      <x:c r="H72" s="92" t="n">
        <x:f>'Hardware Tasks'!H7</x:f>
        <x:v>2</x:v>
      </x:c>
      <x:c r="I72" s="94" t="n">
        <x:f>'Hardware Tasks'!I7</x:f>
        <x:v>46282</x:v>
      </x:c>
      <x:c r="J72" s="94" t="n">
        <x:f>'Hardware Tasks'!J7</x:f>
        <x:v>46283</x:v>
      </x:c>
      <x:c r="K72" s="68" t="str">
        <x:f>'Hardware Tasks'!K7</x:f>
        <x:v>Motor, driver, transmission, encoder, current, temperature, contact, force, and exposed command-mode fields are versioned per joint.</x:v>
      </x:c>
    </x:row>
    <x:row r="73" ht="38" customHeight="1">
      <x:c r="A73" s="68" t="str">
        <x:f>'Hardware Tasks'!A8</x:f>
        <x:v>T-504</x:v>
      </x:c>
      <x:c r="B73" s="68" t="str">
        <x:f>'Hardware Tasks'!B8</x:f>
        <x:v>M5</x:v>
      </x:c>
      <x:c r="C73" s="68" t="str">
        <x:f>'Hardware Tasks'!C8</x:f>
        <x:v>Calibration/Research Ops</x:v>
      </x:c>
      <x:c r="D73" s="68" t="str">
        <x:f>'Hardware Tasks'!D8</x:f>
        <x:v>Add parameter provenance and uncertainty</x:v>
      </x:c>
      <x:c r="E73" s="68" t="str">
        <x:f>'Hardware Tasks'!E8</x:f>
        <x:v>T-501, T-502, T-503</x:v>
      </x:c>
      <x:c r="F73" s="68" t="str">
        <x:v>Blocked</x:v>
      </x:c>
      <x:c r="G73" s="68" t="str">
        <x:f>'Hardware Tasks'!G8</x:f>
        <x:v>1-2 days</x:v>
      </x:c>
      <x:c r="H73" s="92" t="n">
        <x:f>'Hardware Tasks'!H8</x:f>
        <x:v>1</x:v>
      </x:c>
      <x:c r="I73" s="94" t="n">
        <x:f>'Hardware Tasks'!I8</x:f>
        <x:v>46286</x:v>
      </x:c>
      <x:c r="J73" s="94" t="n">
        <x:f>'Hardware Tasks'!J8</x:f>
        <x:v>46286</x:v>
      </x:c>
      <x:c r="K73" s="68" t="str">
        <x:f>'Hardware Tasks'!K8</x:f>
        <x:v>Every physical parameter distinguishes placeholder, datasheet, CAD, measured, fitted, and validated provenance plus meaningful uncertainty.</x:v>
      </x:c>
    </x:row>
    <x:row r="74" ht="38" customHeight="1">
      <x:c r="A74" s="68" t="str">
        <x:f>'Hardware Tasks'!A9</x:f>
        <x:v>T-505</x:v>
      </x:c>
      <x:c r="B74" s="68" t="str">
        <x:f>'Hardware Tasks'!B9</x:f>
        <x:v>M5</x:v>
      </x:c>
      <x:c r="C74" s="68" t="str">
        <x:f>'Hardware Tasks'!C9</x:f>
        <x:v>Requirements/Mechanical</x:v>
      </x:c>
      <x:c r="D74" s="68" t="str">
        <x:f>'Hardware Tasks'!D9</x:f>
        <x:v>Define the preliminary design and operating envelope</x:v>
      </x:c>
      <x:c r="E74" s="68" t="str">
        <x:f>'Hardware Tasks'!E9</x:f>
        <x:v>T-501, T-503</x:v>
      </x:c>
      <x:c r="F74" s="68" t="str">
        <x:v>Blocked</x:v>
      </x:c>
      <x:c r="G74" s="68" t="str">
        <x:f>'Hardware Tasks'!G9</x:f>
        <x:v>2 days</x:v>
      </x:c>
      <x:c r="H74" s="92" t="n">
        <x:f>'Hardware Tasks'!H9</x:f>
        <x:v>2</x:v>
      </x:c>
      <x:c r="I74" s="94" t="n">
        <x:f>'Hardware Tasks'!I9</x:f>
        <x:v>46287</x:v>
      </x:c>
      <x:c r="J74" s="94" t="n">
        <x:f>'Hardware Tasks'!J9</x:f>
        <x:v>46288</x:v>
      </x:c>
      <x:c r="K74" s="68" t="str">
        <x:f>'Hardware Tasks'!K9</x:f>
        <x:v>Canvas, workspace, tip speed, contact, payload, duty, joint, retraction, service, paint, and cleaning requirements are separated from provisional desires.</x:v>
      </x:c>
    </x:row>
    <x:row r="75" ht="38" customHeight="1">
      <x:c r="A75" s="68" t="str">
        <x:f>'Hardware Tasks'!A10</x:f>
        <x:v>T-506</x:v>
      </x:c>
      <x:c r="B75" s="68" t="str">
        <x:f>'Hardware Tasks'!B10</x:f>
        <x:v>M5</x:v>
      </x:c>
      <x:c r="C75" s="68" t="str">
        <x:f>'Hardware Tasks'!C10</x:f>
        <x:v>Kinematics/Mechanical</x:v>
      </x:c>
      <x:c r="D75" s="68" t="str">
        <x:f>'Hardware Tasks'!D10</x:f>
        <x:v>Run workspace, singularity, and collision studies</x:v>
      </x:c>
      <x:c r="E75" s="68" t="str">
        <x:f>'Hardware Tasks'!E10</x:f>
        <x:v>T-502, T-505</x:v>
      </x:c>
      <x:c r="F75" s="68" t="str">
        <x:v>Blocked</x:v>
      </x:c>
      <x:c r="G75" s="68" t="str">
        <x:f>'Hardware Tasks'!G10</x:f>
        <x:v>2-3 days</x:v>
      </x:c>
      <x:c r="H75" s="92" t="n">
        <x:f>'Hardware Tasks'!H10</x:f>
        <x:v>2</x:v>
      </x:c>
      <x:c r="I75" s="94" t="n">
        <x:f>'Hardware Tasks'!I10</x:f>
        <x:v>46289</x:v>
      </x:c>
      <x:c r="J75" s="94" t="n">
        <x:f>'Hardware Tasks'!J10</x:f>
        <x:v>46290</x:v>
      </x:c>
      <x:c r="K75" s="68" t="str">
        <x:f>'Hardware Tasks'!K10</x:f>
        <x:v>Painting, retract, loading, cleaning, limit, collision, and poor-conditioning regions are mapped and exported as validation cases.</x:v>
      </x:c>
    </x:row>
    <x:row r="76" ht="38" customHeight="1">
      <x:c r="A76" s="68" t="str">
        <x:f>'Hardware Tasks'!A11</x:f>
        <x:v>T-507</x:v>
      </x:c>
      <x:c r="B76" s="68" t="str">
        <x:f>'Hardware Tasks'!B11</x:f>
        <x:v>M5</x:v>
      </x:c>
      <x:c r="C76" s="68" t="str">
        <x:f>'Hardware Tasks'!C11</x:f>
        <x:v>Actuation/Mechanical Decision</x:v>
      </x:c>
      <x:c r="D76" s="68" t="str">
        <x:f>'Hardware Tasks'!D11</x:f>
        <x:v>Compare direct drive and belt-reduction architectures</x:v>
      </x:c>
      <x:c r="E76" s="68" t="str">
        <x:f>'Hardware Tasks'!E11</x:f>
        <x:v>T-503, T-505, T-506</x:v>
      </x:c>
      <x:c r="F76" s="68" t="str">
        <x:v>Blocked</x:v>
      </x:c>
      <x:c r="G76" s="68" t="str">
        <x:f>'Hardware Tasks'!G11</x:f>
        <x:v>3-4 days</x:v>
      </x:c>
      <x:c r="H76" s="92" t="n">
        <x:f>'Hardware Tasks'!H11</x:f>
        <x:v>3</x:v>
      </x:c>
      <x:c r="I76" s="94" t="n">
        <x:f>'Hardware Tasks'!I11</x:f>
        <x:v>46293</x:v>
      </x:c>
      <x:c r="J76" s="94" t="n">
        <x:f>'Hardware Tasks'!J11</x:f>
        <x:v>46295</x:v>
      </x:c>
      <x:c r="K76" s="68" t="str">
        <x:f>'Hardware Tasks'!K11</x:f>
        <x:v>Joint-local direct, belt, and mixed options are compared across dynamics, control, packaging, sensing, cost, service, and reversible risk.</x:v>
      </x:c>
    </x:row>
    <x:row r="77" ht="38" customHeight="1">
      <x:c r="A77" s="68" t="str">
        <x:f>'Hardware Tasks'!A12</x:f>
        <x:v>T-508</x:v>
      </x:c>
      <x:c r="B77" s="68" t="str">
        <x:f>'Hardware Tasks'!B12</x:f>
        <x:v>M5</x:v>
      </x:c>
      <x:c r="C77" s="68" t="str">
        <x:f>'Hardware Tasks'!C12</x:f>
        <x:v>Dynamics/Mechanical</x:v>
      </x:c>
      <x:c r="D77" s="68" t="str">
        <x:f>'Hardware Tasks'!D12</x:f>
        <x:v>Build mass, inertia, torque, stiffness, and thermal budgets</x:v>
      </x:c>
      <x:c r="E77" s="68" t="str">
        <x:f>'Hardware Tasks'!E12</x:f>
        <x:v>T-503, T-505, T-507</x:v>
      </x:c>
      <x:c r="F77" s="68" t="str">
        <x:v>Blocked</x:v>
      </x:c>
      <x:c r="G77" s="68" t="str">
        <x:f>'Hardware Tasks'!G12</x:f>
        <x:v>3-4 days</x:v>
      </x:c>
      <x:c r="H77" s="92" t="n">
        <x:f>'Hardware Tasks'!H12</x:f>
        <x:v>3</x:v>
      </x:c>
      <x:c r="I77" s="94" t="n">
        <x:f>'Hardware Tasks'!I12</x:f>
        <x:v>46296</x:v>
      </x:c>
      <x:c r="J77" s="94" t="n">
        <x:f>'Hardware Tasks'!J12</x:f>
        <x:v>46300</x:v>
      </x:c>
      <x:c r="K77" s="68" t="str">
        <x:f>'Hardware Tasks'!K12</x:f>
        <x:v>Gravity, acceleration, contact, fault, stiffness, bandwidth, duty, thermal, and distal-mass sensitivities have traceable estimates and margins.</x:v>
      </x:c>
    </x:row>
    <x:row r="78" ht="38" customHeight="1">
      <x:c r="A78" s="68" t="str">
        <x:f>'Hardware Tasks'!A13</x:f>
        <x:v>T-509</x:v>
      </x:c>
      <x:c r="B78" s="68" t="str">
        <x:f>'Hardware Tasks'!B13</x:f>
        <x:v>M5</x:v>
      </x:c>
      <x:c r="C78" s="68" t="str">
        <x:f>'Hardware Tasks'!C13</x:f>
        <x:v>End Effector/Workcell</x:v>
      </x:c>
      <x:c r="D78" s="68" t="str">
        <x:f>'Hardware Tasks'!D13</x:f>
        <x:v>Define brush, canvas, camera, paint, and cleaning interfaces</x:v>
      </x:c>
      <x:c r="E78" s="68" t="str">
        <x:f>'Hardware Tasks'!E13</x:f>
        <x:v>T-502, T-505</x:v>
      </x:c>
      <x:c r="F78" s="68" t="str">
        <x:v>Blocked</x:v>
      </x:c>
      <x:c r="G78" s="68" t="str">
        <x:f>'Hardware Tasks'!G13</x:f>
        <x:v>2-3 days</x:v>
      </x:c>
      <x:c r="H78" s="92" t="n">
        <x:f>'Hardware Tasks'!H13</x:f>
        <x:v>2</x:v>
      </x:c>
      <x:c r="I78" s="94" t="n">
        <x:f>'Hardware Tasks'!I13</x:f>
        <x:v>46301</x:v>
      </x:c>
      <x:c r="J78" s="94" t="n">
        <x:f>'Hardware Tasks'!J13</x:f>
        <x:v>46302</x:v>
      </x:c>
      <x:c r="K78" s="68" t="str">
        <x:f>'Hardware Tasks'!K13</x:f>
        <x:v>Repeatable brush, registered canvas, fixed camera, secured paint, and supervised cleaning interfaces have geometry and operating envelopes.</x:v>
      </x:c>
    </x:row>
    <x:row r="79" ht="38" customHeight="1">
      <x:c r="A79" s="68" t="str">
        <x:f>'Hardware Tasks'!A14</x:f>
        <x:v>T-510</x:v>
      </x:c>
      <x:c r="B79" s="68" t="str">
        <x:f>'Hardware Tasks'!B14</x:f>
        <x:v>M5</x:v>
      </x:c>
      <x:c r="C79" s="68" t="str">
        <x:f>'Hardware Tasks'!C14</x:f>
        <x:v>Calibration</x:v>
      </x:c>
      <x:c r="D79" s="68" t="str">
        <x:f>'Hardware Tasks'!D14</x:f>
        <x:v>Define calibration and system-identification procedures</x:v>
      </x:c>
      <x:c r="E79" s="68" t="str">
        <x:f>'Hardware Tasks'!E14</x:f>
        <x:v>T-502, T-504, T-509</x:v>
      </x:c>
      <x:c r="F79" s="68" t="str">
        <x:v>Blocked</x:v>
      </x:c>
      <x:c r="G79" s="68" t="str">
        <x:f>'Hardware Tasks'!G14</x:f>
        <x:v>3-4 days</x:v>
      </x:c>
      <x:c r="H79" s="92" t="n">
        <x:f>'Hardware Tasks'!H14</x:f>
        <x:v>3</x:v>
      </x:c>
      <x:c r="I79" s="94" t="n">
        <x:f>'Hardware Tasks'!I14</x:f>
        <x:v>46303</x:v>
      </x:c>
      <x:c r="J79" s="94" t="n">
        <x:f>'Hardware Tasks'!J14</x:f>
        <x:v>46307</x:v>
      </x:c>
      <x:c r="K79" s="68" t="str">
        <x:f>'Hardware Tasks'!K14</x:f>
        <x:v>Geometry, encoder, camera, current/torque, friction, compliance, brush, canvas, and contact procedures declare fixtures, fit/validation splits, residuals, and thresholds.</x:v>
      </x:c>
    </x:row>
    <x:row r="80" ht="38" customHeight="1">
      <x:c r="A80" s="68" t="str">
        <x:f>'Hardware Tasks'!A15</x:f>
        <x:v>T-511</x:v>
      </x:c>
      <x:c r="B80" s="68" t="str">
        <x:f>'Hardware Tasks'!B15</x:f>
        <x:v>M5</x:v>
      </x:c>
      <x:c r="C80" s="68" t="str">
        <x:f>'Hardware Tasks'!C15</x:f>
        <x:v>Tooling/Architecture</x:v>
      </x:c>
      <x:c r="D80" s="68" t="str">
        <x:f>'Hardware Tasks'!D15</x:f>
        <x:v>Implement parameter export and validation adapters</x:v>
      </x:c>
      <x:c r="E80" s="68" t="str">
        <x:f>'Hardware Tasks'!E15</x:f>
        <x:v>T-501, T-502, T-503, T-504</x:v>
      </x:c>
      <x:c r="F80" s="68" t="str">
        <x:v>Blocked</x:v>
      </x:c>
      <x:c r="G80" s="68" t="str">
        <x:f>'Hardware Tasks'!G15</x:f>
        <x:v>3-5 days</x:v>
      </x:c>
      <x:c r="H80" s="92" t="n">
        <x:f>'Hardware Tasks'!H15</x:f>
        <x:v>3</x:v>
      </x:c>
      <x:c r="I80" s="94" t="n">
        <x:f>'Hardware Tasks'!I15</x:f>
        <x:v>46308</x:v>
      </x:c>
      <x:c r="J80" s="94" t="n">
        <x:f>'Hardware Tasks'!J15</x:f>
        <x:v>46310</x:v>
      </x:c>
      <x:c r="K80" s="68" t="str">
        <x:f>'Hardware Tasks'!K15</x:f>
        <x:v>Native, MJCF, CAD, controller, and manifest inputs derive from one validated specification with explicit backend approximations.</x:v>
      </x:c>
    </x:row>
    <x:row r="81" ht="38" customHeight="1">
      <x:c r="A81" s="68" t="str">
        <x:f>'Hardware Tasks'!A16</x:f>
        <x:v>T-512</x:v>
      </x:c>
      <x:c r="B81" s="68" t="str">
        <x:f>'Hardware Tasks'!B16</x:f>
        <x:v>M5</x:v>
      </x:c>
      <x:c r="C81" s="68" t="str">
        <x:f>'Hardware Tasks'!C16</x:f>
        <x:v>Validation/Modeling</x:v>
      </x:c>
      <x:c r="D81" s="68" t="str">
        <x:f>'Hardware Tasks'!D16</x:f>
        <x:v>Run sensitivity and identifiability analysis</x:v>
      </x:c>
      <x:c r="E81" s="68" t="str">
        <x:f>'Hardware Tasks'!E16</x:f>
        <x:v>T-506, T-508, T-510, T-511</x:v>
      </x:c>
      <x:c r="F81" s="68" t="str">
        <x:v>Blocked</x:v>
      </x:c>
      <x:c r="G81" s="68" t="str">
        <x:f>'Hardware Tasks'!G16</x:f>
        <x:v>3-4 days</x:v>
      </x:c>
      <x:c r="H81" s="92" t="n">
        <x:f>'Hardware Tasks'!H16</x:f>
        <x:v>3</x:v>
      </x:c>
      <x:c r="I81" s="94" t="n">
        <x:f>'Hardware Tasks'!I16</x:f>
        <x:v>46311</x:v>
      </x:c>
      <x:c r="J81" s="94" t="n">
        <x:f>'Hardware Tasks'!J16</x:f>
        <x:v>46315</x:v>
      </x:c>
      <x:c r="K81" s="68" t="str">
        <x:f>'Hardware Tasks'!K16</x:f>
        <x:v>Physical parameters are ranked by consequence, unidentifiable combinations are named, and measurement effort follows research sensitivity.</x:v>
      </x:c>
    </x:row>
    <x:row r="82" ht="38" customHeight="1">
      <x:c r="A82" s="68" t="str">
        <x:f>'Hardware Tasks'!A17</x:f>
        <x:v>T-513</x:v>
      </x:c>
      <x:c r="B82" s="68" t="str">
        <x:f>'Hardware Tasks'!B17</x:f>
        <x:v>M5</x:v>
      </x:c>
      <x:c r="C82" s="68" t="str">
        <x:f>'Hardware Tasks'!C17</x:f>
        <x:v>Mechanical Decision</x:v>
      </x:c>
      <x:c r="D82" s="68" t="str">
        <x:f>'Hardware Tasks'!D17</x:f>
        <x:v>Select a preliminary geometry and actuation baseline</x:v>
      </x:c>
      <x:c r="E82" s="68" t="str">
        <x:f>'Hardware Tasks'!E17</x:f>
        <x:v>T-507, T-508, T-509, T-512</x:v>
      </x:c>
      <x:c r="F82" s="68" t="str">
        <x:v>Blocked</x:v>
      </x:c>
      <x:c r="G82" s="68" t="str">
        <x:f>'Hardware Tasks'!G17</x:f>
        <x:v>1 day</x:v>
      </x:c>
      <x:c r="H82" s="92" t="n">
        <x:f>'Hardware Tasks'!H17</x:f>
        <x:v>1</x:v>
      </x:c>
      <x:c r="I82" s="94" t="n">
        <x:f>'Hardware Tasks'!I17</x:f>
        <x:v>46316</x:v>
      </x:c>
      <x:c r="J82" s="94" t="n">
        <x:f>'Hardware Tasks'!J17</x:f>
        <x:v>46316</x:v>
      </x:c>
      <x:c r="K82" s="68" t="str">
        <x:f>'Hardware Tasks'!K17</x:f>
        <x:v>A reversible versioned choice covers links, joints, actuator class, sensing, brush, and workcell with alternatives, cost, margins, and risks.</x:v>
      </x:c>
    </x:row>
    <x:row r="83" ht="38" customHeight="1">
      <x:c r="A83" s="68" t="str">
        <x:f>'Hardware Tasks'!A18</x:f>
        <x:v>T-514</x:v>
      </x:c>
      <x:c r="B83" s="68" t="str">
        <x:f>'Hardware Tasks'!B18</x:f>
        <x:v>M5</x:v>
      </x:c>
      <x:c r="C83" s="68" t="str">
        <x:f>'Hardware Tasks'!C18</x:f>
        <x:v>Validation</x:v>
      </x:c>
      <x:c r="D83" s="68" t="str">
        <x:f>'Hardware Tasks'!D18</x:f>
        <x:v>M5 calibration-readiness gate</x:v>
      </x:c>
      <x:c r="E83" s="68" t="str">
        <x:f>'Hardware Tasks'!E18</x:f>
        <x:v>T-511, T-513</x:v>
      </x:c>
      <x:c r="F83" s="68" t="str">
        <x:v>Blocked</x:v>
      </x:c>
      <x:c r="G83" s="68" t="str">
        <x:f>'Hardware Tasks'!G18</x:f>
        <x:v>0.5 day</x:v>
      </x:c>
      <x:c r="H83" s="92" t="n">
        <x:f>'Hardware Tasks'!H18</x:f>
        <x:v>1</x:v>
      </x:c>
      <x:c r="I83" s="94" t="n">
        <x:f>'Hardware Tasks'!I18</x:f>
        <x:v>46317</x:v>
      </x:c>
      <x:c r="J83" s="94" t="n">
        <x:f>'Hardware Tasks'!J18</x:f>
        <x:v>46317</x:v>
      </x:c>
      <x:c r="K83" s="68" t="str">
        <x:f>'Hardware Tasks'!K18</x:f>
        <x:v>Schemas, provenance, uncertainty, sizing, calibration, exports, and bounded M6 fabrication questions are accepted.</x:v>
      </x:c>
    </x:row>
    <x:row r="84" ht="38" customHeight="1">
      <x:c r="A84" s="68" t="str">
        <x:f>'Simulation Tasks'!A5</x:f>
        <x:v>T-101</x:v>
      </x:c>
      <x:c r="B84" s="68" t="str">
        <x:f>'Simulation Tasks'!B5</x:f>
        <x:v>S0</x:v>
      </x:c>
      <x:c r="C84" s="68" t="str">
        <x:f>'Simulation Tasks'!C5</x:f>
        <x:v>Simulation</x:v>
      </x:c>
      <x:c r="D84" s="68" t="str">
        <x:f>'Simulation Tasks'!D5</x:f>
        <x:v>Confirm Python arm sim as canonical abstract reference</x:v>
      </x:c>
      <x:c r="E84" s="68" t="str">
        <x:f>'Simulation Tasks'!E5</x:f>
        <x:v>M0</x:v>
      </x:c>
      <x:c r="F84" s="68" t="str">
        <x:v>Done</x:v>
      </x:c>
      <x:c r="G84" s="68" t="str">
        <x:f>'Simulation Tasks'!G5</x:f>
        <x:v>1 day</x:v>
      </x:c>
      <x:c r="H84" s="92" t="n">
        <x:f>'Simulation Tasks'!H5</x:f>
        <x:v>1</x:v>
      </x:c>
      <x:c r="I84" s="94" t="n">
        <x:f>'Simulation Tasks'!I5</x:f>
        <x:v>46237</x:v>
      </x:c>
      <x:c r="J84" s="94" t="n">
        <x:f>'Simulation Tasks'!J5</x:f>
        <x:v>46237</x:v>
      </x:c>
      <x:c r="K84" s="68" t="str">
        <x:f>'Simulation Tasks'!K5</x:f>
        <x:v>Native simulator constants, limits, home pose, canvas frame, and known shortcuts are documented.</x:v>
      </x:c>
    </x:row>
    <x:row r="85" ht="38" customHeight="1">
      <x:c r="A85" s="68" t="str">
        <x:f>'Simulation Tasks'!A6</x:f>
        <x:v>T-102</x:v>
      </x:c>
      <x:c r="B85" s="68" t="str">
        <x:f>'Simulation Tasks'!B6</x:f>
        <x:v>S0</x:v>
      </x:c>
      <x:c r="C85" s="68" t="str">
        <x:f>'Simulation Tasks'!C6</x:f>
        <x:v>Painting Model</x:v>
      </x:c>
      <x:c r="D85" s="68" t="str">
        <x:f>'Simulation Tasks'!D6</x:f>
        <x:v>Version and protect canvas material invariants</x:v>
      </x:c>
      <x:c r="E85" s="68" t="str">
        <x:f>'Simulation Tasks'!E6</x:f>
        <x:v>M0</x:v>
      </x:c>
      <x:c r="F85" s="68" t="str">
        <x:v>Done</x:v>
      </x:c>
      <x:c r="G85" s="68" t="str">
        <x:f>'Simulation Tasks'!G6</x:f>
        <x:v>1-2 days</x:v>
      </x:c>
      <x:c r="H85" s="92" t="n">
        <x:f>'Simulation Tasks'!H6</x:f>
        <x:v>1</x:v>
      </x:c>
      <x:c r="I85" s="94" t="n">
        <x:f>'Simulation Tasks'!I6</x:f>
        <x:v>46238</x:v>
      </x:c>
      <x:c r="J85" s="94" t="n">
        <x:f>'Simulation Tasks'!J6</x:f>
        <x:v>46238</x:v>
      </x:c>
      <x:c r="K85" s="68" t="str">
        <x:f>'Simulation Tasks'!K6</x:f>
        <x:v>Tests confirm thickness, wetness, pigment mass, visible tone, white-on-white coverage, and material coverage behavior.</x:v>
      </x:c>
    </x:row>
    <x:row r="86" ht="38" customHeight="1">
      <x:c r="A86" s="68" t="str">
        <x:f>'Simulation Tasks'!A7</x:f>
        <x:v>T-103</x:v>
      </x:c>
      <x:c r="B86" s="68" t="str">
        <x:f>'Simulation Tasks'!B7</x:f>
        <x:v>S0</x:v>
      </x:c>
      <x:c r="C86" s="68" t="str">
        <x:f>'Simulation Tasks'!C7</x:f>
        <x:v>Control</x:v>
      </x:c>
      <x:c r="D86" s="68" t="str">
        <x:f>'Simulation Tasks'!D7</x:f>
        <x:v>Define controller, plant, and policy interfaces</x:v>
      </x:c>
      <x:c r="E86" s="68" t="str">
        <x:f>'Simulation Tasks'!E7</x:f>
        <x:v>T-101</x:v>
      </x:c>
      <x:c r="F86" s="68" t="str">
        <x:v>Done</x:v>
      </x:c>
      <x:c r="G86" s="68" t="str">
        <x:f>'Simulation Tasks'!G7</x:f>
        <x:v>1 day</x:v>
      </x:c>
      <x:c r="H86" s="92" t="n">
        <x:f>'Simulation Tasks'!H7</x:f>
        <x:v>1</x:v>
      </x:c>
      <x:c r="I86" s="94" t="n">
        <x:f>'Simulation Tasks'!I7</x:f>
        <x:v>46239</x:v>
      </x:c>
      <x:c r="J86" s="94" t="n">
        <x:f>'Simulation Tasks'!J7</x:f>
        <x:v>46239</x:v>
      </x:c>
      <x:c r="K86" s="68" t="str">
        <x:f>'Simulation Tasks'!K7</x:f>
        <x:v>StrokeAction` remains Cartesian/contact intent and IK remains below policy selection.</x:v>
      </x:c>
    </x:row>
    <x:row r="87" ht="38" customHeight="1">
      <x:c r="A87" s="68" t="str">
        <x:f>'Simulation Tasks'!A8</x:f>
        <x:v>T-104</x:v>
      </x:c>
      <x:c r="B87" s="68" t="str">
        <x:f>'Simulation Tasks'!B8</x:f>
        <x:v>S0</x:v>
      </x:c>
      <x:c r="C87" s="68" t="str">
        <x:f>'Simulation Tasks'!C8</x:f>
        <x:v>Validation</x:v>
      </x:c>
      <x:c r="D87" s="68" t="str">
        <x:f>'Simulation Tasks'!D8</x:f>
        <x:v>Record full baseline test result</x:v>
      </x:c>
      <x:c r="E87" s="68" t="str">
        <x:f>'Simulation Tasks'!E8</x:f>
        <x:v>T-101, T-102, T-103</x:v>
      </x:c>
      <x:c r="F87" s="68" t="str">
        <x:v>Done</x:v>
      </x:c>
      <x:c r="G87" s="68" t="str">
        <x:f>'Simulation Tasks'!G8</x:f>
        <x:v>0.5 day</x:v>
      </x:c>
      <x:c r="H87" s="92" t="n">
        <x:f>'Simulation Tasks'!H8</x:f>
        <x:v>1</x:v>
      </x:c>
      <x:c r="I87" s="94" t="n">
        <x:f>'Simulation Tasks'!I8</x:f>
        <x:v>46240</x:v>
      </x:c>
      <x:c r="J87" s="94" t="n">
        <x:f>'Simulation Tasks'!J8</x:f>
        <x:v>46240</x:v>
      </x:c>
      <x:c r="K87" s="68" t="str">
        <x:f>'Simulation Tasks'!K8</x:f>
        <x:v>Current planner, arm, canvas, and web tests have a recorded baseline result.</x:v>
      </x:c>
    </x:row>
    <x:row r="88" ht="38" customHeight="1">
      <x:c r="A88" s="68" t="str">
        <x:f>'Simulation Tasks'!A9</x:f>
        <x:v>T-105</x:v>
      </x:c>
      <x:c r="B88" s="68" t="str">
        <x:f>'Simulation Tasks'!B9</x:f>
        <x:v>S0</x:v>
      </x:c>
      <x:c r="C88" s="68" t="str">
        <x:f>'Simulation Tasks'!C9</x:f>
        <x:v>Web/Telemetry</x:v>
      </x:c>
      <x:c r="D88" s="68" t="str">
        <x:f>'Simulation Tasks'!D9</x:f>
        <x:v>Capture baseline telemetry and web-runtime behavior</x:v>
      </x:c>
      <x:c r="E88" s="68" t="str">
        <x:f>'Simulation Tasks'!E9</x:f>
        <x:v>T-101, T-103</x:v>
      </x:c>
      <x:c r="F88" s="68" t="str">
        <x:v>Done</x:v>
      </x:c>
      <x:c r="G88" s="68" t="str">
        <x:f>'Simulation Tasks'!G9</x:f>
        <x:v>1 day</x:v>
      </x:c>
      <x:c r="H88" s="92" t="n">
        <x:f>'Simulation Tasks'!H9</x:f>
        <x:v>1</x:v>
      </x:c>
      <x:c r="I88" s="94" t="n">
        <x:f>'Simulation Tasks'!I9</x:f>
        <x:v>46241</x:v>
      </x:c>
      <x:c r="J88" s="94" t="n">
        <x:f>'Simulation Tasks'!J9</x:f>
        <x:v>46241</x:v>
      </x:c>
      <x:c r="K88" s="68" t="str">
        <x:f>'Simulation Tasks'!K9</x:f>
        <x:v>Default web runtime endpoints, frontend state, canvas image, and telemetry CSV have a recorded baseline.</x:v>
      </x:c>
    </x:row>
    <x:row r="89" ht="38" customHeight="1">
      <x:c r="A89" s="68" t="str">
        <x:f>'Simulation Tasks'!A10</x:f>
        <x:v>T-106</x:v>
      </x:c>
      <x:c r="B89" s="68" t="str">
        <x:f>'Simulation Tasks'!B10</x:f>
        <x:v>S0</x:v>
      </x:c>
      <x:c r="C89" s="68" t="str">
        <x:f>'Simulation Tasks'!C10</x:f>
        <x:v>Documentation</x:v>
      </x:c>
      <x:c r="D89" s="68" t="str">
        <x:f>'Simulation Tasks'!D10</x:f>
        <x:v>Document known simulator shortcuts and limitations</x:v>
      </x:c>
      <x:c r="E89" s="68" t="str">
        <x:f>'Simulation Tasks'!E10</x:f>
        <x:v>T-101, T-102, T-103</x:v>
      </x:c>
      <x:c r="F89" s="68" t="str">
        <x:v>Done</x:v>
      </x:c>
      <x:c r="G89" s="68" t="str">
        <x:f>'Simulation Tasks'!G10</x:f>
        <x:v>1 day</x:v>
      </x:c>
      <x:c r="H89" s="92" t="n">
        <x:f>'Simulation Tasks'!H10</x:f>
        <x:v>1</x:v>
      </x:c>
      <x:c r="I89" s="94" t="n">
        <x:f>'Simulation Tasks'!I10</x:f>
        <x:v>46244</x:v>
      </x:c>
      <x:c r="J89" s="94" t="n">
        <x:f>'Simulation Tasks'!J10</x:f>
        <x:v>46244</x:v>
      </x:c>
      <x:c r="K89" s="68" t="str">
        <x:f>'Simulation Tasks'!K10</x:f>
        <x:v>Simulator shortcuts are categorized as acceptable baseline, MuJoCo calibration need, or hardware validation need.</x:v>
      </x:c>
    </x:row>
    <x:row r="90" ht="38" customHeight="1">
      <x:c r="A90" s="68" t="str">
        <x:f>'Simulation Tasks'!A11</x:f>
        <x:v>T-107</x:v>
      </x:c>
      <x:c r="B90" s="68" t="str">
        <x:f>'Simulation Tasks'!B11</x:f>
        <x:v>S0</x:v>
      </x:c>
      <x:c r="C90" s="68" t="str">
        <x:f>'Simulation Tasks'!C11</x:f>
        <x:v>Research Ops</x:v>
      </x:c>
      <x:c r="D90" s="68" t="str">
        <x:f>'Simulation Tasks'!D11</x:f>
        <x:v>Define baseline artifact bundle</x:v>
      </x:c>
      <x:c r="E90" s="68" t="str">
        <x:f>'Simulation Tasks'!E11</x:f>
        <x:v>T-003, T-104, T-105</x:v>
      </x:c>
      <x:c r="F90" s="68" t="str">
        <x:v>Done</x:v>
      </x:c>
      <x:c r="G90" s="68" t="str">
        <x:f>'Simulation Tasks'!G11</x:f>
        <x:v>0.5-1 day</x:v>
      </x:c>
      <x:c r="H90" s="92" t="n">
        <x:f>'Simulation Tasks'!H11</x:f>
        <x:v>1</x:v>
      </x:c>
      <x:c r="I90" s="94" t="n">
        <x:f>'Simulation Tasks'!I11</x:f>
        <x:v>46245</x:v>
      </x:c>
      <x:c r="J90" s="94" t="n">
        <x:f>'Simulation Tasks'!J11</x:f>
        <x:v>46245</x:v>
      </x:c>
      <x:c r="K90" s="68" t="str">
        <x:f>'Simulation Tasks'!K11</x:f>
        <x:v>Baseline bundle contents and location are defined, including test summary, config, telemetry, canvas image, and notes.</x:v>
      </x:c>
    </x:row>
    <x:row r="91" ht="38" customHeight="1">
      <x:c r="A91" s="68" t="str">
        <x:f>'Simulation Tasks'!A12</x:f>
        <x:v>T-108</x:v>
      </x:c>
      <x:c r="B91" s="68" t="str">
        <x:f>'Simulation Tasks'!B12</x:f>
        <x:v>S0</x:v>
      </x:c>
      <x:c r="C91" s="68" t="str">
        <x:f>'Simulation Tasks'!C12</x:f>
        <x:v>Validation</x:v>
      </x:c>
      <x:c r="D91" s="68" t="str">
        <x:f>'Simulation Tasks'!D12</x:f>
        <x:v>S0 reference-contract decision</x:v>
      </x:c>
      <x:c r="E91" s="68" t="str">
        <x:f>'Simulation Tasks'!E12</x:f>
        <x:v>T-104, T-105, T-106, T-107</x:v>
      </x:c>
      <x:c r="F91" s="68" t="str">
        <x:v>Ready</x:v>
      </x:c>
      <x:c r="G91" s="68" t="str">
        <x:f>'Simulation Tasks'!G12</x:f>
        <x:v>0.5 day</x:v>
      </x:c>
      <x:c r="H91" s="92" t="n">
        <x:f>'Simulation Tasks'!H12</x:f>
        <x:v>1</x:v>
      </x:c>
      <x:c r="I91" s="94" t="n">
        <x:f>'Simulation Tasks'!I12</x:f>
        <x:v>46246</x:v>
      </x:c>
      <x:c r="J91" s="94" t="n">
        <x:f>'Simulation Tasks'!J12</x:f>
        <x:v>46246</x:v>
      </x:c>
      <x:c r="K91" s="68" t="str">
        <x:f>'Simulation Tasks'!K12</x:f>
        <x:v>S0 is marked locked only if baseline tests pass or failures are documented and judged non-blocking.</x:v>
      </x:c>
    </x:row>
    <x:row r="92" ht="38" customHeight="1">
      <x:c r="A92" s="68" t="str">
        <x:f>'Simulation Tasks'!A13</x:f>
        <x:v>T-201</x:v>
      </x:c>
      <x:c r="B92" s="68" t="str">
        <x:f>'Simulation Tasks'!B13</x:f>
        <x:v>S1</x:v>
      </x:c>
      <x:c r="C92" s="68" t="str">
        <x:f>'Simulation Tasks'!C13</x:f>
        <x:v>MuJoCo</x:v>
      </x:c>
      <x:c r="D92" s="68" t="str">
        <x:f>'Simulation Tasks'!D13</x:f>
        <x:v>Match native arm constants in MuJoCo XML</x:v>
      </x:c>
      <x:c r="E92" s="68" t="str">
        <x:f>'Simulation Tasks'!E13</x:f>
        <x:v>T-101</x:v>
      </x:c>
      <x:c r="F92" s="68" t="str">
        <x:v>Done</x:v>
      </x:c>
      <x:c r="G92" s="68" t="str">
        <x:f>'Simulation Tasks'!G13</x:f>
        <x:v>1-2 days</x:v>
      </x:c>
      <x:c r="H92" s="92" t="n">
        <x:f>'Simulation Tasks'!H13</x:f>
        <x:v>1</x:v>
      </x:c>
      <x:c r="I92" s="94" t="n">
        <x:f>'Simulation Tasks'!I13</x:f>
        <x:v>46258</x:v>
      </x:c>
      <x:c r="J92" s="94" t="n">
        <x:f>'Simulation Tasks'!J13</x:f>
        <x:v>46258</x:v>
      </x:c>
      <x:c r="K92" s="68" t="str">
        <x:f>'Simulation Tasks'!K13</x:f>
        <x:v>XML matches native joint order, axes, ranges, home pose, link lengths, and canvas frame.</x:v>
      </x:c>
    </x:row>
    <x:row r="93" ht="38" customHeight="1">
      <x:c r="A93" s="68" t="str">
        <x:f>'Simulation Tasks'!A14</x:f>
        <x:v>T-202</x:v>
      </x:c>
      <x:c r="B93" s="68" t="str">
        <x:f>'Simulation Tasks'!B14</x:f>
        <x:v>S1</x:v>
      </x:c>
      <x:c r="C93" s="68" t="str">
        <x:f>'Simulation Tasks'!C14</x:f>
        <x:v>Validation</x:v>
      </x:c>
      <x:c r="D93" s="68" t="str">
        <x:f>'Simulation Tasks'!D14</x:f>
        <x:v>Add XML constant tests</x:v>
      </x:c>
      <x:c r="E93" s="68" t="str">
        <x:f>'Simulation Tasks'!E14</x:f>
        <x:v>T-201</x:v>
      </x:c>
      <x:c r="F93" s="68" t="str">
        <x:v>Done</x:v>
      </x:c>
      <x:c r="G93" s="68" t="str">
        <x:f>'Simulation Tasks'!G14</x:f>
        <x:v>0.5 day</x:v>
      </x:c>
      <x:c r="H93" s="92" t="n">
        <x:f>'Simulation Tasks'!H14</x:f>
        <x:v>1</x:v>
      </x:c>
      <x:c r="I93" s="94" t="n">
        <x:f>'Simulation Tasks'!I14</x:f>
        <x:v>46259</x:v>
      </x:c>
      <x:c r="J93" s="94" t="n">
        <x:f>'Simulation Tasks'!J14</x:f>
        <x:v>46259</x:v>
      </x:c>
      <x:c r="K93" s="68" t="str">
        <x:f>'Simulation Tasks'!K14</x:f>
        <x:v>Tests compare XML constants against `arm_sim.py`.</x:v>
      </x:c>
    </x:row>
    <x:row r="94" ht="38" customHeight="1">
      <x:c r="A94" s="68" t="str">
        <x:f>'Simulation Tasks'!A15</x:f>
        <x:v>T-203</x:v>
      </x:c>
      <x:c r="B94" s="68" t="str">
        <x:f>'Simulation Tasks'!B15</x:f>
        <x:v>S1</x:v>
      </x:c>
      <x:c r="C94" s="68" t="str">
        <x:f>'Simulation Tasks'!C15</x:f>
        <x:v>MuJoCo</x:v>
      </x:c>
      <x:c r="D94" s="68" t="str">
        <x:f>'Simulation Tasks'!D15</x:f>
        <x:v>Validate MuJoCo forward kinematics against native kinematics</x:v>
      </x:c>
      <x:c r="E94" s="68" t="str">
        <x:f>'Simulation Tasks'!E15</x:f>
        <x:v>T-201, T-202</x:v>
      </x:c>
      <x:c r="F94" s="68" t="str">
        <x:v>Done</x:v>
      </x:c>
      <x:c r="G94" s="68" t="str">
        <x:f>'Simulation Tasks'!G15</x:f>
        <x:v>1-2 days</x:v>
      </x:c>
      <x:c r="H94" s="92" t="n">
        <x:f>'Simulation Tasks'!H15</x:f>
        <x:v>1</x:v>
      </x:c>
      <x:c r="I94" s="94" t="n">
        <x:f>'Simulation Tasks'!I15</x:f>
        <x:v>46260</x:v>
      </x:c>
      <x:c r="J94" s="94" t="n">
        <x:f>'Simulation Tasks'!J15</x:f>
        <x:v>46260</x:v>
      </x:c>
      <x:c r="K94" s="68" t="str">
        <x:f>'Simulation Tasks'!K15</x:f>
        <x:v>Representative MuJoCo tip/site poses match native forward kinematics within tolerance.</x:v>
      </x:c>
    </x:row>
    <x:row r="95" ht="38" customHeight="1">
      <x:c r="A95" s="68" t="str">
        <x:f>'Simulation Tasks'!A16</x:f>
        <x:v>T-204</x:v>
      </x:c>
      <x:c r="B95" s="68" t="str">
        <x:f>'Simulation Tasks'!B16</x:f>
        <x:v>S1</x:v>
      </x:c>
      <x:c r="C95" s="68" t="str">
        <x:f>'Simulation Tasks'!C16</x:f>
        <x:v>MuJoCo</x:v>
      </x:c>
      <x:c r="D95" s="68" t="str">
        <x:f>'Simulation Tasks'!D16</x:f>
        <x:v>Keep physical housings visual-only</x:v>
      </x:c>
      <x:c r="E95" s="68" t="str">
        <x:f>'Simulation Tasks'!E16</x:f>
        <x:v>T-201</x:v>
      </x:c>
      <x:c r="F95" s="68" t="str">
        <x:v>Done</x:v>
      </x:c>
      <x:c r="G95" s="68" t="str">
        <x:f>'Simulation Tasks'!G16</x:f>
        <x:v>0.5 day</x:v>
      </x:c>
      <x:c r="H95" s="92" t="n">
        <x:f>'Simulation Tasks'!H16</x:f>
        <x:v>1</x:v>
      </x:c>
      <x:c r="I95" s="94" t="n">
        <x:f>'Simulation Tasks'!I16</x:f>
        <x:v>46261</x:v>
      </x:c>
      <x:c r="J95" s="94" t="n">
        <x:f>'Simulation Tasks'!J16</x:f>
        <x:v>46261</x:v>
      </x:c>
      <x:c r="K95" s="68" t="str">
        <x:f>'Simulation Tasks'!K16</x:f>
        <x:v>Base and joint geometry do not accidentally constrain the abstract clone.</x:v>
      </x:c>
    </x:row>
    <x:row r="96" ht="38" customHeight="1">
      <x:c r="A96" s="68" t="str">
        <x:f>'Simulation Tasks'!A17</x:f>
        <x:v>T-205</x:v>
      </x:c>
      <x:c r="B96" s="68" t="str">
        <x:f>'Simulation Tasks'!B17</x:f>
        <x:v>S1</x:v>
      </x:c>
      <x:c r="C96" s="68" t="str">
        <x:f>'Simulation Tasks'!C17</x:f>
        <x:v>Documentation</x:v>
      </x:c>
      <x:c r="D96" s="68" t="str">
        <x:f>'Simulation Tasks'!D17</x:f>
        <x:v>Document exact versus approximate model fields</x:v>
      </x:c>
      <x:c r="E96" s="68" t="str">
        <x:f>'Simulation Tasks'!E17</x:f>
        <x:v>T-201</x:v>
      </x:c>
      <x:c r="F96" s="68" t="str">
        <x:v>Done</x:v>
      </x:c>
      <x:c r="G96" s="68" t="str">
        <x:f>'Simulation Tasks'!G17</x:f>
        <x:v>0.5 day</x:v>
      </x:c>
      <x:c r="H96" s="92" t="n">
        <x:f>'Simulation Tasks'!H17</x:f>
        <x:v>1</x:v>
      </x:c>
      <x:c r="I96" s="94" t="n">
        <x:f>'Simulation Tasks'!I17</x:f>
        <x:v>46262</x:v>
      </x:c>
      <x:c r="J96" s="94" t="n">
        <x:f>'Simulation Tasks'!J17</x:f>
        <x:v>46262</x:v>
      </x:c>
      <x:c r="K96" s="68" t="str">
        <x:f>'Simulation Tasks'!K17</x:f>
        <x:v>Model documentation distinguishes simulator-truth fields from visual placeholders.</x:v>
      </x:c>
    </x:row>
    <x:row r="97" ht="38" customHeight="1">
      <x:c r="A97" s="68" t="str">
        <x:f>'Simulation Tasks'!A18</x:f>
        <x:v>T-206</x:v>
      </x:c>
      <x:c r="B97" s="68" t="str">
        <x:f>'Simulation Tasks'!B18</x:f>
        <x:v>S1</x:v>
      </x:c>
      <x:c r="C97" s="68" t="str">
        <x:f>'Simulation Tasks'!C18</x:f>
        <x:v>Validation</x:v>
      </x:c>
      <x:c r="D97" s="68" t="str">
        <x:f>'Simulation Tasks'!D18</x:f>
        <x:v>Add MuJoCo load/compile smoke test</x:v>
      </x:c>
      <x:c r="E97" s="68" t="str">
        <x:f>'Simulation Tasks'!E18</x:f>
        <x:v>T-201</x:v>
      </x:c>
      <x:c r="F97" s="68" t="str">
        <x:v>Done</x:v>
      </x:c>
      <x:c r="G97" s="68" t="str">
        <x:f>'Simulation Tasks'!G18</x:f>
        <x:v>0.5-1 day</x:v>
      </x:c>
      <x:c r="H97" s="92" t="n">
        <x:f>'Simulation Tasks'!H18</x:f>
        <x:v>1</x:v>
      </x:c>
      <x:c r="I97" s="94" t="n">
        <x:f>'Simulation Tasks'!I18</x:f>
        <x:v>46265</x:v>
      </x:c>
      <x:c r="J97" s="94" t="n">
        <x:f>'Simulation Tasks'!J18</x:f>
        <x:v>46265</x:v>
      </x:c>
      <x:c r="K97" s="68" t="str">
        <x:f>'Simulation Tasks'!K18</x:f>
        <x:v>Optional MuJoCo package loads the XML when installed and skips cleanly when unavailable.</x:v>
      </x:c>
    </x:row>
    <x:row r="98" ht="38" customHeight="1">
      <x:c r="A98" s="68" t="str">
        <x:f>'Simulation Tasks'!A19</x:f>
        <x:v>T-207</x:v>
      </x:c>
      <x:c r="B98" s="68" t="str">
        <x:f>'Simulation Tasks'!B19</x:f>
        <x:v>S1</x:v>
      </x:c>
      <x:c r="C98" s="68" t="str">
        <x:f>'Simulation Tasks'!C19</x:f>
        <x:v>Operations</x:v>
      </x:c>
      <x:c r="D98" s="68" t="str">
        <x:f>'Simulation Tasks'!D19</x:f>
        <x:v>Define model version label</x:v>
      </x:c>
      <x:c r="E98" s="68" t="str">
        <x:f>'Simulation Tasks'!E19</x:f>
        <x:v>T-002, T-201</x:v>
      </x:c>
      <x:c r="F98" s="68" t="str">
        <x:v>Done</x:v>
      </x:c>
      <x:c r="G98" s="68" t="str">
        <x:f>'Simulation Tasks'!G19</x:f>
        <x:v>0.5 day</x:v>
      </x:c>
      <x:c r="H98" s="92" t="n">
        <x:f>'Simulation Tasks'!H19</x:f>
        <x:v>1</x:v>
      </x:c>
      <x:c r="I98" s="94" t="n">
        <x:f>'Simulation Tasks'!I19</x:f>
        <x:v>46266</x:v>
      </x:c>
      <x:c r="J98" s="94" t="n">
        <x:f>'Simulation Tasks'!J19</x:f>
        <x:v>46266</x:v>
      </x:c>
      <x:c r="K98" s="68" t="str">
        <x:f>'Simulation Tasks'!K19</x:f>
        <x:v>Abstract model version is named and distinguished from future calibrated hardware model versions.</x:v>
      </x:c>
    </x:row>
    <x:row r="99" ht="38" customHeight="1">
      <x:c r="A99" s="68" t="str">
        <x:f>'Simulation Tasks'!A20</x:f>
        <x:v>T-208</x:v>
      </x:c>
      <x:c r="B99" s="68" t="str">
        <x:f>'Simulation Tasks'!B20</x:f>
        <x:v>S1</x:v>
      </x:c>
      <x:c r="C99" s="68" t="str">
        <x:f>'Simulation Tasks'!C20</x:f>
        <x:v>Manual Validation</x:v>
      </x:c>
      <x:c r="D99" s="68" t="str">
        <x:f>'Simulation Tasks'!D20</x:f>
        <x:v>Compare model behavior in MuJoCo viewer</x:v>
      </x:c>
      <x:c r="E99" s="68" t="str">
        <x:f>'Simulation Tasks'!E20</x:f>
        <x:v>T-201, T-206</x:v>
      </x:c>
      <x:c r="F99" s="68" t="str">
        <x:v>Active</x:v>
      </x:c>
      <x:c r="G99" s="68" t="str">
        <x:f>'Simulation Tasks'!G20</x:f>
        <x:v>0.5-1 day</x:v>
      </x:c>
      <x:c r="H99" s="92" t="n">
        <x:f>'Simulation Tasks'!H20</x:f>
        <x:v>1</x:v>
      </x:c>
      <x:c r="I99" s="94" t="n">
        <x:f>'Simulation Tasks'!I20</x:f>
        <x:v>46267</x:v>
      </x:c>
      <x:c r="J99" s="94" t="n">
        <x:f>'Simulation Tasks'!J20</x:f>
        <x:v>46267</x:v>
      </x:c>
      <x:c r="K99" s="68" t="str">
        <x:f>'Simulation Tasks'!K20</x:f>
        <x:v>Manual viewer load confirms expected joint sliders, tip/canvas alignment, and triaged discrepancies.</x:v>
      </x:c>
    </x:row>
    <x:row r="100" ht="38" customHeight="1">
      <x:c r="A100" s="68" t="str">
        <x:f>'Simulation Tasks'!A21</x:f>
        <x:v>T-209</x:v>
      </x:c>
      <x:c r="B100" s="68" t="str">
        <x:f>'Simulation Tasks'!B21</x:f>
        <x:v>S1</x:v>
      </x:c>
      <x:c r="C100" s="68" t="str">
        <x:f>'Simulation Tasks'!C21</x:f>
        <x:v>Validation</x:v>
      </x:c>
      <x:c r="D100" s="68" t="str">
        <x:f>'Simulation Tasks'!D21</x:f>
        <x:v>S1 lock decision</x:v>
      </x:c>
      <x:c r="E100" s="68" t="str">
        <x:f>'Simulation Tasks'!E21</x:f>
        <x:v>T-203, T-204, T-205, T-206, T-208</x:v>
      </x:c>
      <x:c r="F100" s="68" t="str">
        <x:v>Blocked</x:v>
      </x:c>
      <x:c r="G100" s="68" t="str">
        <x:f>'Simulation Tasks'!G21</x:f>
        <x:v>0.5 day</x:v>
      </x:c>
      <x:c r="H100" s="92" t="n">
        <x:f>'Simulation Tasks'!H21</x:f>
        <x:v>1</x:v>
      </x:c>
      <x:c r="I100" s="94" t="n">
        <x:f>'Simulation Tasks'!I21</x:f>
        <x:v>46268</x:v>
      </x:c>
      <x:c r="J100" s="94" t="n">
        <x:f>'Simulation Tasks'!J21</x:f>
        <x:v>46268</x:v>
      </x:c>
      <x:c r="K100" s="68" t="str">
        <x:f>'Simulation Tasks'!K21</x:f>
        <x:v>S1 is locked only after XML tests, load/compile status, and viewer issues are accepted or triaged.</x:v>
      </x:c>
    </x:row>
    <x:row r="101" ht="38" customHeight="1">
      <x:c r="A101" s="68" t="str">
        <x:f>'Simulation Tasks'!A22</x:f>
        <x:v>T-301</x:v>
      </x:c>
      <x:c r="B101" s="68" t="str">
        <x:f>'Simulation Tasks'!B22</x:f>
        <x:v>S2</x:v>
      </x:c>
      <x:c r="C101" s="68" t="str">
        <x:f>'Simulation Tasks'!C22</x:f>
        <x:v>Architecture</x:v>
      </x:c>
      <x:c r="D101" s="68" t="str">
        <x:f>'Simulation Tasks'!D22</x:f>
        <x:v>Define common backend surface</x:v>
      </x:c>
      <x:c r="E101" s="68" t="str">
        <x:f>'Simulation Tasks'!E22</x:f>
        <x:v>S0, S1</x:v>
      </x:c>
      <x:c r="F101" s="68" t="str">
        <x:v>Done</x:v>
      </x:c>
      <x:c r="G101" s="68" t="str">
        <x:f>'Simulation Tasks'!G22</x:f>
        <x:v>1-2 days</x:v>
      </x:c>
      <x:c r="H101" s="92" t="n">
        <x:f>'Simulation Tasks'!H22</x:f>
        <x:v>1</x:v>
      </x:c>
      <x:c r="I101" s="94" t="n">
        <x:f>'Simulation Tasks'!I22</x:f>
        <x:v>46279</x:v>
      </x:c>
      <x:c r="J101" s="94" t="n">
        <x:f>'Simulation Tasks'!J22</x:f>
        <x:v>46279</x:v>
      </x:c>
      <x:c r="K101" s="68" t="str">
        <x:f>'Simulation Tasks'!K22</x:f>
        <x:v>Python sim and MuJoCo sim expose a shared controller-facing interface.</x:v>
      </x:c>
    </x:row>
    <x:row r="102" ht="38" customHeight="1">
      <x:c r="A102" s="68" t="str">
        <x:f>'Simulation Tasks'!A23</x:f>
        <x:v>T-302</x:v>
      </x:c>
      <x:c r="B102" s="68" t="str">
        <x:f>'Simulation Tasks'!B23</x:f>
        <x:v>S2</x:v>
      </x:c>
      <x:c r="C102" s="68" t="str">
        <x:f>'Simulation Tasks'!C23</x:f>
        <x:v>Control</x:v>
      </x:c>
      <x:c r="D102" s="68" t="str">
        <x:f>'Simulation Tasks'!D23</x:f>
        <x:v>Map ArmPose targets to MuJoCo controls</x:v>
      </x:c>
      <x:c r="E102" s="68" t="str">
        <x:f>'Simulation Tasks'!E23</x:f>
        <x:v>T-301</x:v>
      </x:c>
      <x:c r="F102" s="68" t="str">
        <x:v>Done</x:v>
      </x:c>
      <x:c r="G102" s="68" t="str">
        <x:f>'Simulation Tasks'!G23</x:f>
        <x:v>1 day</x:v>
      </x:c>
      <x:c r="H102" s="92" t="n">
        <x:f>'Simulation Tasks'!H23</x:f>
        <x:v>1</x:v>
      </x:c>
      <x:c r="I102" s="94" t="n">
        <x:f>'Simulation Tasks'!I23</x:f>
        <x:v>46280</x:v>
      </x:c>
      <x:c r="J102" s="94" t="n">
        <x:f>'Simulation Tasks'!J23</x:f>
        <x:v>46280</x:v>
      </x:c>
      <x:c r="K102" s="68" t="str">
        <x:f>'Simulation Tasks'!K23</x:f>
        <x:v>Degree-based controller targets are converted correctly for MuJoCo runtime controls.</x:v>
      </x:c>
    </x:row>
    <x:row r="103" ht="38" customHeight="1">
      <x:c r="A103" s="68" t="str">
        <x:f>'Simulation Tasks'!A24</x:f>
        <x:v>T-303</x:v>
      </x:c>
      <x:c r="B103" s="68" t="str">
        <x:f>'Simulation Tasks'!B24</x:f>
        <x:v>S2</x:v>
      </x:c>
      <x:c r="C103" s="68" t="str">
        <x:f>'Simulation Tasks'!C24</x:f>
        <x:v>MuJoCo</x:v>
      </x:c>
      <x:c r="D103" s="68" t="str">
        <x:f>'Simulation Tasks'!D24</x:f>
        <x:v>Read MuJoCo state into existing pose/contact structures</x:v>
      </x:c>
      <x:c r="E103" s="68" t="str">
        <x:f>'Simulation Tasks'!E24</x:f>
        <x:v>T-301, T-302</x:v>
      </x:c>
      <x:c r="F103" s="68" t="str">
        <x:v>Done</x:v>
      </x:c>
      <x:c r="G103" s="68" t="str">
        <x:f>'Simulation Tasks'!G24</x:f>
        <x:v>1-2 days</x:v>
      </x:c>
      <x:c r="H103" s="92" t="n">
        <x:f>'Simulation Tasks'!H24</x:f>
        <x:v>1</x:v>
      </x:c>
      <x:c r="I103" s="94" t="n">
        <x:f>'Simulation Tasks'!I24</x:f>
        <x:v>46281</x:v>
      </x:c>
      <x:c r="J103" s="94" t="n">
        <x:f>'Simulation Tasks'!J24</x:f>
        <x:v>46281</x:v>
      </x:c>
      <x:c r="K103" s="68" t="str">
        <x:f>'Simulation Tasks'!K24</x:f>
        <x:v>Joint, tip, contact, and telemetry values can be consumed by current runtime code.</x:v>
      </x:c>
    </x:row>
    <x:row r="104" ht="38" customHeight="1">
      <x:c r="A104" s="68" t="str">
        <x:f>'Simulation Tasks'!A25</x:f>
        <x:v>T-304</x:v>
      </x:c>
      <x:c r="B104" s="68" t="str">
        <x:f>'Simulation Tasks'!B25</x:f>
        <x:v>S2</x:v>
      </x:c>
      <x:c r="C104" s="68" t="str">
        <x:f>'Simulation Tasks'!C25</x:f>
        <x:v>Painting Model</x:v>
      </x:c>
      <x:c r="D104" s="68" t="str">
        <x:f>'Simulation Tasks'!D25</x:f>
        <x:v>Reuse VerticalCanvas for MuJoCo-driven paint</x:v>
      </x:c>
      <x:c r="E104" s="68" t="str">
        <x:f>'Simulation Tasks'!E25</x:f>
        <x:v>T-303</x:v>
      </x:c>
      <x:c r="F104" s="68" t="str">
        <x:v>Done</x:v>
      </x:c>
      <x:c r="G104" s="68" t="str">
        <x:f>'Simulation Tasks'!G25</x:f>
        <x:v>1-2 days</x:v>
      </x:c>
      <x:c r="H104" s="92" t="n">
        <x:f>'Simulation Tasks'!H25</x:f>
        <x:v>1</x:v>
      </x:c>
      <x:c r="I104" s="94" t="n">
        <x:f>'Simulation Tasks'!I25</x:f>
        <x:v>46282</x:v>
      </x:c>
      <x:c r="J104" s="94" t="n">
        <x:f>'Simulation Tasks'!J25</x:f>
        <x:v>46282</x:v>
      </x:c>
      <x:c r="K104" s="68" t="str">
        <x:f>'Simulation Tasks'!K25</x:f>
        <x:v>MuJoCo brush contact deposits paint through the existing material model.</x:v>
      </x:c>
    </x:row>
    <x:row r="105" ht="38" customHeight="1">
      <x:c r="A105" s="68" t="str">
        <x:f>'Simulation Tasks'!A26</x:f>
        <x:v>T-305</x:v>
      </x:c>
      <x:c r="B105" s="68" t="str">
        <x:f>'Simulation Tasks'!B26</x:f>
        <x:v>S2</x:v>
      </x:c>
      <x:c r="C105" s="68" t="str">
        <x:f>'Simulation Tasks'!C26</x:f>
        <x:v>Validation</x:v>
      </x:c>
      <x:c r="D105" s="68" t="str">
        <x:f>'Simulation Tasks'!D26</x:f>
        <x:v>Add scripted-stroke smoke tests</x:v>
      </x:c>
      <x:c r="E105" s="68" t="str">
        <x:f>'Simulation Tasks'!E26</x:f>
        <x:v>T-302, T-303, T-304</x:v>
      </x:c>
      <x:c r="F105" s="68" t="str">
        <x:v>Done</x:v>
      </x:c>
      <x:c r="G105" s="68" t="str">
        <x:f>'Simulation Tasks'!G26</x:f>
        <x:v>1 day</x:v>
      </x:c>
      <x:c r="H105" s="92" t="n">
        <x:f>'Simulation Tasks'!H26</x:f>
        <x:v>1</x:v>
      </x:c>
      <x:c r="I105" s="94" t="n">
        <x:f>'Simulation Tasks'!I26</x:f>
        <x:v>46283</x:v>
      </x:c>
      <x:c r="J105" s="94" t="n">
        <x:f>'Simulation Tasks'!J26</x:f>
        <x:v>46283</x:v>
      </x:c>
      <x:c r="K105" s="68" t="str">
        <x:f>'Simulation Tasks'!K26</x:f>
        <x:v>A scripted MuJoCo stroke reaches the canvas and updates material coverage.</x:v>
      </x:c>
    </x:row>
    <x:row r="106" ht="38" customHeight="1">
      <x:c r="A106" s="68" t="str">
        <x:f>'Simulation Tasks'!A27</x:f>
        <x:v>T-306</x:v>
      </x:c>
      <x:c r="B106" s="68" t="str">
        <x:f>'Simulation Tasks'!B27</x:f>
        <x:v>S2</x:v>
      </x:c>
      <x:c r="C106" s="68" t="str">
        <x:f>'Simulation Tasks'!C27</x:f>
        <x:v>Web/Runtime</x:v>
      </x:c>
      <x:c r="D106" s="68" t="str">
        <x:f>'Simulation Tasks'!D27</x:f>
        <x:v>Add backend selection to web runtime</x:v>
      </x:c>
      <x:c r="E106" s="68" t="str">
        <x:f>'Simulation Tasks'!E27</x:f>
        <x:v>T-301, T-304</x:v>
      </x:c>
      <x:c r="F106" s="68" t="str">
        <x:v>Done</x:v>
      </x:c>
      <x:c r="G106" s="68" t="str">
        <x:f>'Simulation Tasks'!G27</x:f>
        <x:v>1-2 days</x:v>
      </x:c>
      <x:c r="H106" s="92" t="n">
        <x:f>'Simulation Tasks'!H27</x:f>
        <x:v>1</x:v>
      </x:c>
      <x:c r="I106" s="94" t="n">
        <x:f>'Simulation Tasks'!I27</x:f>
        <x:v>46286</x:v>
      </x:c>
      <x:c r="J106" s="94" t="n">
        <x:f>'Simulation Tasks'!J27</x:f>
        <x:v>46286</x:v>
      </x:c>
      <x:c r="K106" s="68" t="str">
        <x:f>'Simulation Tasks'!K27</x:f>
        <x:v>Web runtime can choose native or MuJoCo backend while keeping native as the default.</x:v>
      </x:c>
    </x:row>
    <x:row r="107" ht="38" customHeight="1">
      <x:c r="A107" s="68" t="str">
        <x:f>'Simulation Tasks'!A28</x:f>
        <x:v>T-307</x:v>
      </x:c>
      <x:c r="B107" s="68" t="str">
        <x:f>'Simulation Tasks'!B28</x:f>
        <x:v>S2</x:v>
      </x:c>
      <x:c r="C107" s="68" t="str">
        <x:f>'Simulation Tasks'!C28</x:f>
        <x:v>Telemetry</x:v>
      </x:c>
      <x:c r="D107" s="68" t="str">
        <x:f>'Simulation Tasks'!D28</x:f>
        <x:v>Adapt telemetry for MuJoCo backend</x:v>
      </x:c>
      <x:c r="E107" s="68" t="str">
        <x:f>'Simulation Tasks'!E28</x:f>
        <x:v>T-303, T-306</x:v>
      </x:c>
      <x:c r="F107" s="68" t="str">
        <x:v>Done</x:v>
      </x:c>
      <x:c r="G107" s="68" t="str">
        <x:f>'Simulation Tasks'!G28</x:f>
        <x:v>1-2 days</x:v>
      </x:c>
      <x:c r="H107" s="92" t="n">
        <x:f>'Simulation Tasks'!H28</x:f>
        <x:v>1</x:v>
      </x:c>
      <x:c r="I107" s="94" t="n">
        <x:f>'Simulation Tasks'!I28</x:f>
        <x:v>46287</x:v>
      </x:c>
      <x:c r="J107" s="94" t="n">
        <x:f>'Simulation Tasks'!J28</x:f>
        <x:v>46287</x:v>
      </x:c>
      <x:c r="K107" s="68" t="str">
        <x:f>'Simulation Tasks'!K28</x:f>
        <x:v>Telemetry remains schema-compatible where possible and explicitly marks unavailable MuJoCo fields.</x:v>
      </x:c>
    </x:row>
    <x:row r="108" ht="38" customHeight="1">
      <x:c r="A108" s="68" t="str">
        <x:f>'Simulation Tasks'!A29</x:f>
        <x:v>T-308</x:v>
      </x:c>
      <x:c r="B108" s="68" t="str">
        <x:f>'Simulation Tasks'!B29</x:f>
        <x:v>S2</x:v>
      </x:c>
      <x:c r="C108" s="68" t="str">
        <x:f>'Simulation Tasks'!C29</x:f>
        <x:v>Planning/Forecasting</x:v>
      </x:c>
      <x:c r="D108" s="68" t="str">
        <x:f>'Simulation Tasks'!D29</x:f>
        <x:v>Define MuJoCo forecast strategy</x:v>
      </x:c>
      <x:c r="E108" s="68" t="str">
        <x:f>'Simulation Tasks'!E29</x:f>
        <x:v>T-301, T-305</x:v>
      </x:c>
      <x:c r="F108" s="68" t="str">
        <x:v>Done</x:v>
      </x:c>
      <x:c r="G108" s="68" t="str">
        <x:f>'Simulation Tasks'!G29</x:f>
        <x:v>1-2 days</x:v>
      </x:c>
      <x:c r="H108" s="92" t="n">
        <x:f>'Simulation Tasks'!H29</x:f>
        <x:v>1</x:v>
      </x:c>
      <x:c r="I108" s="94" t="n">
        <x:f>'Simulation Tasks'!I29</x:f>
        <x:v>46288</x:v>
      </x:c>
      <x:c r="J108" s="94" t="n">
        <x:f>'Simulation Tasks'!J29</x:f>
        <x:v>46288</x:v>
      </x:c>
      <x:c r="K108" s="68" t="str">
        <x:f>'Simulation Tasks'!K29</x:f>
        <x:v>Initial MuJoCo live-execution versus forecast-rollout scope is decided and documented.</x:v>
      </x:c>
    </x:row>
    <x:row r="109" ht="38" customHeight="1">
      <x:c r="A109" s="68" t="str">
        <x:f>'Simulation Tasks'!A30</x:f>
        <x:v>T-309</x:v>
      </x:c>
      <x:c r="B109" s="68" t="str">
        <x:f>'Simulation Tasks'!B30</x:f>
        <x:v>S2</x:v>
      </x:c>
      <x:c r="C109" s="68" t="str">
        <x:f>'Simulation Tasks'!C30</x:f>
        <x:v>Validation</x:v>
      </x:c>
      <x:c r="D109" s="68" t="str">
        <x:f>'Simulation Tasks'!D30</x:f>
        <x:v>Add backend parity checks</x:v>
      </x:c>
      <x:c r="E109" s="68" t="str">
        <x:f>'Simulation Tasks'!E30</x:f>
        <x:v>T-305, T-306</x:v>
      </x:c>
      <x:c r="F109" s="68" t="str">
        <x:v>Active</x:v>
      </x:c>
      <x:c r="G109" s="68" t="str">
        <x:f>'Simulation Tasks'!G30</x:f>
        <x:v>1-2 days</x:v>
      </x:c>
      <x:c r="H109" s="92" t="n">
        <x:f>'Simulation Tasks'!H30</x:f>
        <x:v>1</x:v>
      </x:c>
      <x:c r="I109" s="94" t="n">
        <x:f>'Simulation Tasks'!I30</x:f>
        <x:v>46289</x:v>
      </x:c>
      <x:c r="J109" s="94" t="n">
        <x:f>'Simulation Tasks'!J30</x:f>
        <x:v>46289</x:v>
      </x:c>
      <x:c r="K109" s="68" t="str">
        <x:f>'Simulation Tasks'!K30</x:f>
        <x:v>Same scripted stroke can run on native and MuJoCo backends with path/contact/coverage differences recorded.</x:v>
      </x:c>
    </x:row>
    <x:row r="110" ht="38" customHeight="1">
      <x:c r="A110" s="68" t="str">
        <x:f>'Simulation Tasks'!A31</x:f>
        <x:v>T-310</x:v>
      </x:c>
      <x:c r="B110" s="68" t="str">
        <x:f>'Simulation Tasks'!B31</x:f>
        <x:v>S2</x:v>
      </x:c>
      <x:c r="C110" s="68" t="str">
        <x:f>'Simulation Tasks'!C31</x:f>
        <x:v>Validation</x:v>
      </x:c>
      <x:c r="D110" s="68" t="str">
        <x:f>'Simulation Tasks'!D31</x:f>
        <x:v>S2 lock decision</x:v>
      </x:c>
      <x:c r="E110" s="68" t="str">
        <x:f>'Simulation Tasks'!E31</x:f>
        <x:v>T-305, T-306, T-307, T-308, T-309</x:v>
      </x:c>
      <x:c r="F110" s="68" t="str">
        <x:v>Blocked</x:v>
      </x:c>
      <x:c r="G110" s="68" t="str">
        <x:f>'Simulation Tasks'!G31</x:f>
        <x:v>0.5 day</x:v>
      </x:c>
      <x:c r="H110" s="92" t="n">
        <x:f>'Simulation Tasks'!H31</x:f>
        <x:v>1</x:v>
      </x:c>
      <x:c r="I110" s="94" t="n">
        <x:f>'Simulation Tasks'!I31</x:f>
        <x:v>46290</x:v>
      </x:c>
      <x:c r="J110" s="94" t="n">
        <x:f>'Simulation Tasks'!J31</x:f>
        <x:v>46290</x:v>
      </x:c>
      <x:c r="K110" s="68" t="str">
        <x:f>'Simulation Tasks'!K31</x:f>
        <x:v>S2 is locked only after MuJoCo execution, paint update, backend selection, and known gaps are documented.</x:v>
      </x:c>
    </x:row>
    <x:row r="111" ht="38" customHeight="1">
      <x:c r="A111" s="68" t="str">
        <x:f>'Hardware Tasks'!A19</x:f>
        <x:v>T-601</x:v>
      </x:c>
      <x:c r="B111" s="68" t="str">
        <x:f>'Hardware Tasks'!B19</x:f>
        <x:v>M6</x:v>
      </x:c>
      <x:c r="C111" s="68" t="str">
        <x:f>'Hardware Tasks'!C19</x:f>
        <x:v>CAD/Research Ops</x:v>
      </x:c>
      <x:c r="D111" s="68" t="str">
        <x:f>'Hardware Tasks'!D19</x:f>
        <x:v>Define CAD traceability and revision policy</x:v>
      </x:c>
      <x:c r="E111" s="68" t="str">
        <x:f>'Hardware Tasks'!E19</x:f>
        <x:v>T-501, T-504, T-505</x:v>
      </x:c>
      <x:c r="F111" s="68" t="str">
        <x:v>Blocked</x:v>
      </x:c>
      <x:c r="G111" s="68" t="str">
        <x:f>'Hardware Tasks'!G19</x:f>
        <x:v>1 day</x:v>
      </x:c>
      <x:c r="H111" s="92" t="n">
        <x:f>'Hardware Tasks'!H19</x:f>
        <x:v>1</x:v>
      </x:c>
      <x:c r="I111" s="94" t="n">
        <x:f>'Hardware Tasks'!I19</x:f>
        <x:v>46328</x:v>
      </x:c>
      <x:c r="J111" s="94" t="n">
        <x:f>'Hardware Tasks'!J19</x:f>
        <x:v>46328</x:v>
      </x:c>
      <x:c r="K111" s="68" t="str">
        <x:f>'Hardware Tasks'!K19</x:f>
        <x:v>CAD parameters, exports, assemblies, prototypes, and as-built revisions map traceably to versioned M5 specifications.</x:v>
      </x:c>
    </x:row>
    <x:row r="112" ht="38" customHeight="1">
      <x:c r="A112" s="68" t="str">
        <x:f>'Hardware Tasks'!A20</x:f>
        <x:v>T-602</x:v>
      </x:c>
      <x:c r="B112" s="68" t="str">
        <x:f>'Hardware Tasks'!B20</x:f>
        <x:v>M6</x:v>
      </x:c>
      <x:c r="C112" s="68" t="str">
        <x:f>'Hardware Tasks'!C20</x:f>
        <x:v>CAD/Geometry</x:v>
      </x:c>
      <x:c r="D112" s="68" t="str">
        <x:f>'Hardware Tasks'!D20</x:f>
        <x:v>Build the parametric CAD skeleton and frame map</x:v>
      </x:c>
      <x:c r="E112" s="68" t="str">
        <x:f>'Hardware Tasks'!E20</x:f>
        <x:v>T-502, T-505, T-601</x:v>
      </x:c>
      <x:c r="F112" s="68" t="str">
        <x:v>Blocked</x:v>
      </x:c>
      <x:c r="G112" s="68" t="str">
        <x:f>'Hardware Tasks'!G20</x:f>
        <x:v>3-5 days</x:v>
      </x:c>
      <x:c r="H112" s="92" t="n">
        <x:f>'Hardware Tasks'!H20</x:f>
        <x:v>4</x:v>
      </x:c>
      <x:c r="I112" s="94" t="n">
        <x:f>'Hardware Tasks'!I20</x:f>
        <x:v>46329</x:v>
      </x:c>
      <x:c r="J112" s="94" t="n">
        <x:f>'Hardware Tasks'!J20</x:f>
        <x:v>46332</x:v>
      </x:c>
      <x:c r="K112" s="68" t="str">
        <x:f>'Hardware Tasks'!K20</x:f>
        <x:v>A parameter-driven skeleton represents joint, brush, canvas, camera, paint, and cleaning frames before detailed housings.</x:v>
      </x:c>
    </x:row>
    <x:row r="113" ht="38" customHeight="1">
      <x:c r="A113" s="68" t="str">
        <x:f>'Hardware Tasks'!A21</x:f>
        <x:v>T-603</x:v>
      </x:c>
      <x:c r="B113" s="68" t="str">
        <x:f>'Hardware Tasks'!B21</x:f>
        <x:v>M6</x:v>
      </x:c>
      <x:c r="C113" s="68" t="str">
        <x:f>'Hardware Tasks'!C21</x:f>
        <x:v>Mechanical Analysis</x:v>
      </x:c>
      <x:c r="D113" s="68" t="str">
        <x:f>'Hardware Tasks'!D21</x:f>
        <x:v>Analyze structural load paths and stiffness</x:v>
      </x:c>
      <x:c r="E113" s="68" t="str">
        <x:f>'Hardware Tasks'!E21</x:f>
        <x:v>T-508, T-602</x:v>
      </x:c>
      <x:c r="F113" s="68" t="str">
        <x:v>Blocked</x:v>
      </x:c>
      <x:c r="G113" s="68" t="str">
        <x:f>'Hardware Tasks'!G21</x:f>
        <x:v>3-5 days</x:v>
      </x:c>
      <x:c r="H113" s="92" t="n">
        <x:f>'Hardware Tasks'!H21</x:f>
        <x:v>4</x:v>
      </x:c>
      <x:c r="I113" s="94" t="n">
        <x:f>'Hardware Tasks'!I21</x:f>
        <x:v>46335</x:v>
      </x:c>
      <x:c r="J113" s="94" t="n">
        <x:f>'Hardware Tasks'!J21</x:f>
        <x:v>46338</x:v>
      </x:c>
      <x:c r="K113" s="68" t="str">
        <x:f>'Hardware Tasks'!K21</x:f>
        <x:v>Gravity, acceleration, contact, belt, bearing, fault, base, easel, and brush-tip deflection risks are estimated and prioritized.</x:v>
      </x:c>
    </x:row>
    <x:row r="114" ht="38" customHeight="1">
      <x:c r="A114" s="68" t="str">
        <x:f>'Hardware Tasks'!A22</x:f>
        <x:v>T-604</x:v>
      </x:c>
      <x:c r="B114" s="68" t="str">
        <x:f>'Hardware Tasks'!B22</x:f>
        <x:v>M6</x:v>
      </x:c>
      <x:c r="C114" s="68" t="str">
        <x:f>'Hardware Tasks'!C22</x:f>
        <x:v>Mechanical/Actuation</x:v>
      </x:c>
      <x:c r="D114" s="68" t="str">
        <x:f>'Hardware Tasks'!D22</x:f>
        <x:v>Design modular joint and transmission concepts</x:v>
      </x:c>
      <x:c r="E114" s="68" t="str">
        <x:f>'Hardware Tasks'!E22</x:f>
        <x:v>T-507, T-603</x:v>
      </x:c>
      <x:c r="F114" s="68" t="str">
        <x:v>Blocked</x:v>
      </x:c>
      <x:c r="G114" s="68" t="str">
        <x:f>'Hardware Tasks'!G22</x:f>
        <x:v>4-7 days</x:v>
      </x:c>
      <x:c r="H114" s="92" t="n">
        <x:f>'Hardware Tasks'!H22</x:f>
        <x:v>6</x:v>
      </x:c>
      <x:c r="I114" s="94" t="n">
        <x:f>'Hardware Tasks'!I22</x:f>
        <x:v>46339</x:v>
      </x:c>
      <x:c r="J114" s="94" t="n">
        <x:f>'Hardware Tasks'!J22</x:f>
        <x:v>46346</x:v>
      </x:c>
      <x:c r="K114" s="68" t="str">
        <x:f>'Hardware Tasks'!K22</x:f>
        <x:v>Testable direct-drive, belt, or mixed joint modules define bearings, shafts, pulleys, tensioning, encoders, stops, compliance, and service access.</x:v>
      </x:c>
    </x:row>
    <x:row r="115" ht="38" customHeight="1">
      <x:c r="A115" s="68" t="str">
        <x:f>'Hardware Tasks'!A23</x:f>
        <x:v>T-605</x:v>
      </x:c>
      <x:c r="B115" s="68" t="str">
        <x:f>'Hardware Tasks'!B23</x:f>
        <x:v>M6</x:v>
      </x:c>
      <x:c r="C115" s="68" t="str">
        <x:f>'Hardware Tasks'!C23</x:f>
        <x:v>Mechatronics</x:v>
      </x:c>
      <x:c r="D115" s="68" t="str">
        <x:f>'Hardware Tasks'!D23</x:f>
        <x:v>Integrate actuators, encoders, and drivers mechanically</x:v>
      </x:c>
      <x:c r="E115" s="68" t="str">
        <x:f>'Hardware Tasks'!E23</x:f>
        <x:v>T-503, T-604</x:v>
      </x:c>
      <x:c r="F115" s="68" t="str">
        <x:v>Blocked</x:v>
      </x:c>
      <x:c r="G115" s="68" t="str">
        <x:f>'Hardware Tasks'!G23</x:f>
        <x:v>3-5 days</x:v>
      </x:c>
      <x:c r="H115" s="92" t="n">
        <x:f>'Hardware Tasks'!H23</x:f>
        <x:v>4</x:v>
      </x:c>
      <x:c r="I115" s="94" t="n">
        <x:f>'Hardware Tasks'!I23</x:f>
        <x:v>46349</x:v>
      </x:c>
      <x:c r="J115" s="94" t="n">
        <x:f>'Hardware Tasks'!J23</x:f>
        <x:v>46352</x:v>
      </x:c>
      <x:c r="K115" s="68" t="str">
        <x:f>'Hardware Tasks'!K23</x:f>
        <x:v>Mounting, thermal, connector, strain-relief, encoder, sensing, and maintenance interfaces are mechanically credible and fed back to M5.</x:v>
      </x:c>
    </x:row>
    <x:row r="116" ht="38" customHeight="1">
      <x:c r="A116" s="68" t="str">
        <x:f>'Hardware Tasks'!A24</x:f>
        <x:v>T-606</x:v>
      </x:c>
      <x:c r="B116" s="68" t="str">
        <x:f>'Hardware Tasks'!B24</x:f>
        <x:v>M6</x:v>
      </x:c>
      <x:c r="C116" s="68" t="str">
        <x:f>'Hardware Tasks'!C24</x:f>
        <x:v>Mechanical/Safety</x:v>
      </x:c>
      <x:c r="D116" s="68" t="str">
        <x:f>'Hardware Tasks'!D24</x:f>
        <x:v>Design cable routing, stops, covers, and service access</x:v>
      </x:c>
      <x:c r="E116" s="68" t="str">
        <x:f>'Hardware Tasks'!E24</x:f>
        <x:v>T-604, T-605</x:v>
      </x:c>
      <x:c r="F116" s="68" t="str">
        <x:v>Blocked</x:v>
      </x:c>
      <x:c r="G116" s="68" t="str">
        <x:f>'Hardware Tasks'!G24</x:f>
        <x:v>2-4 days</x:v>
      </x:c>
      <x:c r="H116" s="92" t="n">
        <x:f>'Hardware Tasks'!H24</x:f>
        <x:v>3</x:v>
      </x:c>
      <x:c r="I116" s="94" t="n">
        <x:f>'Hardware Tasks'!I24</x:f>
        <x:v>46353</x:v>
      </x:c>
      <x:c r="J116" s="94" t="n">
        <x:f>'Hardware Tasks'!J24</x:f>
        <x:v>46357</x:v>
      </x:c>
      <x:c r="K116" s="68" t="str">
        <x:f>'Hardware Tasks'!K24</x:f>
        <x:v>Cable life, joint clearance, hard stops, pinch/snag exposure, contamination protection, and service access are addressed.</x:v>
      </x:c>
    </x:row>
    <x:row r="117" ht="38" customHeight="1">
      <x:c r="A117" s="68" t="str">
        <x:f>'Hardware Tasks'!A25</x:f>
        <x:v>T-607</x:v>
      </x:c>
      <x:c r="B117" s="68" t="str">
        <x:f>'Hardware Tasks'!B25</x:f>
        <x:v>M6</x:v>
      </x:c>
      <x:c r="C117" s="68" t="str">
        <x:f>'Hardware Tasks'!C25</x:f>
        <x:v>End Effector</x:v>
      </x:c>
      <x:c r="D117" s="68" t="str">
        <x:f>'Hardware Tasks'!D25</x:f>
        <x:v>Design the brush mount and contact-compliance module</x:v>
      </x:c>
      <x:c r="E117" s="68" t="str">
        <x:f>'Hardware Tasks'!E25</x:f>
        <x:v>T-509, T-602, T-603</x:v>
      </x:c>
      <x:c r="F117" s="68" t="str">
        <x:v>Blocked</x:v>
      </x:c>
      <x:c r="G117" s="68" t="str">
        <x:f>'Hardware Tasks'!G25</x:f>
        <x:v>3-5 days</x:v>
      </x:c>
      <x:c r="H117" s="92" t="n">
        <x:f>'Hardware Tasks'!H25</x:f>
        <x:v>4</x:v>
      </x:c>
      <x:c r="I117" s="94" t="n">
        <x:f>'Hardware Tasks'!I25</x:f>
        <x:v>46358</x:v>
      </x:c>
      <x:c r="J117" s="94" t="n">
        <x:f>'Hardware Tasks'!J25</x:f>
        <x:v>46363</x:v>
      </x:c>
      <x:c r="K117" s="68" t="str">
        <x:f>'Hardware Tasks'!K25</x:f>
        <x:v>Brush datum, replacement, loading, cleaning, compliance/sensing, bending error, and bench-contact testing support wet oil painting.</x:v>
      </x:c>
    </x:row>
    <x:row r="118" ht="38" customHeight="1">
      <x:c r="A118" s="68" t="str">
        <x:f>'Hardware Tasks'!A26</x:f>
        <x:v>T-608</x:v>
      </x:c>
      <x:c r="B118" s="68" t="str">
        <x:f>'Hardware Tasks'!B26</x:f>
        <x:v>M6</x:v>
      </x:c>
      <x:c r="C118" s="68" t="str">
        <x:f>'Hardware Tasks'!C26</x:f>
        <x:v>Workcell</x:v>
      </x:c>
      <x:c r="D118" s="68" t="str">
        <x:f>'Hardware Tasks'!D26</x:f>
        <x:v>Design the base, easel, camera, paint, and cleaning fixtures</x:v>
      </x:c>
      <x:c r="E118" s="68" t="str">
        <x:f>'Hardware Tasks'!E26</x:f>
        <x:v>T-509, T-602, T-603</x:v>
      </x:c>
      <x:c r="F118" s="68" t="str">
        <x:v>Blocked</x:v>
      </x:c>
      <x:c r="G118" s="68" t="str">
        <x:f>'Hardware Tasks'!G26</x:f>
        <x:v>3-5 days</x:v>
      </x:c>
      <x:c r="H118" s="92" t="n">
        <x:f>'Hardware Tasks'!H26</x:f>
        <x:v>4</x:v>
      </x:c>
      <x:c r="I118" s="94" t="n">
        <x:f>'Hardware Tasks'!I26</x:f>
        <x:v>46364</x:v>
      </x:c>
      <x:c r="J118" s="94" t="n">
        <x:f>'Hardware Tasks'!J26</x:f>
        <x:v>46367</x:v>
      </x:c>
      <x:c r="K118" s="68" t="str">
        <x:f>'Hardware Tasks'!K26</x:f>
        <x:v>Rigid adjustable fixtures support calibration, retraction, manual access, secured vessels, spill containment, and the intended work envelope.</x:v>
      </x:c>
    </x:row>
    <x:row r="119" ht="38" customHeight="1">
      <x:c r="A119" s="68" t="str">
        <x:f>'Hardware Tasks'!A27</x:f>
        <x:v>T-609</x:v>
      </x:c>
      <x:c r="B119" s="68" t="str">
        <x:f>'Hardware Tasks'!B27</x:f>
        <x:v>M6</x:v>
      </x:c>
      <x:c r="C119" s="68" t="str">
        <x:f>'Hardware Tasks'!C27</x:f>
        <x:v>Manufacturing</x:v>
      </x:c>
      <x:c r="D119" s="68" t="str">
        <x:f>'Hardware Tasks'!D27</x:f>
        <x:v>Define tolerances, manufacturing processes, and inspection</x:v>
      </x:c>
      <x:c r="E119" s="68" t="str">
        <x:f>'Hardware Tasks'!E27</x:f>
        <x:v>T-604, T-606, T-607, T-608</x:v>
      </x:c>
      <x:c r="F119" s="68" t="str">
        <x:v>Blocked</x:v>
      </x:c>
      <x:c r="G119" s="68" t="str">
        <x:f>'Hardware Tasks'!G27</x:f>
        <x:v>3-5 days</x:v>
      </x:c>
      <x:c r="H119" s="92" t="n">
        <x:f>'Hardware Tasks'!H27</x:f>
        <x:v>4</x:v>
      </x:c>
      <x:c r="I119" s="94" t="n">
        <x:f>'Hardware Tasks'!I27</x:f>
        <x:v>46370</x:v>
      </x:c>
      <x:c r="J119" s="94" t="n">
        <x:f>'Hardware Tasks'!J27</x:f>
        <x:v>46373</x:v>
      </x:c>
      <x:c r="K119" s="68" t="str">
        <x:f>'Hardware Tasks'!K27</x:f>
        <x:v>Sensitivity-driven tolerances, processes, datums, inspection, adjustment, and expensive-redesign risks are explicit.</x:v>
      </x:c>
    </x:row>
    <x:row r="120" ht="38" customHeight="1">
      <x:c r="A120" s="68" t="str">
        <x:f>'Hardware Tasks'!A28</x:f>
        <x:v>T-610</x:v>
      </x:c>
      <x:c r="B120" s="68" t="str">
        <x:f>'Hardware Tasks'!B28</x:f>
        <x:v>M6</x:v>
      </x:c>
      <x:c r="C120" s="68" t="str">
        <x:f>'Hardware Tasks'!C28</x:f>
        <x:v>Cost/Risk</x:v>
      </x:c>
      <x:c r="D120" s="68" t="str">
        <x:f>'Hardware Tasks'!D28</x:f>
        <x:v>Maintain BOM, fabrication, and iteration risk estimates</x:v>
      </x:c>
      <x:c r="E120" s="68" t="str">
        <x:f>'Hardware Tasks'!E28</x:f>
        <x:v>T-604, T-605, T-608, T-609</x:v>
      </x:c>
      <x:c r="F120" s="68" t="str">
        <x:v>Blocked</x:v>
      </x:c>
      <x:c r="G120" s="68" t="str">
        <x:f>'Hardware Tasks'!G28</x:f>
        <x:v>2 days</x:v>
      </x:c>
      <x:c r="H120" s="92" t="n">
        <x:f>'Hardware Tasks'!H28</x:f>
        <x:v>2</x:v>
      </x:c>
      <x:c r="I120" s="94" t="n">
        <x:f>'Hardware Tasks'!I28</x:f>
        <x:v>46374</x:v>
      </x:c>
      <x:c r="J120" s="94" t="n">
        <x:f>'Hardware Tasks'!J28</x:f>
        <x:v>46377</x:v>
      </x:c>
      <x:c r="K120" s="68" t="str">
        <x:f>'Hardware Tasks'!K28</x:f>
        <x:v>The approximately USD 4,000 prototype target includes controls, structure, fabrication, wiring, safety, fixtures, shipping, spares, and iteration contingency.</x:v>
      </x:c>
    </x:row>
    <x:row r="121" ht="38" customHeight="1">
      <x:c r="A121" s="68" t="str">
        <x:f>'Hardware Tasks'!A29</x:f>
        <x:v>T-611</x:v>
      </x:c>
      <x:c r="B121" s="68" t="str">
        <x:f>'Hardware Tasks'!B29</x:f>
        <x:v>M6</x:v>
      </x:c>
      <x:c r="C121" s="68" t="str">
        <x:f>'Hardware Tasks'!C29</x:f>
        <x:v>Prototype/Actuation</x:v>
      </x:c>
      <x:c r="D121" s="68" t="str">
        <x:f>'Hardware Tasks'!D29</x:f>
        <x:v>Build and characterize a single-joint prototype</x:v>
      </x:c>
      <x:c r="E121" s="68" t="str">
        <x:f>'Hardware Tasks'!E29</x:f>
        <x:v>T-604, T-605, T-606, T-609</x:v>
      </x:c>
      <x:c r="F121" s="68" t="str">
        <x:v>Blocked</x:v>
      </x:c>
      <x:c r="G121" s="68" t="str">
        <x:f>'Hardware Tasks'!G29</x:f>
        <x:v>5-8 days plus fabrication lead time</x:v>
      </x:c>
      <x:c r="H121" s="92" t="n">
        <x:f>'Hardware Tasks'!H29</x:f>
        <x:v>7</x:v>
      </x:c>
      <x:c r="I121" s="94" t="n">
        <x:f>'Hardware Tasks'!I29</x:f>
        <x:v>46378</x:v>
      </x:c>
      <x:c r="J121" s="94" t="n">
        <x:f>'Hardware Tasks'!J29</x:f>
        <x:v>46386</x:v>
      </x:c>
      <x:c r="K121" s="68" t="str">
        <x:f>'Hardware Tasks'!K29</x:f>
        <x:v>The riskiest joint topology is measured for current, tracking, backlash, compliance, temperature, hold, stop, and model mismatch before replication.</x:v>
      </x:c>
    </x:row>
    <x:row r="122" ht="38" customHeight="1">
      <x:c r="A122" s="68" t="str">
        <x:f>'Hardware Tasks'!A30</x:f>
        <x:v>T-612</x:v>
      </x:c>
      <x:c r="B122" s="68" t="str">
        <x:f>'Hardware Tasks'!B30</x:f>
        <x:v>M6</x:v>
      </x:c>
      <x:c r="C122" s="68" t="str">
        <x:f>'Hardware Tasks'!C30</x:f>
        <x:v>Prototype/Contact</x:v>
      </x:c>
      <x:c r="D122" s="68" t="str">
        <x:f>'Hardware Tasks'!D30</x:f>
        <x:v>Build and characterize a linkage/brush-contact rig</x:v>
      </x:c>
      <x:c r="E122" s="68" t="str">
        <x:f>'Hardware Tasks'!E30</x:f>
        <x:v>T-607, T-608, T-609</x:v>
      </x:c>
      <x:c r="F122" s="68" t="str">
        <x:v>Blocked</x:v>
      </x:c>
      <x:c r="G122" s="68" t="str">
        <x:f>'Hardware Tasks'!G30</x:f>
        <x:v>4-7 days plus fabrication lead time</x:v>
      </x:c>
      <x:c r="H122" s="92" t="n">
        <x:f>'Hardware Tasks'!H30</x:f>
        <x:v>6</x:v>
      </x:c>
      <x:c r="I122" s="94" t="n">
        <x:f>'Hardware Tasks'!I30</x:f>
        <x:v>46387</x:v>
      </x:c>
      <x:c r="J122" s="94" t="n">
        <x:f>'Hardware Tasks'!J30</x:f>
        <x:v>46394</x:v>
      </x:c>
      <x:c r="K122" s="68" t="str">
        <x:f>'Hardware Tasks'!K30</x:f>
        <x:v>Approach, contact, release, retract, loading, cleaning, compliance, tip repeatability, and wet-paint consequences are measured under supervision.</x:v>
      </x:c>
    </x:row>
    <x:row r="123" ht="38" customHeight="1">
      <x:c r="A123" s="68" t="str">
        <x:f>'Hardware Tasks'!A31</x:f>
        <x:v>T-613</x:v>
      </x:c>
      <x:c r="B123" s="68" t="str">
        <x:f>'Hardware Tasks'!B31</x:f>
        <x:v>M6</x:v>
      </x:c>
      <x:c r="C123" s="68" t="str">
        <x:f>'Hardware Tasks'!C31</x:f>
        <x:v>Calibration/Digital Thread</x:v>
      </x:c>
      <x:c r="D123" s="68" t="str">
        <x:f>'Hardware Tasks'!D31</x:f>
        <x:v>Feed prototype measurements back into all models</x:v>
      </x:c>
      <x:c r="E123" s="68" t="str">
        <x:f>'Hardware Tasks'!E31</x:f>
        <x:v>T-511, T-611, T-612</x:v>
      </x:c>
      <x:c r="F123" s="68" t="str">
        <x:v>Blocked</x:v>
      </x:c>
      <x:c r="G123" s="68" t="str">
        <x:f>'Hardware Tasks'!G31</x:f>
        <x:v>3-5 days</x:v>
      </x:c>
      <x:c r="H123" s="92" t="n">
        <x:f>'Hardware Tasks'!H31</x:f>
        <x:v>4</x:v>
      </x:c>
      <x:c r="I123" s="94" t="n">
        <x:f>'Hardware Tasks'!I31</x:f>
        <x:v>46395</x:v>
      </x:c>
      <x:c r="J123" s="94" t="n">
        <x:f>'Hardware Tasks'!J31</x:f>
        <x:v>46400</x:v>
      </x:c>
      <x:c r="K123" s="68" t="str">
        <x:f>'Hardware Tasks'!K31</x:f>
        <x:v>Measured parameters create new geometry, MuJoCo, controller, and CAD revisions while preserving pre-update models and residual mismatch.</x:v>
      </x:c>
    </x:row>
    <x:row r="124" ht="38" customHeight="1">
      <x:c r="A124" s="68" t="str">
        <x:f>'Hardware Tasks'!A32</x:f>
        <x:v>T-614</x:v>
      </x:c>
      <x:c r="B124" s="68" t="str">
        <x:f>'Hardware Tasks'!B32</x:f>
        <x:v>M6</x:v>
      </x:c>
      <x:c r="C124" s="68" t="str">
        <x:f>'Hardware Tasks'!C32</x:f>
        <x:v>Mechanical Review</x:v>
      </x:c>
      <x:c r="D124" s="68" t="str">
        <x:f>'Hardware Tasks'!D32</x:f>
        <x:v>Conduct the integrated prototype design review</x:v>
      </x:c>
      <x:c r="E124" s="68" t="str">
        <x:f>'Hardware Tasks'!E32</x:f>
        <x:v>T-610, T-613</x:v>
      </x:c>
      <x:c r="F124" s="68" t="str">
        <x:v>Blocked</x:v>
      </x:c>
      <x:c r="G124" s="68" t="str">
        <x:f>'Hardware Tasks'!G32</x:f>
        <x:v>2 days</x:v>
      </x:c>
      <x:c r="H124" s="92" t="n">
        <x:f>'Hardware Tasks'!H32</x:f>
        <x:v>2</x:v>
      </x:c>
      <x:c r="I124" s="94" t="n">
        <x:f>'Hardware Tasks'!I32</x:f>
        <x:v>46401</x:v>
      </x:c>
      <x:c r="J124" s="94" t="n">
        <x:f>'Hardware Tasks'!J32</x:f>
        <x:v>46402</x:v>
      </x:c>
      <x:c r="K124" s="68" t="str">
        <x:f>'Hardware Tasks'!K32</x:f>
        <x:v>Requirements, mechanics, wiring, calibration, safety interfaces, cost, evidence, and residual risks support a bounded release or named rework.</x:v>
      </x:c>
    </x:row>
    <x:row r="125" ht="38" customHeight="1">
      <x:c r="A125" s="68" t="str">
        <x:f>'Hardware Tasks'!A33</x:f>
        <x:v>T-615</x:v>
      </x:c>
      <x:c r="B125" s="68" t="str">
        <x:f>'Hardware Tasks'!B33</x:f>
        <x:v>M6</x:v>
      </x:c>
      <x:c r="C125" s="68" t="str">
        <x:f>'Hardware Tasks'!C33</x:f>
        <x:v>Validation</x:v>
      </x:c>
      <x:c r="D125" s="68" t="str">
        <x:f>'Hardware Tasks'!D33</x:f>
        <x:v>M6 prototype-release gate</x:v>
      </x:c>
      <x:c r="E125" s="68" t="str">
        <x:f>'Hardware Tasks'!E33</x:f>
        <x:v>T-614</x:v>
      </x:c>
      <x:c r="F125" s="68" t="str">
        <x:v>Blocked</x:v>
      </x:c>
      <x:c r="G125" s="68" t="str">
        <x:f>'Hardware Tasks'!G33</x:f>
        <x:v>0.5 day</x:v>
      </x:c>
      <x:c r="H125" s="92" t="n">
        <x:f>'Hardware Tasks'!H33</x:f>
        <x:v>1</x:v>
      </x:c>
      <x:c r="I125" s="94" t="n">
        <x:f>'Hardware Tasks'!I33</x:f>
        <x:v>46405</x:v>
      </x:c>
      <x:c r="J125" s="94" t="n">
        <x:f>'Hardware Tasks'!J33</x:f>
        <x:v>46405</x:v>
      </x:c>
      <x:c r="K125" s="68" t="str">
        <x:f>'Hardware Tasks'!K33</x:f>
        <x:v>CAD and M5 identify one body, risky assumptions have prototype evidence, manufacture is bounded, and M7 receives a testable release.</x:v>
      </x:c>
    </x:row>
    <x:row r="126" ht="38" customHeight="1">
      <x:c r="A126" s="68" t="str">
        <x:f>'Hardware Tasks'!A34</x:f>
        <x:v>T-701</x:v>
      </x:c>
      <x:c r="B126" s="68" t="str">
        <x:f>'Hardware Tasks'!B34</x:f>
        <x:v>M7</x:v>
      </x:c>
      <x:c r="C126" s="68" t="str">
        <x:f>'Hardware Tasks'!C34</x:f>
        <x:v>Safety</x:v>
      </x:c>
      <x:c r="D126" s="68" t="str">
        <x:f>'Hardware Tasks'!D34</x:f>
        <x:v>Perform hazard analysis and define operating modes</x:v>
      </x:c>
      <x:c r="E126" s="68" t="str">
        <x:f>'Hardware Tasks'!E34</x:f>
        <x:v>T-503, T-505</x:v>
      </x:c>
      <x:c r="F126" s="68" t="str">
        <x:v>Blocked</x:v>
      </x:c>
      <x:c r="G126" s="68" t="str">
        <x:f>'Hardware Tasks'!G34</x:f>
        <x:v>2-3 days</x:v>
      </x:c>
      <x:c r="H126" s="92" t="n">
        <x:f>'Hardware Tasks'!H34</x:f>
        <x:v>3</x:v>
      </x:c>
      <x:c r="I126" s="94" t="n">
        <x:f>'Hardware Tasks'!I34</x:f>
        <x:v>46300</x:v>
      </x:c>
      <x:c r="J126" s="94" t="n">
        <x:f>'Hardware Tasks'!J34</x:f>
        <x:v>46302</x:v>
      </x:c>
      <x:c r="K126" s="68" t="str">
        <x:f>'Hardware Tasks'!K34</x:f>
        <x:v>Hazards, modes, command authority, supervision, mitigation, and residual risk cover startup through cleaning and faults.</x:v>
      </x:c>
    </x:row>
    <x:row r="127" ht="38" customHeight="1">
      <x:c r="A127" s="68" t="str">
        <x:f>'Hardware Tasks'!A35</x:f>
        <x:v>T-702</x:v>
      </x:c>
      <x:c r="B127" s="68" t="str">
        <x:f>'Hardware Tasks'!B35</x:f>
        <x:v>M7</x:v>
      </x:c>
      <x:c r="C127" s="68" t="str">
        <x:f>'Hardware Tasks'!C35</x:f>
        <x:v>Safety/Electrical</x:v>
      </x:c>
      <x:c r="D127" s="68" t="str">
        <x:f>'Hardware Tasks'!D35</x:f>
        <x:v>Design the independent safety architecture</x:v>
      </x:c>
      <x:c r="E127" s="68" t="str">
        <x:f>'Hardware Tasks'!E35</x:f>
        <x:v>T-701</x:v>
      </x:c>
      <x:c r="F127" s="68" t="str">
        <x:v>Blocked</x:v>
      </x:c>
      <x:c r="G127" s="68" t="str">
        <x:f>'Hardware Tasks'!G35</x:f>
        <x:v>2-4 days</x:v>
      </x:c>
      <x:c r="H127" s="92" t="n">
        <x:f>'Hardware Tasks'!H35</x:f>
        <x:v>3</x:v>
      </x:c>
      <x:c r="I127" s="94" t="n">
        <x:f>'Hardware Tasks'!I35</x:f>
        <x:v>46303</x:v>
      </x:c>
      <x:c r="J127" s="94" t="n">
        <x:f>'Hardware Tasks'!J35</x:f>
        <x:v>46307</x:v>
      </x:c>
      <x:c r="K127" s="68" t="str">
        <x:f>'Hardware Tasks'!K35</x:f>
        <x:v>Power isolation, enable, E-stop, driver, crash, communication, sensor, and power-failure behavior remain independent of painting policy inference.</x:v>
      </x:c>
    </x:row>
    <x:row r="128" ht="38" customHeight="1">
      <x:c r="A128" s="68" t="str">
        <x:f>'Hardware Tasks'!A36</x:f>
        <x:v>T-703</x:v>
      </x:c>
      <x:c r="B128" s="68" t="str">
        <x:f>'Hardware Tasks'!B36</x:f>
        <x:v>M7</x:v>
      </x:c>
      <x:c r="C128" s="68" t="str">
        <x:f>'Hardware Tasks'!C36</x:f>
        <x:v>Safety/Operations</x:v>
      </x:c>
      <x:c r="D128" s="68" t="str">
        <x:f>'Hardware Tasks'!D36</x:f>
        <x:v>Specify emergency stop, recovery, and restart</x:v>
      </x:c>
      <x:c r="E128" s="68" t="str">
        <x:f>'Hardware Tasks'!E36</x:f>
        <x:v>T-702</x:v>
      </x:c>
      <x:c r="F128" s="68" t="str">
        <x:v>Blocked</x:v>
      </x:c>
      <x:c r="G128" s="68" t="str">
        <x:f>'Hardware Tasks'!G36</x:f>
        <x:v>1-2 days</x:v>
      </x:c>
      <x:c r="H128" s="92" t="n">
        <x:f>'Hardware Tasks'!H36</x:f>
        <x:v>2</x:v>
      </x:c>
      <x:c r="I128" s="94" t="n">
        <x:f>'Hardware Tasks'!I36</x:f>
        <x:v>46308</x:v>
      </x:c>
      <x:c r="J128" s="94" t="n">
        <x:f>'Hardware Tasks'!J36</x:f>
        <x:v>46309</x:v>
      </x:c>
      <x:c r="K128" s="68" t="str">
        <x:f>'Hardware Tasks'!K36</x:f>
        <x:v>Stop classes, power state, canvas-contact recovery, reset inspection, and policy invalidation are explicit.</x:v>
      </x:c>
    </x:row>
    <x:row r="129" ht="38" customHeight="1">
      <x:c r="A129" s="68" t="str">
        <x:f>'Hardware Tasks'!A37</x:f>
        <x:v>T-704</x:v>
      </x:c>
      <x:c r="B129" s="68" t="str">
        <x:f>'Hardware Tasks'!B37</x:f>
        <x:v>M7</x:v>
      </x:c>
      <x:c r="C129" s="68" t="str">
        <x:f>'Hardware Tasks'!C37</x:f>
        <x:v>Safety/Control</x:v>
      </x:c>
      <x:c r="D129" s="68" t="str">
        <x:f>'Hardware Tasks'!D37</x:f>
        <x:v>Define hard motion, electrical, thermal, and contact limits</x:v>
      </x:c>
      <x:c r="E129" s="68" t="str">
        <x:f>'Hardware Tasks'!E37</x:f>
        <x:v>T-508, T-701, T-702</x:v>
      </x:c>
      <x:c r="F129" s="68" t="str">
        <x:v>Blocked</x:v>
      </x:c>
      <x:c r="G129" s="68" t="str">
        <x:f>'Hardware Tasks'!G37</x:f>
        <x:v>3-4 days</x:v>
      </x:c>
      <x:c r="H129" s="92" t="n">
        <x:f>'Hardware Tasks'!H37</x:f>
        <x:v>4</x:v>
      </x:c>
      <x:c r="I129" s="94" t="n">
        <x:f>'Hardware Tasks'!I37</x:f>
        <x:v>46310</x:v>
      </x:c>
      <x:c r="J129" s="94" t="n">
        <x:f>'Hardware Tasks'!J37</x:f>
        <x:v>46315</x:v>
      </x:c>
      <x:c r="K129" s="68" t="str">
        <x:f>'Hardware Tasks'!K37</x:f>
        <x:v>Conservative joint, speed, acceleration, current, voltage, temperature, force, contact, and workspace limits are externally enforced.</x:v>
      </x:c>
    </x:row>
    <x:row r="130" ht="38" customHeight="1">
      <x:c r="A130" s="68" t="str">
        <x:f>'Hardware Tasks'!A38</x:f>
        <x:v>T-705</x:v>
      </x:c>
      <x:c r="B130" s="68" t="str">
        <x:f>'Hardware Tasks'!B38</x:f>
        <x:v>M7</x:v>
      </x:c>
      <x:c r="C130" s="68" t="str">
        <x:f>'Hardware Tasks'!C38</x:f>
        <x:v>Safety/Software</x:v>
      </x:c>
      <x:c r="D130" s="68" t="str">
        <x:f>'Hardware Tasks'!D38</x:f>
        <x:v>Implement watchdog and state-validity rules</x:v>
      </x:c>
      <x:c r="E130" s="68" t="str">
        <x:f>'Hardware Tasks'!E38</x:f>
        <x:v>T-702, T-704</x:v>
      </x:c>
      <x:c r="F130" s="68" t="str">
        <x:v>Blocked</x:v>
      </x:c>
      <x:c r="G130" s="68" t="str">
        <x:f>'Hardware Tasks'!G38</x:f>
        <x:v>2-3 days</x:v>
      </x:c>
      <x:c r="H130" s="92" t="n">
        <x:f>'Hardware Tasks'!H38</x:f>
        <x:v>3</x:v>
      </x:c>
      <x:c r="I130" s="94" t="n">
        <x:f>'Hardware Tasks'!I38</x:f>
        <x:v>46316</x:v>
      </x:c>
      <x:c r="J130" s="94" t="n">
        <x:f>'Hardware Tasks'!J38</x:f>
        <x:v>46318</x:v>
      </x:c>
      <x:c r="K130" s="68" t="str">
        <x:f>'Hardware Tasks'!K38</x:f>
        <x:v>Stale command/sensor, non-finite, revision, timing, connection, and mode errors stop motion and produce complete fault records.</x:v>
      </x:c>
    </x:row>
    <x:row r="131" ht="38" customHeight="1">
      <x:c r="A131" s="68" t="str">
        <x:f>'Hardware Tasks'!A39</x:f>
        <x:v>T-706</x:v>
      </x:c>
      <x:c r="B131" s="68" t="str">
        <x:f>'Hardware Tasks'!B39</x:f>
        <x:v>M7</x:v>
      </x:c>
      <x:c r="C131" s="68" t="str">
        <x:f>'Hardware Tasks'!C39</x:f>
        <x:v>Calibration/Operations</x:v>
      </x:c>
      <x:c r="D131" s="68" t="str">
        <x:f>'Hardware Tasks'!D39</x:f>
        <x:v>Define hardware calibration and encoder-zero procedure</x:v>
      </x:c>
      <x:c r="E131" s="68" t="str">
        <x:f>'Hardware Tasks'!E39</x:f>
        <x:v>T-510, T-703, T-704</x:v>
      </x:c>
      <x:c r="F131" s="68" t="str">
        <x:v>Blocked</x:v>
      </x:c>
      <x:c r="G131" s="68" t="str">
        <x:f>'Hardware Tasks'!G39</x:f>
        <x:v>2-3 days</x:v>
      </x:c>
      <x:c r="H131" s="92" t="n">
        <x:f>'Hardware Tasks'!H39</x:f>
        <x:v>3</x:v>
      </x:c>
      <x:c r="I131" s="94" t="n">
        <x:f>'Hardware Tasks'!I39</x:f>
        <x:v>46321</x:v>
      </x:c>
      <x:c r="J131" s="94" t="n">
        <x:f>'Hardware Tasks'!J39</x:f>
        <x:v>46323</x:v>
      </x:c>
      <x:c r="K131" s="68" t="str">
        <x:f>'Hardware Tasks'!K39</x:f>
        <x:v>Restricted-power direction, limit, zero, current, unit, assembly, and brush checks produce a compatible calibration manifest.</x:v>
      </x:c>
    </x:row>
    <x:row r="132" ht="38" customHeight="1">
      <x:c r="A132" s="68" t="str">
        <x:f>'Hardware Tasks'!A40</x:f>
        <x:v>T-707</x:v>
      </x:c>
      <x:c r="B132" s="68" t="str">
        <x:f>'Hardware Tasks'!B40</x:f>
        <x:v>M7</x:v>
      </x:c>
      <x:c r="C132" s="68" t="str">
        <x:f>'Hardware Tasks'!C40</x:f>
        <x:v>Hardware Bring-Up</x:v>
      </x:c>
      <x:c r="D132" s="68" t="str">
        <x:f>'Hardware Tasks'!D40</x:f>
        <x:v>Commission and validate one powered joint</x:v>
      </x:c>
      <x:c r="E132" s="68" t="str">
        <x:f>'Hardware Tasks'!E40</x:f>
        <x:v>T-611, T-702, T-704, T-705, T-706</x:v>
      </x:c>
      <x:c r="F132" s="68" t="str">
        <x:v>Blocked</x:v>
      </x:c>
      <x:c r="G132" s="68" t="str">
        <x:f>'Hardware Tasks'!G40</x:f>
        <x:v>3-5 days</x:v>
      </x:c>
      <x:c r="H132" s="92" t="n">
        <x:f>'Hardware Tasks'!H40</x:f>
        <x:v>4</x:v>
      </x:c>
      <x:c r="I132" s="94" t="n">
        <x:f>'Hardware Tasks'!I40</x:f>
        <x:v>46440</x:v>
      </x:c>
      <x:c r="J132" s="94" t="n">
        <x:f>'Hardware Tasks'!J40</x:f>
        <x:v>46443</x:v>
      </x:c>
      <x:c r="K132" s="68" t="str">
        <x:f>'Hardware Tasks'!K40</x:f>
        <x:v>Enable, stop, sensing, limits, watchdog, tracking, hold, damping, friction, backlash, thermal behavior, and model residuals are validated.</x:v>
      </x:c>
    </x:row>
    <x:row r="133" ht="38" customHeight="1">
      <x:c r="A133" s="68" t="str">
        <x:f>'Hardware Tasks'!A41</x:f>
        <x:v>T-708</x:v>
      </x:c>
      <x:c r="B133" s="68" t="str">
        <x:f>'Hardware Tasks'!B41</x:f>
        <x:v>M7</x:v>
      </x:c>
      <x:c r="C133" s="68" t="str">
        <x:f>'Hardware Tasks'!C41</x:f>
        <x:v>Hardware Bring-Up/Dynamics</x:v>
      </x:c>
      <x:c r="D133" s="68" t="str">
        <x:f>'Hardware Tasks'!D41</x:f>
        <x:v>Commission and validate a two-link chain</x:v>
      </x:c>
      <x:c r="E133" s="68" t="str">
        <x:f>'Hardware Tasks'!E41</x:f>
        <x:v>T-707, T-613</x:v>
      </x:c>
      <x:c r="F133" s="68" t="str">
        <x:v>Blocked</x:v>
      </x:c>
      <x:c r="G133" s="68" t="str">
        <x:f>'Hardware Tasks'!G41</x:f>
        <x:v>4-7 days</x:v>
      </x:c>
      <x:c r="H133" s="92" t="n">
        <x:f>'Hardware Tasks'!H41</x:f>
        <x:v>6</x:v>
      </x:c>
      <x:c r="I133" s="94" t="n">
        <x:f>'Hardware Tasks'!I41</x:f>
        <x:v>46444</x:v>
      </x:c>
      <x:c r="J133" s="94" t="n">
        <x:f>'Hardware Tasks'!J41</x:f>
        <x:v>46451</x:v>
      </x:c>
      <x:c r="K133" s="68" t="str">
        <x:f>'Hardware Tasks'!K41</x:f>
        <x:v>Coupled dynamics, gravity, tracking, damping, retraction, stops, current, structural modes, and cable effects pass conservative tests.</x:v>
      </x:c>
    </x:row>
    <x:row r="134" ht="38" customHeight="1">
      <x:c r="A134" s="68" t="str">
        <x:f>'Hardware Tasks'!A42</x:f>
        <x:v>T-709</x:v>
      </x:c>
      <x:c r="B134" s="68" t="str">
        <x:f>'Hardware Tasks'!B42</x:f>
        <x:v>M7</x:v>
      </x:c>
      <x:c r="C134" s="68" t="str">
        <x:f>'Hardware Tasks'!C42</x:f>
        <x:v>Hardware Bring-Up</x:v>
      </x:c>
      <x:c r="D134" s="68" t="str">
        <x:f>'Hardware Tasks'!D42</x:f>
        <x:v>Commission the integrated arm in dry free space</x:v>
      </x:c>
      <x:c r="E134" s="68" t="str">
        <x:f>'Hardware Tasks'!E42</x:f>
        <x:v>T-614, T-708</x:v>
      </x:c>
      <x:c r="F134" s="68" t="str">
        <x:v>Blocked</x:v>
      </x:c>
      <x:c r="G134" s="68" t="str">
        <x:f>'Hardware Tasks'!G42</x:f>
        <x:v>5-8 days</x:v>
      </x:c>
      <x:c r="H134" s="92" t="n">
        <x:f>'Hardware Tasks'!H42</x:f>
        <x:v>7</x:v>
      </x:c>
      <x:c r="I134" s="94" t="n">
        <x:f>'Hardware Tasks'!I42</x:f>
        <x:v>46454</x:v>
      </x:c>
      <x:c r="J134" s="94" t="n">
        <x:f>'Hardware Tasks'!J42</x:f>
        <x:v>46462</x:v>
      </x:c>
      <x:c r="K134" s="68" t="str">
        <x:f>'Hardware Tasks'!K42</x:f>
        <x:v>Full-arm joints, cables, stops, workspace, retract, E-stop, canonical paths, startup, pause, jog, shutdown, and provenance are validated dry.</x:v>
      </x:c>
    </x:row>
    <x:row r="135" ht="38" customHeight="1">
      <x:c r="A135" s="68" t="str">
        <x:f>'Hardware Tasks'!A43</x:f>
        <x:v>T-710</x:v>
      </x:c>
      <x:c r="B135" s="68" t="str">
        <x:f>'Hardware Tasks'!B43</x:f>
        <x:v>M7</x:v>
      </x:c>
      <x:c r="C135" s="68" t="str">
        <x:f>'Hardware Tasks'!C43</x:f>
        <x:v>Contact/Safety</x:v>
      </x:c>
      <x:c r="D135" s="68" t="str">
        <x:f>'Hardware Tasks'!D43</x:f>
        <x:v>Validate brush approach, contact, release, and retract</x:v>
      </x:c>
      <x:c r="E135" s="68" t="str">
        <x:f>'Hardware Tasks'!E43</x:f>
        <x:v>T-612, T-709</x:v>
      </x:c>
      <x:c r="F135" s="68" t="str">
        <x:v>Blocked</x:v>
      </x:c>
      <x:c r="G135" s="68" t="str">
        <x:f>'Hardware Tasks'!G43</x:f>
        <x:v>4-7 days</x:v>
      </x:c>
      <x:c r="H135" s="92" t="n">
        <x:f>'Hardware Tasks'!H43</x:f>
        <x:v>6</x:v>
      </x:c>
      <x:c r="I135" s="94" t="n">
        <x:f>'Hardware Tasks'!I43</x:f>
        <x:v>46463</x:v>
      </x:c>
      <x:c r="J135" s="94" t="n">
        <x:f>'Hardware Tasks'!J43</x:f>
        <x:v>46470</x:v>
      </x:c>
      <x:c r="K135" s="68" t="str">
        <x:f>'Hardware Tasks'!K43</x:f>
        <x:v>Restricted-energy contact cases validate detection, pressure proxy, release, retraction, emergency recovery, compliance, and no planning-state contact.</x:v>
      </x:c>
    </x:row>
    <x:row r="136" ht="38" customHeight="1">
      <x:c r="A136" s="68" t="str">
        <x:f>'Hardware Tasks'!A44</x:f>
        <x:v>T-711</x:v>
      </x:c>
      <x:c r="B136" s="68" t="str">
        <x:f>'Hardware Tasks'!B44</x:f>
        <x:v>M7</x:v>
      </x:c>
      <x:c r="C136" s="68" t="str">
        <x:f>'Hardware Tasks'!C44</x:f>
        <x:v>Workcell/Safety</x:v>
      </x:c>
      <x:c r="D136" s="68" t="str">
        <x:f>'Hardware Tasks'!D44</x:f>
        <x:v>Define paint and solvent operating procedures</x:v>
      </x:c>
      <x:c r="E136" s="68" t="str">
        <x:f>'Hardware Tasks'!E44</x:f>
        <x:v>T-608, T-701</x:v>
      </x:c>
      <x:c r="F136" s="68" t="str">
        <x:v>Blocked</x:v>
      </x:c>
      <x:c r="G136" s="68" t="str">
        <x:f>'Hardware Tasks'!G44</x:f>
        <x:v>2-3 days</x:v>
      </x:c>
      <x:c r="H136" s="92" t="n">
        <x:f>'Hardware Tasks'!H44</x:f>
        <x:v>3</x:v>
      </x:c>
      <x:c r="I136" s="94" t="n">
        <x:f>'Hardware Tasks'!I44</x:f>
        <x:v>46471</x:v>
      </x:c>
      <x:c r="J136" s="94" t="n">
        <x:f>'Hardware Tasks'!J44</x:f>
        <x:v>46475</x:v>
      </x:c>
      <x:c r="K136" s="68" t="str">
        <x:f>'Hardware Tasks'!K44</x:f>
        <x:v>Supervised loading, cleaning, secured vessels, spill, ventilation, storage, waste, shutdown, and later automation boundaries are documented.</x:v>
      </x:c>
    </x:row>
    <x:row r="137" ht="38" customHeight="1">
      <x:c r="A137" s="68" t="str">
        <x:f>'Hardware Tasks'!A45</x:f>
        <x:v>T-712</x:v>
      </x:c>
      <x:c r="B137" s="68" t="str">
        <x:f>'Hardware Tasks'!B45</x:f>
        <x:v>M7</x:v>
      </x:c>
      <x:c r="C137" s="68" t="str">
        <x:f>'Hardware Tasks'!C45</x:f>
        <x:v>Sensors/Calibration</x:v>
      </x:c>
      <x:c r="D137" s="68" t="str">
        <x:f>'Hardware Tasks'!D45</x:f>
        <x:v>Validate physical sensors and fixed-camera observations</x:v>
      </x:c>
      <x:c r="E137" s="68" t="str">
        <x:f>'Hardware Tasks'!E45</x:f>
        <x:v>AI-201, T-509, T-706, T-709</x:v>
      </x:c>
      <x:c r="F137" s="68" t="str">
        <x:v>Blocked</x:v>
      </x:c>
      <x:c r="G137" s="68" t="str">
        <x:f>'Hardware Tasks'!G45</x:f>
        <x:v>4-6 days</x:v>
      </x:c>
      <x:c r="H137" s="92" t="n">
        <x:f>'Hardware Tasks'!H45</x:f>
        <x:v>5</x:v>
      </x:c>
      <x:c r="I137" s="94" t="n">
        <x:f>'Hardware Tasks'!I45</x:f>
        <x:v>46476</x:v>
      </x:c>
      <x:c r="J137" s="94" t="n">
        <x:f>'Hardware Tasks'!J45</x:f>
        <x:v>46482</x:v>
      </x:c>
      <x:c r="K137" s="68" t="str">
        <x:f>'Hardware Tasks'!K45</x:f>
        <x:v>Physical sensor modalities have measured units, rates, noise, delay, dropout, camera calibration, fixtures, and sensor-access enforcement.</x:v>
      </x:c>
    </x:row>
    <x:row r="138" ht="38" customHeight="1">
      <x:c r="A138" s="68" t="str">
        <x:f>'Hardware Tasks'!A46</x:f>
        <x:v>T-713</x:v>
      </x:c>
      <x:c r="B138" s="68" t="str">
        <x:f>'Hardware Tasks'!B46</x:f>
        <x:v>M7</x:v>
      </x:c>
      <x:c r="C138" s="68" t="str">
        <x:f>'Hardware Tasks'!C46</x:f>
        <x:v>Runtime/Hardware</x:v>
      </x:c>
      <x:c r="D138" s="68" t="str">
        <x:f>'Hardware Tasks'!D46</x:f>
        <x:v>Implement the hardware backend and provenance path</x:v>
      </x:c>
      <x:c r="E138" s="68" t="str">
        <x:f>'Hardware Tasks'!E46</x:f>
        <x:v>T-103, T-401, T-705, T-709, T-712</x:v>
      </x:c>
      <x:c r="F138" s="68" t="str">
        <x:v>Blocked</x:v>
      </x:c>
      <x:c r="G138" s="68" t="str">
        <x:f>'Hardware Tasks'!G46</x:f>
        <x:v>5-8 days</x:v>
      </x:c>
      <x:c r="H138" s="92" t="n">
        <x:f>'Hardware Tasks'!H46</x:f>
        <x:v>7</x:v>
      </x:c>
      <x:c r="I138" s="94" t="n">
        <x:f>'Hardware Tasks'!I46</x:f>
        <x:v>46483</x:v>
      </x:c>
      <x:c r="J138" s="94" t="n">
        <x:f>'Hardware Tasks'!J46</x:f>
        <x:v>46491</x:v>
      </x:c>
      <x:c r="K138" s="68" t="str">
        <x:f>'Hardware Tasks'!K46</x:f>
        <x:v>Versioned hardware commands, observations, telemetry, capabilities, timestamps, calibration, safety vetoes, and recorded replay satisfy the common contract.</x:v>
      </x:c>
    </x:row>
    <x:row r="139" ht="38" customHeight="1">
      <x:c r="A139" s="68" t="str">
        <x:f>'Hardware Tasks'!A47</x:f>
        <x:v>T-714</x:v>
      </x:c>
      <x:c r="B139" s="68" t="str">
        <x:f>'Hardware Tasks'!B47</x:f>
        <x:v>M7</x:v>
      </x:c>
      <x:c r="C139" s="68" t="str">
        <x:f>'Hardware Tasks'!C47</x:f>
        <x:v>Safety Validation</x:v>
      </x:c>
      <x:c r="D139" s="68" t="str">
        <x:f>'Hardware Tasks'!D47</x:f>
        <x:v>Run fault-injection and recovery tests</x:v>
      </x:c>
      <x:c r="E139" s="68" t="str">
        <x:f>'Hardware Tasks'!E47</x:f>
        <x:v>T-703, T-705, T-709, T-713</x:v>
      </x:c>
      <x:c r="F139" s="68" t="str">
        <x:v>Blocked</x:v>
      </x:c>
      <x:c r="G139" s="68" t="str">
        <x:f>'Hardware Tasks'!G47</x:f>
        <x:v>3-5 days</x:v>
      </x:c>
      <x:c r="H139" s="92" t="n">
        <x:f>'Hardware Tasks'!H47</x:f>
        <x:v>4</x:v>
      </x:c>
      <x:c r="I139" s="94" t="n">
        <x:f>'Hardware Tasks'!I47</x:f>
        <x:v>46492</x:v>
      </x:c>
      <x:c r="J139" s="94" t="n">
        <x:f>'Hardware Tasks'!J47</x:f>
        <x:v>46497</x:v>
      </x:c>
      <x:c r="K139" s="68" t="str">
        <x:f>'Hardware Tasks'!K47</x:f>
        <x:v>Communication, sensor, command, non-finite, encoder, electrical, thermal, contact, and backend faults produce the intended stop and recovery.</x:v>
      </x:c>
    </x:row>
    <x:row r="140" ht="38" customHeight="1">
      <x:c r="A140" s="68" t="str">
        <x:f>'Hardware Tasks'!A48</x:f>
        <x:v>T-715</x:v>
      </x:c>
      <x:c r="B140" s="68" t="str">
        <x:f>'Hardware Tasks'!B48</x:f>
        <x:v>M7</x:v>
      </x:c>
      <x:c r="C140" s="68" t="str">
        <x:f>'Hardware Tasks'!C48</x:f>
        <x:v>Hardware Validation/Painting</x:v>
      </x:c>
      <x:c r="D140" s="68" t="str">
        <x:f>'Hardware Tasks'!D48</x:f>
        <x:v>Conduct supervised wet painting trials</x:v>
      </x:c>
      <x:c r="E140" s="68" t="str">
        <x:f>'Hardware Tasks'!E48</x:f>
        <x:v>T-710, T-711, T-712, T-714</x:v>
      </x:c>
      <x:c r="F140" s="68" t="str">
        <x:v>Blocked</x:v>
      </x:c>
      <x:c r="G140" s="68" t="str">
        <x:f>'Hardware Tasks'!G48</x:f>
        <x:v>4-7 days</x:v>
      </x:c>
      <x:c r="H140" s="92" t="n">
        <x:f>'Hardware Tasks'!H48</x:f>
        <x:v>6</x:v>
      </x:c>
      <x:c r="I140" s="94" t="n">
        <x:f>'Hardware Tasks'!I48</x:f>
        <x:v>46498</x:v>
      </x:c>
      <x:c r="J140" s="94" t="n">
        <x:f>'Hardware Tasks'!J48</x:f>
        <x:v>46505</x:v>
      </x:c>
      <x:c r="K140" s="68" t="str">
        <x:f>'Hardware Tasks'!K48</x:f>
        <x:v>Scripted black, white, overlap, curve, broad, edge, and cleaning cases validate physical consequence and contamination behavior under supervision.</x:v>
      </x:c>
    </x:row>
    <x:row r="141" ht="38" customHeight="1">
      <x:c r="A141" s="68" t="str">
        <x:f>'Hardware Tasks'!A49</x:f>
        <x:v>T-716</x:v>
      </x:c>
      <x:c r="B141" s="68" t="str">
        <x:f>'Hardware Tasks'!B49</x:f>
        <x:v>M7</x:v>
      </x:c>
      <x:c r="C141" s="68" t="str">
        <x:f>'Hardware Tasks'!C49</x:f>
        <x:v>Active-Inference Transfer Validation</x:v>
      </x:c>
      <x:c r="D141" s="68" t="str">
        <x:f>'Hardware Tasks'!D49</x:f>
        <x:v>Run sensor-equivalent inference in shadow mode</x:v>
      </x:c>
      <x:c r="E141" s="68" t="str">
        <x:f>'Hardware Tasks'!E49</x:f>
        <x:v>M2, T-713, T-715</x:v>
      </x:c>
      <x:c r="F141" s="68" t="str">
        <x:v>Blocked</x:v>
      </x:c>
      <x:c r="G141" s="68" t="str">
        <x:f>'Hardware Tasks'!G49</x:f>
        <x:v>4-6 days</x:v>
      </x:c>
      <x:c r="H141" s="92" t="n">
        <x:f>'Hardware Tasks'!H49</x:f>
        <x:v>5</x:v>
      </x:c>
      <x:c r="I141" s="94" t="n">
        <x:f>'Hardware Tasks'!I49</x:f>
        <x:v>46506</x:v>
      </x:c>
      <x:c r="J141" s="94" t="n">
        <x:f>'Hardware Tasks'!J49</x:f>
        <x:v>46512</x:v>
      </x:c>
      <x:c r="K141" s="68" t="str">
        <x:f>'Hardware Tasks'!K49</x:f>
        <x:v>Physical observations update inference without command authority or hidden truth, exposing calibrated prediction, VFE, uncertainty, policy, and transfer mismatch.</x:v>
      </x:c>
    </x:row>
    <x:row r="142" ht="38" customHeight="1">
      <x:c r="A142" s="68" t="str">
        <x:f>'Hardware Tasks'!A50</x:f>
        <x:v>T-717</x:v>
      </x:c>
      <x:c r="B142" s="68" t="str">
        <x:f>'Hardware Tasks'!B50</x:f>
        <x:v>M7</x:v>
      </x:c>
      <x:c r="C142" s="68" t="str">
        <x:f>'Hardware Tasks'!C50</x:f>
        <x:v>Hardware Research/Safety</x:v>
      </x:c>
      <x:c r="D142" s="68" t="str">
        <x:f>'Hardware Tasks'!D50</x:f>
        <x:v>Conduct bounded autonomous research runs</x:v>
      </x:c>
      <x:c r="E142" s="68" t="str">
        <x:f>'Hardware Tasks'!E50</x:f>
        <x:v>AI-315, T-714, T-716</x:v>
      </x:c>
      <x:c r="F142" s="68" t="str">
        <x:v>Blocked</x:v>
      </x:c>
      <x:c r="G142" s="68" t="str">
        <x:f>'Hardware Tasks'!G50</x:f>
        <x:v>3-5 days initially</x:v>
      </x:c>
      <x:c r="H142" s="92" t="n">
        <x:f>'Hardware Tasks'!H50</x:f>
        <x:v>4</x:v>
      </x:c>
      <x:c r="I142" s="94" t="n">
        <x:f>'Hardware Tasks'!I50</x:f>
        <x:v>46513</x:v>
      </x:c>
      <x:c r="J142" s="94" t="n">
        <x:f>'Hardware Tasks'!J50</x:f>
        <x:v>46518</x:v>
      </x:c>
      <x:c r="K142" s="68" t="str">
        <x:f>'Hardware Tasks'!K50</x:f>
        <x:v>Bounded supervised runs preserve external vetoes and complete observation-to-execution artifacts and stop on unsupported state.</x:v>
      </x:c>
    </x:row>
    <x:row r="143" ht="38" customHeight="1">
      <x:c r="A143" s="68" t="str">
        <x:f>'Hardware Tasks'!A51</x:f>
        <x:v>T-718</x:v>
      </x:c>
      <x:c r="B143" s="68" t="str">
        <x:f>'Hardware Tasks'!B51</x:f>
        <x:v>M7</x:v>
      </x:c>
      <x:c r="C143" s="68" t="str">
        <x:f>'Hardware Tasks'!C51</x:f>
        <x:v>Validation</x:v>
      </x:c>
      <x:c r="D143" s="68" t="str">
        <x:f>'Hardware Tasks'!D51</x:f>
        <x:v>M7 hardware-readiness gate</x:v>
      </x:c>
      <x:c r="E143" s="68" t="str">
        <x:f>'Hardware Tasks'!E51</x:f>
        <x:v>T-714, T-715, T-716, T-717</x:v>
      </x:c>
      <x:c r="F143" s="68" t="str">
        <x:v>Blocked</x:v>
      </x:c>
      <x:c r="G143" s="68" t="str">
        <x:f>'Hardware Tasks'!G51</x:f>
        <x:v>1 day</x:v>
      </x:c>
      <x:c r="H143" s="92" t="n">
        <x:f>'Hardware Tasks'!H51</x:f>
        <x:v>1</x:v>
      </x:c>
      <x:c r="I143" s="94" t="n">
        <x:f>'Hardware Tasks'!I51</x:f>
        <x:v>46519</x:v>
      </x:c>
      <x:c r="J143" s="94" t="n">
        <x:f>'Hardware Tasks'!J51</x:f>
        <x:v>46519</x:v>
      </x:c>
      <x:c r="K143" s="68" t="str">
        <x:f>'Hardware Tasks'!K51</x:f>
        <x:v>Safety, dry, contact, wet, fault, sensor, backend, shadow, autonomy, provenance, and residual-risk evidence supports only the documented operating mode.</x:v>
      </x:c>
    </x:row>
    <x:row r="144" ht="38" customHeight="1">
      <x:c r="A144" s="68" t="str">
        <x:f>'Research Tasks'!A58</x:f>
        <x:v>T-801</x:v>
      </x:c>
      <x:c r="B144" s="68" t="str">
        <x:f>'Research Tasks'!B58</x:f>
        <x:v>M8</x:v>
      </x:c>
      <x:c r="C144" s="68" t="str">
        <x:f>'Research Tasks'!C58</x:f>
        <x:v>Research Design</x:v>
      </x:c>
      <x:c r="D144" s="68" t="str">
        <x:f>'Research Tasks'!D58</x:f>
        <x:v>Define the study registry and evidence levels</x:v>
      </x:c>
      <x:c r="E144" s="68" t="str">
        <x:f>'Research Tasks'!E58</x:f>
        <x:v>AI-115</x:v>
      </x:c>
      <x:c r="F144" s="68" t="str">
        <x:v>Blocked</x:v>
      </x:c>
      <x:c r="G144" s="68" t="str">
        <x:f>'Research Tasks'!G58</x:f>
        <x:v>2 days</x:v>
      </x:c>
      <x:c r="H144" s="92" t="n">
        <x:f>'Research Tasks'!H58</x:f>
        <x:v>2</x:v>
      </x:c>
      <x:c r="I144" s="94" t="n">
        <x:f>'Research Tasks'!I58</x:f>
        <x:v>46293</x:v>
      </x:c>
      <x:c r="J144" s="94" t="n">
        <x:f>'Research Tasks'!J58</x:f>
        <x:v>46294</x:v>
      </x:c>
      <x:c r="K144" s="68" t="str">
        <x:f>'Research Tasks'!K58</x:f>
        <x:v>Hypotheses, mechanisms, comparisons, outcomes, exclusions, readiness gates, evidence levels, and charter links are registered before confirmatory interpretation.</x:v>
      </x:c>
    </x:row>
    <x:row r="145" ht="38" customHeight="1">
      <x:c r="A145" s="68" t="str">
        <x:f>'Research Tasks'!A59</x:f>
        <x:v>T-802</x:v>
      </x:c>
      <x:c r="B145" s="68" t="str">
        <x:f>'Research Tasks'!B59</x:f>
        <x:v>M8</x:v>
      </x:c>
      <x:c r="C145" s="68" t="str">
        <x:f>'Research Tasks'!C59</x:f>
        <x:v>Research Ops</x:v>
      </x:c>
      <x:c r="D145" s="68" t="str">
        <x:f>'Research Tasks'!D59</x:f>
        <x:v>Finalize experiment manifests and inheritance rules</x:v>
      </x:c>
      <x:c r="E145" s="68" t="str">
        <x:f>'Research Tasks'!E59</x:f>
        <x:v>T-003, AI-112, T-801</x:v>
      </x:c>
      <x:c r="F145" s="68" t="str">
        <x:v>Blocked</x:v>
      </x:c>
      <x:c r="G145" s="68" t="str">
        <x:f>'Research Tasks'!G59</x:f>
        <x:v>2 days</x:v>
      </x:c>
      <x:c r="H145" s="92" t="n">
        <x:f>'Research Tasks'!H59</x:f>
        <x:v>2</x:v>
      </x:c>
      <x:c r="I145" s="94" t="n">
        <x:f>'Research Tasks'!I59</x:f>
        <x:v>46295</x:v>
      </x:c>
      <x:c r="J145" s="94" t="n">
        <x:f>'Research Tasks'!J59</x:f>
        <x:v>46296</x:v>
      </x:c>
      <x:c r="K145" s="68" t="str">
        <x:f>'Research Tasks'!K59</x:f>
        <x:v>Complete model, data, learning, proposal, precision, backend, body, sensor, compute, history, and safety provenance determines confirmatory validity.</x:v>
      </x:c>
    </x:row>
    <x:row r="146" ht="38" customHeight="1">
      <x:c r="A146" s="68" t="str">
        <x:f>'Research Tasks'!A60</x:f>
        <x:v>T-803</x:v>
      </x:c>
      <x:c r="B146" s="68" t="str">
        <x:f>'Research Tasks'!B60</x:f>
        <x:v>M8</x:v>
      </x:c>
      <x:c r="C146" s="68" t="str">
        <x:f>'Research Tasks'!C60</x:f>
        <x:v>Research Tooling</x:v>
      </x:c>
      <x:c r="D146" s="68" t="str">
        <x:f>'Research Tasks'!D60</x:f>
        <x:v>Build the common measurement and analysis pipeline</x:v>
      </x:c>
      <x:c r="E146" s="68" t="str">
        <x:f>'Research Tasks'!E60</x:f>
        <x:v>T-408, T-802</x:v>
      </x:c>
      <x:c r="F146" s="68" t="str">
        <x:v>Blocked</x:v>
      </x:c>
      <x:c r="G146" s="68" t="str">
        <x:f>'Research Tasks'!G60</x:f>
        <x:v>4-6 days</x:v>
      </x:c>
      <x:c r="H146" s="92" t="n">
        <x:f>'Research Tasks'!H60</x:f>
        <x:v>5</x:v>
      </x:c>
      <x:c r="I146" s="94" t="n">
        <x:f>'Research Tasks'!I60</x:f>
        <x:v>46297</x:v>
      </x:c>
      <x:c r="J146" s="94" t="n">
        <x:f>'Research Tasks'!J60</x:f>
        <x:v>46303</x:v>
      </x:c>
      <x:c r="K146" s="68" t="str">
        <x:f>'Research Tasks'!K60</x:f>
        <x:v>Versioned artifacts produce tested predictive, calibration, policy, gaze, embodiment, hierarchy, spatial-temporal, and failure summaries at valid independent-unit levels.</x:v>
      </x:c>
    </x:row>
    <x:row r="147" ht="38" customHeight="1">
      <x:c r="A147" s="68" t="str">
        <x:f>'Research Tasks'!A61</x:f>
        <x:v>T-804</x:v>
      </x:c>
      <x:c r="B147" s="68" t="str">
        <x:f>'Research Tasks'!B61</x:f>
        <x:v>M8</x:v>
      </x:c>
      <x:c r="C147" s="68" t="str">
        <x:f>'Research Tasks'!C61</x:f>
        <x:v>Experimental Design</x:v>
      </x:c>
      <x:c r="D147" s="68" t="str">
        <x:f>'Research Tasks'!D61</x:f>
        <x:v>Define replication, stopping, and analysis plans</x:v>
      </x:c>
      <x:c r="E147" s="68" t="str">
        <x:f>'Research Tasks'!E61</x:f>
        <x:v>T-801, T-803</x:v>
      </x:c>
      <x:c r="F147" s="68" t="str">
        <x:v>Blocked</x:v>
      </x:c>
      <x:c r="G147" s="68" t="str">
        <x:f>'Research Tasks'!G61</x:f>
        <x:v>2-3 days</x:v>
      </x:c>
      <x:c r="H147" s="92" t="n">
        <x:f>'Research Tasks'!H61</x:f>
        <x:v>3</x:v>
      </x:c>
      <x:c r="I147" s="94" t="n">
        <x:f>'Research Tasks'!I61</x:f>
        <x:v>46304</x:v>
      </x:c>
      <x:c r="J147" s="94" t="n">
        <x:f>'Research Tasks'!J61</x:f>
        <x:v>46308</x:v>
      </x:c>
      <x:c r="K147" s="68" t="str">
        <x:f>'Research Tasks'!K61</x:f>
        <x:v>Pilot variance, paired replication, compute ceilings, stopping, failures, multiple comparisons, intervals, and descriptive limits are declared before confirmatory runs.</x:v>
      </x:c>
    </x:row>
    <x:row r="148" ht="38" customHeight="1">
      <x:c r="A148" s="68" t="str">
        <x:f>'Research Tasks'!A62</x:f>
        <x:v>T-805</x:v>
      </x:c>
      <x:c r="B148" s="68" t="str">
        <x:f>'Research Tasks'!B62</x:f>
        <x:v>M8</x:v>
      </x:c>
      <x:c r="C148" s="68" t="str">
        <x:f>'Research Tasks'!C62</x:f>
        <x:v>Validation/Research Ops</x:v>
      </x:c>
      <x:c r="D148" s="68" t="str">
        <x:f>'Research Tasks'!D62</x:f>
        <x:v>Maintain the capability-readiness matrix</x:v>
      </x:c>
      <x:c r="E148" s="68" t="str">
        <x:f>'Research Tasks'!E62</x:f>
        <x:v>T-801, T-802</x:v>
      </x:c>
      <x:c r="F148" s="68" t="str">
        <x:v>Blocked</x:v>
      </x:c>
      <x:c r="G148" s="68" t="str">
        <x:f>'Research Tasks'!G62</x:f>
        <x:v>1 day initially, then ongoing</x:v>
      </x:c>
      <x:c r="H148" s="92" t="n">
        <x:f>'Research Tasks'!H62</x:f>
        <x:v>1</x:v>
      </x:c>
      <x:c r="I148" s="94" t="n">
        <x:f>'Research Tasks'!I62</x:f>
        <x:v>46309</x:v>
      </x:c>
      <x:c r="J148" s="94" t="n">
        <x:f>'Research Tasks'!J62</x:f>
        <x:v>46309</x:v>
      </x:c>
      <x:c r="K148" s="68" t="str">
        <x:f>'Research Tasks'!K62</x:f>
        <x:v>Each study is blocked or released by its exact observation, prediction, embodiment, relation, persistence, policy, and generalization evidence.</x:v>
      </x:c>
    </x:row>
    <x:row r="149" ht="38" customHeight="1">
      <x:c r="A149" s="68" t="str">
        <x:f>'Research Tasks'!A63</x:f>
        <x:v>T-806</x:v>
      </x:c>
      <x:c r="B149" s="68" t="str">
        <x:f>'Research Tasks'!B63</x:f>
        <x:v>M8</x:v>
      </x:c>
      <x:c r="C149" s="68" t="str">
        <x:f>'Research Tasks'!C63</x:f>
        <x:v>Baseline Research</x:v>
      </x:c>
      <x:c r="D149" s="68" t="str">
        <x:f>'Research Tasks'!D63</x:f>
        <x:v>Publish the formal baseline and approximation report</x:v>
      </x:c>
      <x:c r="E149" s="68" t="str">
        <x:f>'Research Tasks'!E63</x:f>
        <x:v>AI-114, AI-115, T-802, T-803</x:v>
      </x:c>
      <x:c r="F149" s="68" t="str">
        <x:v>Blocked</x:v>
      </x:c>
      <x:c r="G149" s="68" t="str">
        <x:f>'Research Tasks'!G63</x:f>
        <x:v>3-5 days</x:v>
      </x:c>
      <x:c r="H149" s="92" t="n">
        <x:f>'Research Tasks'!H63</x:f>
        <x:v>4</x:v>
      </x:c>
      <x:c r="I149" s="94" t="n">
        <x:f>'Research Tasks'!I63</x:f>
        <x:v>46310</x:v>
      </x:c>
      <x:c r="J149" s="94" t="n">
        <x:f>'Research Tasks'!J63</x:f>
        <x:v>46315</x:v>
      </x:c>
      <x:c r="K149" s="68" t="str">
        <x:f>'Research Tasks'!K63</x:f>
        <x:v>The factorization, access boundary, fixtures, calibration, proposals, preferences, inheritance, runtime, approximations, replicas, and failures define the baseline.</x:v>
      </x:c>
    </x:row>
    <x:row r="150" ht="38" customHeight="1">
      <x:c r="A150" s="68" t="str">
        <x:f>'Research Tasks'!A64</x:f>
        <x:v>T-816</x:v>
      </x:c>
      <x:c r="B150" s="68" t="str">
        <x:f>'Research Tasks'!B64</x:f>
        <x:v>M8</x:v>
      </x:c>
      <x:c r="C150" s="68" t="str">
        <x:f>'Research Tasks'!C64</x:f>
        <x:v>Research Communication/Art</x:v>
      </x:c>
      <x:c r="D150" s="68" t="str">
        <x:f>'Research Tasks'!D64</x:f>
        <x:v>Define qualitative and conceptual-artifact protocol</x:v>
      </x:c>
      <x:c r="E150" s="68" t="str">
        <x:f>'Research Tasks'!E64</x:f>
        <x:v>T-803</x:v>
      </x:c>
      <x:c r="F150" s="68" t="str">
        <x:v>Blocked</x:v>
      </x:c>
      <x:c r="G150" s="68" t="str">
        <x:f>'Research Tasks'!G64</x:f>
        <x:v>2-3 days</x:v>
      </x:c>
      <x:c r="H150" s="92" t="n">
        <x:f>'Research Tasks'!H64</x:f>
        <x:v>3</x:v>
      </x:c>
      <x:c r="I150" s="94" t="n">
        <x:f>'Research Tasks'!I64</x:f>
        <x:v>46316</x:v>
      </x:c>
      <x:c r="J150" s="94" t="n">
        <x:f>'Research Tasks'!J64</x:f>
        <x:v>46318</x:v>
      </x:c>
      <x:c r="K150" s="68" t="str">
        <x:f>'Research Tasks'!K64</x:f>
        <x:v>Complete, interrupted, failed, and representative canvases have synchronized traces, predeclared selection, no optimization feedback, and honest interpretive limits.</x:v>
      </x:c>
    </x:row>
    <x:row r="151" ht="38" customHeight="1">
      <x:c r="A151" s="68" t="str">
        <x:f>'Research Tasks'!A65</x:f>
        <x:v>T-807</x:v>
      </x:c>
      <x:c r="B151" s="68" t="str">
        <x:f>'Research Tasks'!B65</x:f>
        <x:v>M8</x:v>
      </x:c>
      <x:c r="C151" s="68" t="str">
        <x:f>'Research Tasks'!C65</x:f>
        <x:v>Research/Active Vision</x:v>
      </x:c>
      <x:c r="D151" s="68" t="str">
        <x:f>'Research Tasks'!D65</x:f>
        <x:v>Test H1: active foveation</x:v>
      </x:c>
      <x:c r="E151" s="68" t="str">
        <x:f>'Research Tasks'!E65</x:f>
        <x:v>AI-304, AI-313, T-804, T-805</x:v>
      </x:c>
      <x:c r="F151" s="68" t="str">
        <x:v>Blocked</x:v>
      </x:c>
      <x:c r="G151" s="68" t="str">
        <x:f>'Research Tasks'!G65</x:f>
        <x:v>5-8 days plus runs</x:v>
      </x:c>
      <x:c r="H151" s="92" t="n">
        <x:f>'Research Tasks'!H65</x:f>
        <x:v>7</x:v>
      </x:c>
      <x:c r="I151" s="94" t="n">
        <x:f>'Research Tasks'!I65</x:f>
        <x:v>46496</x:v>
      </x:c>
      <x:c r="J151" s="94" t="n">
        <x:f>'Research Tasks'!J65</x:f>
        <x:v>46504</x:v>
      </x:c>
      <x:c r="K151" s="68" t="str">
        <x:f>'Research Tasks'!K65</x:f>
        <x:v>Active, random, and uniform gaze are matched and compared for ambiguity, calibration, prediction, fixation pathology, and long-range spatial effects.</x:v>
      </x:c>
    </x:row>
    <x:row r="152" ht="38" customHeight="1">
      <x:c r="A152" s="68" t="str">
        <x:f>'Research Tasks'!A66</x:f>
        <x:v>T-808</x:v>
      </x:c>
      <x:c r="B152" s="68" t="str">
        <x:f>'Research Tasks'!B66</x:f>
        <x:v>M8</x:v>
      </x:c>
      <x:c r="C152" s="68" t="str">
        <x:f>'Research Tasks'!C66</x:f>
        <x:v>Research/Embodiment</x:v>
      </x:c>
      <x:c r="D152" s="68" t="str">
        <x:f>'Research Tasks'!D66</x:f>
        <x:v>Test H2: embodied motor prediction</x:v>
      </x:c>
      <x:c r="E152" s="68" t="str">
        <x:f>'Research Tasks'!E66</x:f>
        <x:v>AI-308, AI-313, T-804, T-805</x:v>
      </x:c>
      <x:c r="F152" s="68" t="str">
        <x:v>Blocked</x:v>
      </x:c>
      <x:c r="G152" s="68" t="str">
        <x:f>'Research Tasks'!G66</x:f>
        <x:v>5-8 days plus runs</x:v>
      </x:c>
      <x:c r="H152" s="92" t="n">
        <x:f>'Research Tasks'!H66</x:f>
        <x:v>7</x:v>
      </x:c>
      <x:c r="I152" s="94" t="n">
        <x:f>'Research Tasks'!I66</x:f>
        <x:v>46505</x:v>
      </x:c>
      <x:c r="J152" s="94" t="n">
        <x:f>'Research Tasks'!J66</x:f>
        <x:v>46513</x:v>
      </x:c>
      <x:c r="K152" s="68" t="str">
        <x:f>'Research Tasks'!K66</x:f>
        <x:v>Cartesian and body-aware inference are compared under matched canvas alternatives for motor outcomes, policies, geometry, residuals, perturbations, and inactivity pathology.</x:v>
      </x:c>
    </x:row>
    <x:row r="153" ht="38" customHeight="1">
      <x:c r="A153" s="68" t="str">
        <x:f>'Research Tasks'!A67</x:f>
        <x:v>T-809</x:v>
      </x:c>
      <x:c r="B153" s="68" t="str">
        <x:f>'Research Tasks'!B67</x:f>
        <x:v>M8</x:v>
      </x:c>
      <x:c r="C153" s="68" t="str">
        <x:f>'Research Tasks'!C67</x:f>
        <x:v>Research/Hierarchy</x:v>
      </x:c>
      <x:c r="D153" s="68" t="str">
        <x:f>'Research Tasks'!D67</x:f>
        <x:v>Test H3: slow latent temporal persistence</x:v>
      </x:c>
      <x:c r="E153" s="68" t="str">
        <x:f>'Research Tasks'!E67</x:f>
        <x:v>AI-310, AI-313, T-804, T-805</x:v>
      </x:c>
      <x:c r="F153" s="68" t="str">
        <x:v>Blocked</x:v>
      </x:c>
      <x:c r="G153" s="68" t="str">
        <x:f>'Research Tasks'!G67</x:f>
        <x:v>6-10 days plus runs</x:v>
      </x:c>
      <x:c r="H153" s="92" t="n">
        <x:f>'Research Tasks'!H67</x:f>
        <x:v>8</x:v>
      </x:c>
      <x:c r="I153" s="94" t="n">
        <x:f>'Research Tasks'!I67</x:f>
        <x:v>46514</x:v>
      </x:c>
      <x:c r="J153" s="94" t="n">
        <x:f>'Research Tasks'!J67</x:f>
        <x:v>46525</x:v>
      </x:c>
      <x:c r="K153" s="68" t="str">
        <x:f>'Research Tasks'!K67</x:f>
        <x:v>Fast, slow, frozen, shuffled, and reset conditions test predictive information and later policy effects beyond the current canvas.</x:v>
      </x:c>
    </x:row>
    <x:row r="154" ht="38" customHeight="1">
      <x:c r="A154" s="68" t="str">
        <x:f>'Research Tasks'!A68</x:f>
        <x:v>T-810</x:v>
      </x:c>
      <x:c r="B154" s="68" t="str">
        <x:f>'Research Tasks'!B68</x:f>
        <x:v>M8</x:v>
      </x:c>
      <x:c r="C154" s="68" t="str">
        <x:f>'Research Tasks'!C68</x:f>
        <x:v>Research/Relational Inference</x:v>
      </x:c>
      <x:c r="D154" s="68" t="str">
        <x:f>'Research Tasks'!D68</x:f>
        <x:v>Test H4: relational nonsemantic representation</x:v>
      </x:c>
      <x:c r="E154" s="68" t="str">
        <x:f>'Research Tasks'!E68</x:f>
        <x:v>AI-209, AI-313, T-804, T-805</x:v>
      </x:c>
      <x:c r="F154" s="68" t="str">
        <x:v>Blocked</x:v>
      </x:c>
      <x:c r="G154" s="68" t="str">
        <x:f>'Research Tasks'!G68</x:f>
        <x:v>5-8 days plus runs</x:v>
      </x:c>
      <x:c r="H154" s="92" t="n">
        <x:f>'Research Tasks'!H68</x:f>
        <x:v>7</x:v>
      </x:c>
      <x:c r="I154" s="94" t="n">
        <x:f>'Research Tasks'!I68</x:f>
        <x:v>46526</x:v>
      </x:c>
      <x:c r="J154" s="94" t="n">
        <x:f>'Research Tasks'!J68</x:f>
        <x:v>46534</x:v>
      </x:c>
      <x:c r="K154" s="68" t="str">
        <x:f>'Research Tasks'!K68</x:f>
        <x:v>Local, diagnostic, and uncertain relational models face spatial interventions and held-out separated-event prediction without aesthetic targets.</x:v>
      </x:c>
    </x:row>
    <x:row r="155" ht="38" customHeight="1">
      <x:c r="A155" s="68" t="str">
        <x:f>'Research Tasks'!A69</x:f>
        <x:v>T-811</x:v>
      </x:c>
      <x:c r="B155" s="68" t="str">
        <x:f>'Research Tasks'!B69</x:f>
        <x:v>M8</x:v>
      </x:c>
      <x:c r="C155" s="68" t="str">
        <x:f>'Research Tasks'!C69</x:f>
        <x:v>Research/Epistemic Policy</x:v>
      </x:c>
      <x:c r="D155" s="68" t="str">
        <x:f>'Research Tasks'!D69</x:f>
        <x:v>Test H5: epistemic action and pathology</x:v>
      </x:c>
      <x:c r="E155" s="68" t="str">
        <x:f>'Research Tasks'!E69</x:f>
        <x:v>AI-309, AI-313, T-804, T-805</x:v>
      </x:c>
      <x:c r="F155" s="68" t="str">
        <x:v>Blocked</x:v>
      </x:c>
      <x:c r="G155" s="68" t="str">
        <x:f>'Research Tasks'!G69</x:f>
        <x:v>5-8 days plus runs</x:v>
      </x:c>
      <x:c r="H155" s="92" t="n">
        <x:f>'Research Tasks'!H69</x:f>
        <x:v>7</x:v>
      </x:c>
      <x:c r="I155" s="94" t="n">
        <x:f>'Research Tasks'!I69</x:f>
        <x:v>46535</x:v>
      </x:c>
      <x:c r="J155" s="94" t="n">
        <x:f>'Research Tasks'!J69</x:f>
        <x:v>46545</x:v>
      </x:c>
      <x:c r="K155" s="68" t="str">
        <x:f>'Research Tasks'!K69</x:f>
        <x:v>Reducible ambiguity, noise, misspecification, reachability, repetition, uncertainty variants, useful information gain, and epistemic pathologies are compared.</x:v>
      </x:c>
    </x:row>
    <x:row r="156" ht="38" customHeight="1">
      <x:c r="A156" s="68" t="str">
        <x:f>'Research Tasks'!A70</x:f>
        <x:v>T-812</x:v>
      </x:c>
      <x:c r="B156" s="68" t="str">
        <x:f>'Research Tasks'!B70</x:f>
        <x:v>M8</x:v>
      </x:c>
      <x:c r="C156" s="68" t="str">
        <x:f>'Research Tasks'!C70</x:f>
        <x:v>Research/Pretraining</x:v>
      </x:c>
      <x:c r="D156" s="68" t="str">
        <x:f>'Research Tasks'!D70</x:f>
        <x:v>Test H6: inherited pretrained perception</x:v>
      </x:c>
      <x:c r="E156" s="68" t="str">
        <x:f>'Research Tasks'!E70</x:f>
        <x:v>AI-314, T-804, T-805</x:v>
      </x:c>
      <x:c r="F156" s="68" t="str">
        <x:v>Blocked</x:v>
      </x:c>
      <x:c r="G156" s="68" t="str">
        <x:f>'Research Tasks'!G70</x:f>
        <x:v>5-8 days plus runs</x:v>
      </x:c>
      <x:c r="H156" s="92" t="n">
        <x:f>'Research Tasks'!H70</x:f>
        <x:v>7</x:v>
      </x:c>
      <x:c r="I156" s="94" t="n">
        <x:f>'Research Tasks'!I70</x:f>
        <x:v>46546</x:v>
      </x:c>
      <x:c r="J156" s="94" t="n">
        <x:f>'Research Tasks'!J70</x:f>
        <x:v>46554</x:v>
      </x:c>
      <x:c r="K156" s="68" t="str">
        <x:f>'Research Tasks'!K70</x:f>
        <x:v>At most two frozen encoders face the same probabilistic adapter, data, policy, and metrics for gain, calibration, cost, sample efficiency, and imported invariance.</x:v>
      </x:c>
    </x:row>
    <x:row r="157" ht="38" customHeight="1">
      <x:c r="A157" s="68" t="str">
        <x:f>'Research Tasks'!A71</x:f>
        <x:v>T-813</x:v>
      </x:c>
      <x:c r="B157" s="68" t="str">
        <x:f>'Research Tasks'!B71</x:f>
        <x:v>M8</x:v>
      </x:c>
      <x:c r="C157" s="68" t="str">
        <x:f>'Research Tasks'!C71</x:f>
        <x:v>Research/Continual Learning</x:v>
      </x:c>
      <x:c r="D157" s="68" t="str">
        <x:f>'Research Tasks'!D71</x:f>
        <x:v>Test online development and inheritance</x:v>
      </x:c>
      <x:c r="E157" s="68" t="str">
        <x:f>'Research Tasks'!E71</x:f>
        <x:v>AI-312, T-802, T-804, T-805</x:v>
      </x:c>
      <x:c r="F157" s="68" t="str">
        <x:v>Blocked</x:v>
      </x:c>
      <x:c r="G157" s="68" t="str">
        <x:f>'Research Tasks'!G71</x:f>
        <x:v>6-10 days plus long runs</x:v>
      </x:c>
      <x:c r="H157" s="92" t="n">
        <x:f>'Research Tasks'!H71</x:f>
        <x:v>8</x:v>
      </x:c>
      <x:c r="I157" s="94" t="n">
        <x:f>'Research Tasks'!I71</x:f>
        <x:v>46555</x:v>
      </x:c>
      <x:c r="J157" s="94" t="n">
        <x:f>'Research Tasks'!J71</x:f>
        <x:v>46566</x:v>
      </x:c>
      <x:c r="K157" s="68" t="str">
        <x:f>'Research Tasks'!K71</x:f>
        <x:v>Separate agent histories compare initialization, freezing, online learning, and replay for prediction, drift, forgetting, policy change, and early-output dependence.</x:v>
      </x:c>
    </x:row>
    <x:row r="158" ht="38" customHeight="1">
      <x:c r="A158" s="68" t="str">
        <x:f>'Research Tasks'!A72</x:f>
        <x:v>T-814</x:v>
      </x:c>
      <x:c r="B158" s="68" t="str">
        <x:f>'Research Tasks'!B72</x:f>
        <x:v>M8</x:v>
      </x:c>
      <x:c r="C158" s="68" t="str">
        <x:f>'Research Tasks'!C72</x:f>
        <x:v>Research/Interactions</x:v>
      </x:c>
      <x:c r="D158" s="68" t="str">
        <x:f>'Research Tasks'!D72</x:f>
        <x:v>Run selected interaction studies</x:v>
      </x:c>
      <x:c r="E158" s="68" t="str">
        <x:f>'Research Tasks'!E72</x:f>
        <x:v>T-807, T-808, T-809, T-810, T-811</x:v>
      </x:c>
      <x:c r="F158" s="68" t="str">
        <x:v>Blocked</x:v>
      </x:c>
      <x:c r="G158" s="68" t="str">
        <x:f>'Research Tasks'!G72</x:f>
        <x:v>6-10 days plus runs</x:v>
      </x:c>
      <x:c r="H158" s="92" t="n">
        <x:f>'Research Tasks'!H72</x:f>
        <x:v>8</x:v>
      </x:c>
      <x:c r="I158" s="94" t="n">
        <x:f>'Research Tasks'!I72</x:f>
        <x:v>46567</x:v>
      </x:c>
      <x:c r="J158" s="94" t="n">
        <x:f>'Research Tasks'!J72</x:f>
        <x:v>46576</x:v>
      </x:c>
      <x:c r="K158" s="68" t="str">
        <x:f>'Research Tasks'!K72</x:f>
        <x:v>Only interactions motivated by single-mechanism evidence enter a predeclared affordable comparison matrix.</x:v>
      </x:c>
    </x:row>
    <x:row r="159" ht="38" customHeight="1">
      <x:c r="A159" s="68" t="str">
        <x:f>'Research Tasks'!A73</x:f>
        <x:v>T-815</x:v>
      </x:c>
      <x:c r="B159" s="68" t="str">
        <x:f>'Research Tasks'!B73</x:f>
        <x:v>M8</x:v>
      </x:c>
      <x:c r="C159" s="68" t="str">
        <x:f>'Research Tasks'!C73</x:f>
        <x:v>Research/Transfer</x:v>
      </x:c>
      <x:c r="D159" s="68" t="str">
        <x:f>'Research Tasks'!D73</x:f>
        <x:v>Run simulator and hardware transfer studies</x:v>
      </x:c>
      <x:c r="E159" s="68" t="str">
        <x:f>'Research Tasks'!E73</x:f>
        <x:v>M2, T-410, T-716, T-804, T-805</x:v>
      </x:c>
      <x:c r="F159" s="68" t="str">
        <x:v>Blocked</x:v>
      </x:c>
      <x:c r="G159" s="68" t="str">
        <x:f>'Research Tasks'!G73</x:f>
        <x:v>6-10 days plus hardware time</x:v>
      </x:c>
      <x:c r="H159" s="92" t="n">
        <x:f>'Research Tasks'!H73</x:f>
        <x:v>8</x:v>
      </x:c>
      <x:c r="I159" s="94" t="n">
        <x:f>'Research Tasks'!I73</x:f>
        <x:v>46577</x:v>
      </x:c>
      <x:c r="J159" s="94" t="n">
        <x:f>'Research Tasks'!J73</x:f>
        <x:v>46588</x:v>
      </x:c>
      <x:c r="K159" s="68" t="str">
        <x:f>'Research Tasks'!K73</x:f>
        <x:v>Native, MuJoCo, recorded, and live hardware compare matched observations, predictions, calibration, beliefs, VFE/EFE, policies, consequences, and localized mismatch.</x:v>
      </x:c>
    </x:row>
    <x:row r="160" ht="38" customHeight="1">
      <x:c r="A160" s="68" t="str">
        <x:f>'Research Tasks'!A74</x:f>
        <x:v>T-817</x:v>
      </x:c>
      <x:c r="B160" s="68" t="str">
        <x:f>'Research Tasks'!B74</x:f>
        <x:v>M8</x:v>
      </x:c>
      <x:c r="C160" s="68" t="str">
        <x:f>'Research Tasks'!C74</x:f>
        <x:v>Research Synthesis</x:v>
      </x:c>
      <x:c r="D160" s="68" t="str">
        <x:f>'Research Tasks'!D74</x:f>
        <x:v>M8 synthesis and research-decision gate</x:v>
      </x:c>
      <x:c r="E160" s="68" t="str">
        <x:f>'Research Tasks'!E74</x:f>
        <x:v>T-806, T-807, T-808, T-809, T-810, T-811, T-812, T-813, T-814, T-815, T-816</x:v>
      </x:c>
      <x:c r="F160" s="68" t="str">
        <x:v>Blocked</x:v>
      </x:c>
      <x:c r="G160" s="68" t="str">
        <x:f>'Research Tasks'!G74</x:f>
        <x:v>5-8 days</x:v>
      </x:c>
      <x:c r="H160" s="92" t="n">
        <x:f>'Research Tasks'!H74</x:f>
        <x:v>7</x:v>
      </x:c>
      <x:c r="I160" s="94" t="n">
        <x:f>'Research Tasks'!I74</x:f>
        <x:v>46589</x:v>
      </x:c>
      <x:c r="J160" s="94" t="n">
        <x:f>'Research Tasks'!J74</x:f>
        <x:v>46597</x:v>
      </x:c>
      <x:c r="K160" s="68" t="str">
        <x:f>'Research Tasks'!K74</x:f>
        <x:v>Hypothesis evidence, failures, imports, engineering contributions, negative results, ambiguity, and the next feasible high-information direction are reported separately.</x:v>
      </x:c>
    </x:row>
    <x:row r="161" ht="38" customHeight="1">
      <x:c r="A161" s="68" t="str">
        <x:f>'Transfer Plan'!A5</x:f>
        <x:v>R2-PKG</x:v>
      </x:c>
      <x:c r="B161" s="68" t="str">
        <x:f>'Transfer Plan'!B5</x:f>
        <x:v>R2</x:v>
      </x:c>
      <x:c r="C161" s="68" t="str">
        <x:f>'Transfer Plan'!C5</x:f>
        <x:v>Transfer/Undecomposed</x:v>
      </x:c>
      <x:c r="D161" s="68" t="str">
        <x:f>'Transfer Plan'!D5</x:f>
        <x:v>Fixed-camera sim-to-real protocol phase envelope</x:v>
      </x:c>
      <x:c r="E161" s="68" t="str">
        <x:f>'Transfer Plan'!E5</x:f>
        <x:v>M2</x:v>
      </x:c>
      <x:c r="F161" s="68" t="str">
        <x:v>Backlog</x:v>
      </x:c>
      <x:c r="G161" s="68" t="str">
        <x:f>'Transfer Plan'!G5</x:f>
        <x:v>6 calendar weeks</x:v>
      </x:c>
      <x:c r="H161" s="92" t="n">
        <x:f>'Transfer Plan'!H5</x:f>
        <x:v>30</x:v>
      </x:c>
      <x:c r="I161" s="94" t="n">
        <x:f>'Transfer Plan'!I5</x:f>
        <x:v>46370</x:v>
      </x:c>
      <x:c r="J161" s="94" t="n">
        <x:f>'Transfer Plan'!J5</x:f>
        <x:v>46411</x:v>
      </x:c>
      <x:c r="K161" s="68" t="str">
        <x:f>'Transfer Plan'!K5</x:f>
        <x:v>Detailed tasks are not yet defined in PROJECT_TRACKER; reconcile scope with T-410 and T-815 before execution.</x:v>
      </x:c>
    </x:row>
    <x:row r="162" ht="38" customHeight="1">
      <x:c r="A162" s="68" t="str">
        <x:f>'Transfer Plan'!A6</x:f>
        <x:v>R3-PKG</x:v>
      </x:c>
      <x:c r="B162" s="68" t="str">
        <x:f>'Transfer Plan'!B6</x:f>
        <x:v>R3</x:v>
      </x:c>
      <x:c r="C162" s="68" t="str">
        <x:f>'Transfer Plan'!C6</x:f>
        <x:v>Transfer/Undecomposed</x:v>
      </x:c>
      <x:c r="D162" s="68" t="str">
        <x:f>'Transfer Plan'!D6</x:f>
        <x:v>Foveated camera transfer phase envelope</x:v>
      </x:c>
      <x:c r="E162" s="68" t="str">
        <x:f>'Transfer Plan'!E6</x:f>
        <x:v>M3</x:v>
      </x:c>
      <x:c r="F162" s="68" t="str">
        <x:v>Backlog</x:v>
      </x:c>
      <x:c r="G162" s="68" t="str">
        <x:f>'Transfer Plan'!G6</x:f>
        <x:v>8 calendar weeks</x:v>
      </x:c>
      <x:c r="H162" s="92" t="n">
        <x:f>'Transfer Plan'!H6</x:f>
        <x:v>40</x:v>
      </x:c>
      <x:c r="I162" s="94" t="n">
        <x:f>'Transfer Plan'!I6</x:f>
        <x:v>46496</x:v>
      </x:c>
      <x:c r="J162" s="94" t="n">
        <x:f>'Transfer Plan'!J6</x:f>
        <x:v>46551</x:v>
      </x:c>
      <x:c r="K162" s="68" t="str">
        <x:f>'Transfer Plan'!K6</x:f>
        <x:v>Detailed tasks are not yet defined in PROJECT_TRACKER; decompose only after the M3 foveation capability gate.</x:v>
      </x:c>
    </x:row>
    <x:row r="163" ht="38" customHeight="1">
      <x:c r="A163" s="68" t="str">
        <x:f>'Transfer Plan'!A7</x:f>
        <x:v>R4-PKG</x:v>
      </x:c>
      <x:c r="B163" s="68" t="str">
        <x:f>'Transfer Plan'!B7</x:f>
        <x:v>R4</x:v>
      </x:c>
      <x:c r="C163" s="68" t="str">
        <x:f>'Transfer Plan'!C7</x:f>
        <x:v>Transfer/Undecomposed</x:v>
      </x:c>
      <x:c r="D163" s="68" t="str">
        <x:f>'Transfer Plan'!D7</x:f>
        <x:v>Hardware research runs phase envelope</x:v>
      </x:c>
      <x:c r="E163" s="68" t="str">
        <x:f>'Transfer Plan'!E7</x:f>
        <x:v>M7-B</x:v>
      </x:c>
      <x:c r="F163" s="68" t="str">
        <x:v>Backlog</x:v>
      </x:c>
      <x:c r="G163" s="68" t="str">
        <x:f>'Transfer Plan'!G7</x:f>
        <x:v>10 calendar weeks</x:v>
      </x:c>
      <x:c r="H163" s="92" t="n">
        <x:f>'Transfer Plan'!H7</x:f>
        <x:v>50</x:v>
      </x:c>
      <x:c r="I163" s="94" t="n">
        <x:f>'Transfer Plan'!I7</x:f>
        <x:v>46580</x:v>
      </x:c>
      <x:c r="J163" s="94" t="n">
        <x:f>'Transfer Plan'!J7</x:f>
        <x:v>46649</x:v>
      </x:c>
      <x:c r="K163" s="68" t="str">
        <x:f>'Transfer Plan'!K7</x:f>
        <x:v>Detailed tasks are not yet defined in PROJECT_TRACKER; current hardware-run scope is represented by T-717 and T-815.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f3bac125b9949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4" hidden="0" customWidth="1"/>
    <x:col min="4" max="4" width="40" hidden="0" customWidth="1"/>
    <x:col min="5" max="5" width="24" hidden="0" customWidth="1"/>
    <x:col min="6" max="6" width="11" hidden="0" customWidth="1"/>
    <x:col min="7" max="7" width="13" hidden="0" customWidth="1"/>
    <x:col min="8" max="8" width="13" hidden="0" customWidth="1"/>
    <x:col min="9" max="9" width="4.599999904632568" hidden="0" customWidth="1"/>
    <x:col min="10" max="10" width="4.599999904632568" hidden="0" customWidth="1"/>
    <x:col min="11" max="11" width="4.599999904632568" hidden="0" customWidth="1"/>
    <x:col min="12" max="12" width="4.599999904632568" hidden="0" customWidth="1"/>
    <x:col min="13" max="13" width="4.599999904632568" hidden="0" customWidth="1"/>
    <x:col min="14" max="14" width="4.599999904632568" hidden="0" customWidth="1"/>
    <x:col min="15" max="15" width="4.599999904632568" hidden="0" customWidth="1"/>
    <x:col min="16" max="16" width="4.599999904632568" hidden="0" customWidth="1"/>
    <x:col min="17" max="17" width="4.599999904632568" hidden="0" customWidth="1"/>
    <x:col min="18" max="18" width="4.599999904632568" hidden="0" customWidth="1"/>
    <x:col min="19" max="19" width="4.599999904632568" hidden="0" customWidth="1"/>
    <x:col min="20" max="20" width="4.599999904632568" hidden="0" customWidth="1"/>
    <x:col min="21" max="21" width="4.599999904632568" hidden="0" customWidth="1"/>
    <x:col min="22" max="22" width="4.599999904632568" hidden="0" customWidth="1"/>
    <x:col min="23" max="23" width="4.599999904632568" hidden="0" customWidth="1"/>
    <x:col min="24" max="24" width="4.599999904632568" hidden="0" customWidth="1"/>
    <x:col min="25" max="25" width="4.599999904632568" hidden="0" customWidth="1"/>
    <x:col min="26" max="26" width="4.599999904632568" hidden="0" customWidth="1"/>
    <x:col min="27" max="27" width="4.599999904632568" hidden="0" customWidth="1"/>
    <x:col min="28" max="28" width="4.599999904632568" hidden="0" customWidth="1"/>
    <x:col min="29" max="29" width="4.599999904632568" hidden="0" customWidth="1"/>
    <x:col min="30" max="30" width="4.599999904632568" hidden="0" customWidth="1"/>
    <x:col min="31" max="31" width="4.599999904632568" hidden="0" customWidth="1"/>
    <x:col min="32" max="32" width="4.599999904632568" hidden="0" customWidth="1"/>
    <x:col min="33" max="33" width="4.599999904632568" hidden="0" customWidth="1"/>
    <x:col min="34" max="34" width="4.599999904632568" hidden="0" customWidth="1"/>
    <x:col min="35" max="35" width="4.599999904632568" hidden="0" customWidth="1"/>
    <x:col min="36" max="36" width="4.599999904632568" hidden="0" customWidth="1"/>
    <x:col min="37" max="37" width="4.599999904632568" hidden="0" customWidth="1"/>
    <x:col min="38" max="38" width="4.599999904632568" hidden="0" customWidth="1"/>
    <x:col min="39" max="39" width="4.599999904632568" hidden="0" customWidth="1"/>
    <x:col min="40" max="40" width="4.599999904632568" hidden="0" customWidth="1"/>
    <x:col min="41" max="41" width="4.599999904632568" hidden="0" customWidth="1"/>
    <x:col min="42" max="42" width="4.599999904632568" hidden="0" customWidth="1"/>
    <x:col min="43" max="43" width="4.599999904632568" hidden="0" customWidth="1"/>
    <x:col min="44" max="44" width="4.599999904632568" hidden="0" customWidth="1"/>
    <x:col min="45" max="45" width="4.599999904632568" hidden="0" customWidth="1"/>
    <x:col min="46" max="46" width="4.599999904632568" hidden="0" customWidth="1"/>
    <x:col min="47" max="47" width="4.599999904632568" hidden="0" customWidth="1"/>
    <x:col min="48" max="48" width="4.599999904632568" hidden="0" customWidth="1"/>
    <x:col min="49" max="49" width="4.599999904632568" hidden="0" customWidth="1"/>
    <x:col min="50" max="50" width="4.599999904632568" hidden="0" customWidth="1"/>
    <x:col min="51" max="51" width="4.599999904632568" hidden="0" customWidth="1"/>
    <x:col min="52" max="52" width="4.599999904632568" hidden="0" customWidth="1"/>
    <x:col min="53" max="53" width="4.599999904632568" hidden="0" customWidth="1"/>
    <x:col min="54" max="54" width="4.599999904632568" hidden="0" customWidth="1"/>
    <x:col min="55" max="55" width="4.599999904632568" hidden="0" customWidth="1"/>
    <x:col min="56" max="56" width="4.599999904632568" hidden="0" customWidth="1"/>
    <x:col min="57" max="57" width="4.599999904632568" hidden="0" customWidth="1"/>
    <x:col min="58" max="58" width="4.599999904632568" hidden="0" customWidth="1"/>
    <x:col min="59" max="59" width="4.599999904632568" hidden="0" customWidth="1"/>
    <x:col min="60" max="60" width="4.599999904632568" hidden="0" customWidth="1"/>
    <x:col min="61" max="61" width="4.599999904632568" hidden="0" customWidth="1"/>
    <x:col min="62" max="62" width="4.599999904632568" hidden="0" customWidth="1"/>
    <x:col min="63" max="63" width="4.599999904632568" hidden="0" customWidth="1"/>
  </x:cols>
  <x:sheetData>
    <x:row r="1" ht="34" customHeight="1">
      <x:c r="A1" s="3" t="str">
        <x:v>Research &amp; Operations Weekly Gantt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</x:row>
    <x:row r="2" ht="30" customHeight="1">
      <x:c r="A2" s="6" t="str">
        <x:v>M0-M3 and M8: operating system, active-inference research spine, and capability-gated studies. Overlap is an interleaving envelope for one investigator, not parallel staffing.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</x:row>
    <x:row r="4">
      <x:c r="A4" s="121" t="str">
        <x:v>ID</x:v>
      </x:c>
      <x:c r="B4" s="122" t="str">
        <x:v>Milestone</x:v>
      </x:c>
      <x:c r="C4" s="122" t="str">
        <x:v>Track</x:v>
      </x:c>
      <x:c r="D4" s="122" t="str">
        <x:v>Task</x:v>
      </x:c>
      <x:c r="E4" s="122" t="str">
        <x:v>Dependencies</x:v>
      </x:c>
      <x:c r="F4" s="122" t="str">
        <x:v>Status</x:v>
      </x:c>
      <x:c r="G4" s="122" t="str">
        <x:v>Start</x:v>
      </x:c>
      <x:c r="H4" s="123" t="str">
        <x:v>Finish</x:v>
      </x:c>
      <x:c r="I4" s="133" t="str">
        <x:v>Aug 2026</x:v>
      </x:c>
      <x:c r="J4" s="134"/>
      <x:c r="K4" s="134"/>
      <x:c r="L4" s="134"/>
      <x:c r="M4" s="135"/>
      <x:c r="N4" s="133" t="str">
        <x:v>Sep 2026</x:v>
      </x:c>
      <x:c r="O4" s="134"/>
      <x:c r="P4" s="134"/>
      <x:c r="Q4" s="135"/>
      <x:c r="R4" s="133" t="str">
        <x:v>Oct 2026</x:v>
      </x:c>
      <x:c r="S4" s="134"/>
      <x:c r="T4" s="134"/>
      <x:c r="U4" s="135"/>
      <x:c r="V4" s="144" t="str">
        <x:v>Nov 2026</x:v>
      </x:c>
      <x:c r="W4" s="145"/>
      <x:c r="X4" s="145"/>
      <x:c r="Y4" s="145"/>
      <x:c r="Z4" s="146"/>
      <x:c r="AA4" s="144" t="str">
        <x:v>Dec 2026</x:v>
      </x:c>
      <x:c r="AB4" s="145"/>
      <x:c r="AC4" s="145"/>
      <x:c r="AD4" s="146"/>
      <x:c r="AE4" s="144" t="str">
        <x:v>Jan 2027</x:v>
      </x:c>
      <x:c r="AF4" s="145"/>
      <x:c r="AG4" s="145"/>
      <x:c r="AH4" s="146"/>
      <x:c r="AI4" s="144" t="str">
        <x:v>Feb 2027</x:v>
      </x:c>
      <x:c r="AJ4" s="145"/>
      <x:c r="AK4" s="145"/>
      <x:c r="AL4" s="146"/>
      <x:c r="AM4" s="133" t="str">
        <x:v>Mar 2027</x:v>
      </x:c>
      <x:c r="AN4" s="134"/>
      <x:c r="AO4" s="134"/>
      <x:c r="AP4" s="134"/>
      <x:c r="AQ4" s="135"/>
      <x:c r="AR4" s="133" t="str">
        <x:v>Apr 2027</x:v>
      </x:c>
      <x:c r="AS4" s="134"/>
      <x:c r="AT4" s="134"/>
      <x:c r="AU4" s="135"/>
      <x:c r="AV4" s="144" t="str">
        <x:v>May 2027</x:v>
      </x:c>
      <x:c r="AW4" s="145"/>
      <x:c r="AX4" s="145"/>
      <x:c r="AY4" s="145"/>
      <x:c r="AZ4" s="146"/>
      <x:c r="BA4" s="144" t="str">
        <x:v>Jun 2027</x:v>
      </x:c>
      <x:c r="BB4" s="145"/>
      <x:c r="BC4" s="145"/>
      <x:c r="BD4" s="146"/>
      <x:c r="BE4" s="144" t="str">
        <x:v>Jul 2027</x:v>
      </x:c>
      <x:c r="BF4" s="145"/>
      <x:c r="BG4" s="145"/>
      <x:c r="BH4" s="146"/>
      <x:c r="BI4" s="133" t="str">
        <x:v>Aug 2027</x:v>
      </x:c>
      <x:c r="BJ4" s="134"/>
      <x:c r="BK4" s="135"/>
    </x:row>
    <x:row r="5">
      <x:c r="A5" s="124"/>
      <x:c r="B5" s="125"/>
      <x:c r="C5" s="125"/>
      <x:c r="D5" s="125"/>
      <x:c r="E5" s="125"/>
      <x:c r="F5" s="125"/>
      <x:c r="G5" s="125"/>
      <x:c r="H5" s="126"/>
      <x:c r="I5" s="148" t="str">
        <x:v>Week commencing</x:v>
      </x:c>
      <x:c r="J5" s="148"/>
      <x:c r="K5" s="148"/>
      <x:c r="L5" s="148"/>
      <x:c r="M5" s="148"/>
      <x:c r="N5" s="148"/>
      <x:c r="O5" s="148"/>
      <x:c r="P5" s="148"/>
      <x:c r="Q5" s="148"/>
      <x:c r="R5" s="148"/>
      <x:c r="S5" s="148"/>
      <x:c r="T5" s="148"/>
      <x:c r="U5" s="148"/>
      <x:c r="V5" s="148"/>
      <x:c r="W5" s="148"/>
      <x:c r="X5" s="148"/>
      <x:c r="Y5" s="148"/>
      <x:c r="Z5" s="148"/>
      <x:c r="AA5" s="148"/>
      <x:c r="AB5" s="148"/>
      <x:c r="AC5" s="148"/>
      <x:c r="AD5" s="148"/>
      <x:c r="AE5" s="148"/>
      <x:c r="AF5" s="148"/>
      <x:c r="AG5" s="148"/>
      <x:c r="AH5" s="148"/>
      <x:c r="AI5" s="148"/>
      <x:c r="AJ5" s="148"/>
      <x:c r="AK5" s="148"/>
      <x:c r="AL5" s="148"/>
      <x:c r="AM5" s="148"/>
      <x:c r="AN5" s="148"/>
      <x:c r="AO5" s="148"/>
      <x:c r="AP5" s="148"/>
      <x:c r="AQ5" s="148"/>
      <x:c r="AR5" s="148"/>
      <x:c r="AS5" s="148"/>
      <x:c r="AT5" s="148"/>
      <x:c r="AU5" s="148"/>
      <x:c r="AV5" s="148"/>
      <x:c r="AW5" s="148"/>
      <x:c r="AX5" s="148"/>
      <x:c r="AY5" s="148"/>
      <x:c r="AZ5" s="148"/>
      <x:c r="BA5" s="148"/>
      <x:c r="BB5" s="148"/>
      <x:c r="BC5" s="148"/>
      <x:c r="BD5" s="148"/>
      <x:c r="BE5" s="148"/>
      <x:c r="BF5" s="148"/>
      <x:c r="BG5" s="148"/>
      <x:c r="BH5" s="148"/>
      <x:c r="BI5" s="148"/>
      <x:c r="BJ5" s="148"/>
      <x:c r="BK5" s="148"/>
    </x:row>
    <x:row r="6">
      <x:c r="A6" s="127"/>
      <x:c r="B6" s="128"/>
      <x:c r="C6" s="128"/>
      <x:c r="D6" s="128"/>
      <x:c r="E6" s="128"/>
      <x:c r="F6" s="128"/>
      <x:c r="G6" s="128"/>
      <x:c r="H6" s="129"/>
      <x:c r="I6" s="153" t="n">
        <x:v>46237</x:v>
      </x:c>
      <x:c r="J6" s="153" t="n">
        <x:v>46244</x:v>
      </x:c>
      <x:c r="K6" s="153" t="n">
        <x:v>46251</x:v>
      </x:c>
      <x:c r="L6" s="153" t="n">
        <x:v>46258</x:v>
      </x:c>
      <x:c r="M6" s="153" t="n">
        <x:v>46265</x:v>
      </x:c>
      <x:c r="N6" s="153" t="n">
        <x:v>46272</x:v>
      </x:c>
      <x:c r="O6" s="153" t="n">
        <x:v>46279</x:v>
      </x:c>
      <x:c r="P6" s="153" t="n">
        <x:v>46286</x:v>
      </x:c>
      <x:c r="Q6" s="153" t="n">
        <x:v>46293</x:v>
      </x:c>
      <x:c r="R6" s="153" t="n">
        <x:v>46300</x:v>
      </x:c>
      <x:c r="S6" s="153" t="n">
        <x:v>46307</x:v>
      </x:c>
      <x:c r="T6" s="153" t="n">
        <x:v>46314</x:v>
      </x:c>
      <x:c r="U6" s="153" t="n">
        <x:v>46321</x:v>
      </x:c>
      <x:c r="V6" s="153" t="n">
        <x:v>46328</x:v>
      </x:c>
      <x:c r="W6" s="153" t="n">
        <x:v>46335</x:v>
      </x:c>
      <x:c r="X6" s="153" t="n">
        <x:v>46342</x:v>
      </x:c>
      <x:c r="Y6" s="153" t="n">
        <x:v>46349</x:v>
      </x:c>
      <x:c r="Z6" s="153" t="n">
        <x:v>46356</x:v>
      </x:c>
      <x:c r="AA6" s="153" t="n">
        <x:v>46363</x:v>
      </x:c>
      <x:c r="AB6" s="153" t="n">
        <x:v>46370</x:v>
      </x:c>
      <x:c r="AC6" s="153" t="n">
        <x:v>46377</x:v>
      </x:c>
      <x:c r="AD6" s="153" t="n">
        <x:v>46384</x:v>
      </x:c>
      <x:c r="AE6" s="153" t="n">
        <x:v>46391</x:v>
      </x:c>
      <x:c r="AF6" s="153" t="n">
        <x:v>46398</x:v>
      </x:c>
      <x:c r="AG6" s="153" t="n">
        <x:v>46405</x:v>
      </x:c>
      <x:c r="AH6" s="153" t="n">
        <x:v>46412</x:v>
      </x:c>
      <x:c r="AI6" s="153" t="n">
        <x:v>46419</x:v>
      </x:c>
      <x:c r="AJ6" s="153" t="n">
        <x:v>46426</x:v>
      </x:c>
      <x:c r="AK6" s="153" t="n">
        <x:v>46433</x:v>
      </x:c>
      <x:c r="AL6" s="153" t="n">
        <x:v>46440</x:v>
      </x:c>
      <x:c r="AM6" s="153" t="n">
        <x:v>46447</x:v>
      </x:c>
      <x:c r="AN6" s="153" t="n">
        <x:v>46454</x:v>
      </x:c>
      <x:c r="AO6" s="153" t="n">
        <x:v>46461</x:v>
      </x:c>
      <x:c r="AP6" s="153" t="n">
        <x:v>46468</x:v>
      </x:c>
      <x:c r="AQ6" s="153" t="n">
        <x:v>46475</x:v>
      </x:c>
      <x:c r="AR6" s="153" t="n">
        <x:v>46482</x:v>
      </x:c>
      <x:c r="AS6" s="153" t="n">
        <x:v>46489</x:v>
      </x:c>
      <x:c r="AT6" s="153" t="n">
        <x:v>46496</x:v>
      </x:c>
      <x:c r="AU6" s="153" t="n">
        <x:v>46503</x:v>
      </x:c>
      <x:c r="AV6" s="153" t="n">
        <x:v>46510</x:v>
      </x:c>
      <x:c r="AW6" s="153" t="n">
        <x:v>46517</x:v>
      </x:c>
      <x:c r="AX6" s="153" t="n">
        <x:v>46524</x:v>
      </x:c>
      <x:c r="AY6" s="153" t="n">
        <x:v>46531</x:v>
      </x:c>
      <x:c r="AZ6" s="153" t="n">
        <x:v>46538</x:v>
      </x:c>
      <x:c r="BA6" s="153" t="n">
        <x:v>46545</x:v>
      </x:c>
      <x:c r="BB6" s="153" t="n">
        <x:v>46552</x:v>
      </x:c>
      <x:c r="BC6" s="153" t="n">
        <x:v>46559</x:v>
      </x:c>
      <x:c r="BD6" s="153" t="n">
        <x:v>46566</x:v>
      </x:c>
      <x:c r="BE6" s="153" t="n">
        <x:v>46573</x:v>
      </x:c>
      <x:c r="BF6" s="153" t="n">
        <x:v>46580</x:v>
      </x:c>
      <x:c r="BG6" s="153" t="n">
        <x:v>46587</x:v>
      </x:c>
      <x:c r="BH6" s="153" t="n">
        <x:v>46594</x:v>
      </x:c>
      <x:c r="BI6" s="153" t="n">
        <x:v>46601</x:v>
      </x:c>
      <x:c r="BJ6" s="153" t="n">
        <x:v>46608</x:v>
      </x:c>
      <x:c r="BK6" s="153" t="n">
        <x:v>46615</x:v>
      </x:c>
    </x:row>
    <x:row r="7" ht="24" customHeight="1">
      <x:c r="A7" s="65" t="str">
        <x:f>'Research Tasks'!A5</x:f>
        <x:v>T-001</x:v>
      </x:c>
      <x:c r="B7" s="65" t="str">
        <x:f>'Research Tasks'!B5</x:f>
        <x:v>M0</x:v>
      </x:c>
      <x:c r="C7" s="65" t="str">
        <x:f>'Research Tasks'!C5</x:f>
        <x:v>Operations</x:v>
      </x:c>
      <x:c r="D7" s="65" t="str">
        <x:f>'Research Tasks'!D5</x:f>
        <x:v>Define tracker conventions</x:v>
      </x:c>
      <x:c r="E7" s="65" t="str">
        <x:f>'Research Tasks'!E5</x:f>
        <x:v>none</x:v>
      </x:c>
      <x:c r="F7" s="65" t="str">
        <x:f>'Research Tasks'!F5</x:f>
        <x:v>Done</x:v>
      </x:c>
      <x:c r="G7" s="93" t="n">
        <x:f>'Research Tasks'!I5</x:f>
        <x:v>46237</x:v>
      </x:c>
      <x:c r="H7" s="93" t="n">
        <x:f>'Research Tasks'!J5</x:f>
        <x:v>46237</x:v>
      </x:c>
      <x:c r="I7" s="163" t="n">
        <x:f>IF(AND(I$6&lt;=$H7,I$6+6&gt;=$G7),1,"")</x:f>
        <x:v>1</x:v>
      </x:c>
      <x:c r="J7" s="164" t="str">
        <x:f>IF(AND(J$6&lt;=$H7,J$6+6&gt;=$G7),1,"")</x:f>
      </x:c>
      <x:c r="K7" s="164" t="str">
        <x:f>IF(AND(K$6&lt;=$H7,K$6+6&gt;=$G7),1,"")</x:f>
      </x:c>
      <x:c r="L7" s="164" t="str">
        <x:f>IF(AND(L$6&lt;=$H7,L$6+6&gt;=$G7),1,"")</x:f>
      </x:c>
      <x:c r="M7" s="164" t="str">
        <x:f>IF(AND(M$6&lt;=$H7,M$6+6&gt;=$G7),1,"")</x:f>
      </x:c>
      <x:c r="N7" s="164" t="str">
        <x:f>IF(AND(N$6&lt;=$H7,N$6+6&gt;=$G7),1,"")</x:f>
      </x:c>
      <x:c r="O7" s="164" t="str">
        <x:f>IF(AND(O$6&lt;=$H7,O$6+6&gt;=$G7),1,"")</x:f>
      </x:c>
      <x:c r="P7" s="164" t="str">
        <x:f>IF(AND(P$6&lt;=$H7,P$6+6&gt;=$G7),1,"")</x:f>
      </x:c>
      <x:c r="Q7" s="164" t="str">
        <x:f>IF(AND(Q$6&lt;=$H7,Q$6+6&gt;=$G7),1,"")</x:f>
      </x:c>
      <x:c r="R7" s="164" t="str">
        <x:f>IF(AND(R$6&lt;=$H7,R$6+6&gt;=$G7),1,"")</x:f>
      </x:c>
      <x:c r="S7" s="164" t="str">
        <x:f>IF(AND(S$6&lt;=$H7,S$6+6&gt;=$G7),1,"")</x:f>
      </x:c>
      <x:c r="T7" s="164" t="str">
        <x:f>IF(AND(T$6&lt;=$H7,T$6+6&gt;=$G7),1,"")</x:f>
      </x:c>
      <x:c r="U7" s="164" t="str">
        <x:f>IF(AND(U$6&lt;=$H7,U$6+6&gt;=$G7),1,"")</x:f>
      </x:c>
      <x:c r="V7" s="164" t="str">
        <x:f>IF(AND(V$6&lt;=$H7,V$6+6&gt;=$G7),1,"")</x:f>
      </x:c>
      <x:c r="W7" s="164" t="str">
        <x:f>IF(AND(W$6&lt;=$H7,W$6+6&gt;=$G7),1,"")</x:f>
      </x:c>
      <x:c r="X7" s="164" t="str">
        <x:f>IF(AND(X$6&lt;=$H7,X$6+6&gt;=$G7),1,"")</x:f>
      </x:c>
      <x:c r="Y7" s="164" t="str">
        <x:f>IF(AND(Y$6&lt;=$H7,Y$6+6&gt;=$G7),1,"")</x:f>
      </x:c>
      <x:c r="Z7" s="164" t="str">
        <x:f>IF(AND(Z$6&lt;=$H7,Z$6+6&gt;=$G7),1,"")</x:f>
      </x:c>
      <x:c r="AA7" s="164" t="str">
        <x:f>IF(AND(AA$6&lt;=$H7,AA$6+6&gt;=$G7),1,"")</x:f>
      </x:c>
      <x:c r="AB7" s="164" t="str">
        <x:f>IF(AND(AB$6&lt;=$H7,AB$6+6&gt;=$G7),1,"")</x:f>
      </x:c>
      <x:c r="AC7" s="164" t="str">
        <x:f>IF(AND(AC$6&lt;=$H7,AC$6+6&gt;=$G7),1,"")</x:f>
      </x:c>
      <x:c r="AD7" s="164" t="str">
        <x:f>IF(AND(AD$6&lt;=$H7,AD$6+6&gt;=$G7),1,"")</x:f>
      </x:c>
      <x:c r="AE7" s="164" t="str">
        <x:f>IF(AND(AE$6&lt;=$H7,AE$6+6&gt;=$G7),1,"")</x:f>
      </x:c>
      <x:c r="AF7" s="164" t="str">
        <x:f>IF(AND(AF$6&lt;=$H7,AF$6+6&gt;=$G7),1,"")</x:f>
      </x:c>
      <x:c r="AG7" s="164" t="str">
        <x:f>IF(AND(AG$6&lt;=$H7,AG$6+6&gt;=$G7),1,"")</x:f>
      </x:c>
      <x:c r="AH7" s="164" t="str">
        <x:f>IF(AND(AH$6&lt;=$H7,AH$6+6&gt;=$G7),1,"")</x:f>
      </x:c>
      <x:c r="AI7" s="164" t="str">
        <x:f>IF(AND(AI$6&lt;=$H7,AI$6+6&gt;=$G7),1,"")</x:f>
      </x:c>
      <x:c r="AJ7" s="164" t="str">
        <x:f>IF(AND(AJ$6&lt;=$H7,AJ$6+6&gt;=$G7),1,"")</x:f>
      </x:c>
      <x:c r="AK7" s="164" t="str">
        <x:f>IF(AND(AK$6&lt;=$H7,AK$6+6&gt;=$G7),1,"")</x:f>
      </x:c>
      <x:c r="AL7" s="164" t="str">
        <x:f>IF(AND(AL$6&lt;=$H7,AL$6+6&gt;=$G7),1,"")</x:f>
      </x:c>
      <x:c r="AM7" s="164" t="str">
        <x:f>IF(AND(AM$6&lt;=$H7,AM$6+6&gt;=$G7),1,"")</x:f>
      </x:c>
      <x:c r="AN7" s="164" t="str">
        <x:f>IF(AND(AN$6&lt;=$H7,AN$6+6&gt;=$G7),1,"")</x:f>
      </x:c>
      <x:c r="AO7" s="164" t="str">
        <x:f>IF(AND(AO$6&lt;=$H7,AO$6+6&gt;=$G7),1,"")</x:f>
      </x:c>
      <x:c r="AP7" s="164" t="str">
        <x:f>IF(AND(AP$6&lt;=$H7,AP$6+6&gt;=$G7),1,"")</x:f>
      </x:c>
      <x:c r="AQ7" s="164" t="str">
        <x:f>IF(AND(AQ$6&lt;=$H7,AQ$6+6&gt;=$G7),1,"")</x:f>
      </x:c>
      <x:c r="AR7" s="164" t="str">
        <x:f>IF(AND(AR$6&lt;=$H7,AR$6+6&gt;=$G7),1,"")</x:f>
      </x:c>
      <x:c r="AS7" s="164" t="str">
        <x:f>IF(AND(AS$6&lt;=$H7,AS$6+6&gt;=$G7),1,"")</x:f>
      </x:c>
      <x:c r="AT7" s="164" t="str">
        <x:f>IF(AND(AT$6&lt;=$H7,AT$6+6&gt;=$G7),1,"")</x:f>
      </x:c>
      <x:c r="AU7" s="164" t="str">
        <x:f>IF(AND(AU$6&lt;=$H7,AU$6+6&gt;=$G7),1,"")</x:f>
      </x:c>
      <x:c r="AV7" s="164" t="str">
        <x:f>IF(AND(AV$6&lt;=$H7,AV$6+6&gt;=$G7),1,"")</x:f>
      </x:c>
      <x:c r="AW7" s="164" t="str">
        <x:f>IF(AND(AW$6&lt;=$H7,AW$6+6&gt;=$G7),1,"")</x:f>
      </x:c>
      <x:c r="AX7" s="164" t="str">
        <x:f>IF(AND(AX$6&lt;=$H7,AX$6+6&gt;=$G7),1,"")</x:f>
      </x:c>
      <x:c r="AY7" s="164" t="str">
        <x:f>IF(AND(AY$6&lt;=$H7,AY$6+6&gt;=$G7),1,"")</x:f>
      </x:c>
      <x:c r="AZ7" s="164" t="str">
        <x:f>IF(AND(AZ$6&lt;=$H7,AZ$6+6&gt;=$G7),1,"")</x:f>
      </x:c>
      <x:c r="BA7" s="164" t="str">
        <x:f>IF(AND(BA$6&lt;=$H7,BA$6+6&gt;=$G7),1,"")</x:f>
      </x:c>
      <x:c r="BB7" s="164" t="str">
        <x:f>IF(AND(BB$6&lt;=$H7,BB$6+6&gt;=$G7),1,"")</x:f>
      </x:c>
      <x:c r="BC7" s="164" t="str">
        <x:f>IF(AND(BC$6&lt;=$H7,BC$6+6&gt;=$G7),1,"")</x:f>
      </x:c>
      <x:c r="BD7" s="164" t="str">
        <x:f>IF(AND(BD$6&lt;=$H7,BD$6+6&gt;=$G7),1,"")</x:f>
      </x:c>
      <x:c r="BE7" s="164" t="str">
        <x:f>IF(AND(BE$6&lt;=$H7,BE$6+6&gt;=$G7),1,"")</x:f>
      </x:c>
      <x:c r="BF7" s="164" t="str">
        <x:f>IF(AND(BF$6&lt;=$H7,BF$6+6&gt;=$G7),1,"")</x:f>
      </x:c>
      <x:c r="BG7" s="164" t="str">
        <x:f>IF(AND(BG$6&lt;=$H7,BG$6+6&gt;=$G7),1,"")</x:f>
      </x:c>
      <x:c r="BH7" s="164" t="str">
        <x:f>IF(AND(BH$6&lt;=$H7,BH$6+6&gt;=$G7),1,"")</x:f>
      </x:c>
      <x:c r="BI7" s="164" t="str">
        <x:f>IF(AND(BI$6&lt;=$H7,BI$6+6&gt;=$G7),1,"")</x:f>
      </x:c>
      <x:c r="BJ7" s="164" t="str">
        <x:f>IF(AND(BJ$6&lt;=$H7,BJ$6+6&gt;=$G7),1,"")</x:f>
      </x:c>
      <x:c r="BK7" s="165" t="str">
        <x:f>IF(AND(BK$6&lt;=$H7,BK$6+6&gt;=$G7),1,"")</x:f>
      </x:c>
    </x:row>
    <x:row r="8" ht="24" customHeight="1">
      <x:c r="A8" s="68" t="str">
        <x:f>'Research Tasks'!A6</x:f>
        <x:v>T-002</x:v>
      </x:c>
      <x:c r="B8" s="68" t="str">
        <x:f>'Research Tasks'!B6</x:f>
        <x:v>M0</x:v>
      </x:c>
      <x:c r="C8" s="68" t="str">
        <x:f>'Research Tasks'!C6</x:f>
        <x:v>Operations</x:v>
      </x:c>
      <x:c r="D8" s="68" t="str">
        <x:f>'Research Tasks'!D6</x:f>
        <x:v>Define versioning scheme</x:v>
      </x:c>
      <x:c r="E8" s="68" t="str">
        <x:f>'Research Tasks'!E6</x:f>
        <x:v>T-001</x:v>
      </x:c>
      <x:c r="F8" s="68" t="str">
        <x:f>'Research Tasks'!F6</x:f>
        <x:v>Done</x:v>
      </x:c>
      <x:c r="G8" s="94" t="n">
        <x:f>'Research Tasks'!I6</x:f>
        <x:v>46238</x:v>
      </x:c>
      <x:c r="H8" s="94" t="n">
        <x:f>'Research Tasks'!J6</x:f>
        <x:v>46238</x:v>
      </x:c>
      <x:c r="I8" s="166" t="n">
        <x:f>IF(AND(I$6&lt;=$H8,I$6+6&gt;=$G8),1,"")</x:f>
        <x:v>1</x:v>
      </x:c>
      <x:c r="J8" s="167" t="str">
        <x:f>IF(AND(J$6&lt;=$H8,J$6+6&gt;=$G8),1,"")</x:f>
      </x:c>
      <x:c r="K8" s="167" t="str">
        <x:f>IF(AND(K$6&lt;=$H8,K$6+6&gt;=$G8),1,"")</x:f>
      </x:c>
      <x:c r="L8" s="167" t="str">
        <x:f>IF(AND(L$6&lt;=$H8,L$6+6&gt;=$G8),1,"")</x:f>
      </x:c>
      <x:c r="M8" s="167" t="str">
        <x:f>IF(AND(M$6&lt;=$H8,M$6+6&gt;=$G8),1,"")</x:f>
      </x:c>
      <x:c r="N8" s="167" t="str">
        <x:f>IF(AND(N$6&lt;=$H8,N$6+6&gt;=$G8),1,"")</x:f>
      </x:c>
      <x:c r="O8" s="167" t="str">
        <x:f>IF(AND(O$6&lt;=$H8,O$6+6&gt;=$G8),1,"")</x:f>
      </x:c>
      <x:c r="P8" s="167" t="str">
        <x:f>IF(AND(P$6&lt;=$H8,P$6+6&gt;=$G8),1,"")</x:f>
      </x:c>
      <x:c r="Q8" s="167" t="str">
        <x:f>IF(AND(Q$6&lt;=$H8,Q$6+6&gt;=$G8),1,"")</x:f>
      </x:c>
      <x:c r="R8" s="167" t="str">
        <x:f>IF(AND(R$6&lt;=$H8,R$6+6&gt;=$G8),1,"")</x:f>
      </x:c>
      <x:c r="S8" s="167" t="str">
        <x:f>IF(AND(S$6&lt;=$H8,S$6+6&gt;=$G8),1,"")</x:f>
      </x:c>
      <x:c r="T8" s="167" t="str">
        <x:f>IF(AND(T$6&lt;=$H8,T$6+6&gt;=$G8),1,"")</x:f>
      </x:c>
      <x:c r="U8" s="167" t="str">
        <x:f>IF(AND(U$6&lt;=$H8,U$6+6&gt;=$G8),1,"")</x:f>
      </x:c>
      <x:c r="V8" s="167" t="str">
        <x:f>IF(AND(V$6&lt;=$H8,V$6+6&gt;=$G8),1,"")</x:f>
      </x:c>
      <x:c r="W8" s="167" t="str">
        <x:f>IF(AND(W$6&lt;=$H8,W$6+6&gt;=$G8),1,"")</x:f>
      </x:c>
      <x:c r="X8" s="167" t="str">
        <x:f>IF(AND(X$6&lt;=$H8,X$6+6&gt;=$G8),1,"")</x:f>
      </x:c>
      <x:c r="Y8" s="167" t="str">
        <x:f>IF(AND(Y$6&lt;=$H8,Y$6+6&gt;=$G8),1,"")</x:f>
      </x:c>
      <x:c r="Z8" s="167" t="str">
        <x:f>IF(AND(Z$6&lt;=$H8,Z$6+6&gt;=$G8),1,"")</x:f>
      </x:c>
      <x:c r="AA8" s="167" t="str">
        <x:f>IF(AND(AA$6&lt;=$H8,AA$6+6&gt;=$G8),1,"")</x:f>
      </x:c>
      <x:c r="AB8" s="167" t="str">
        <x:f>IF(AND(AB$6&lt;=$H8,AB$6+6&gt;=$G8),1,"")</x:f>
      </x:c>
      <x:c r="AC8" s="167" t="str">
        <x:f>IF(AND(AC$6&lt;=$H8,AC$6+6&gt;=$G8),1,"")</x:f>
      </x:c>
      <x:c r="AD8" s="167" t="str">
        <x:f>IF(AND(AD$6&lt;=$H8,AD$6+6&gt;=$G8),1,"")</x:f>
      </x:c>
      <x:c r="AE8" s="167" t="str">
        <x:f>IF(AND(AE$6&lt;=$H8,AE$6+6&gt;=$G8),1,"")</x:f>
      </x:c>
      <x:c r="AF8" s="167" t="str">
        <x:f>IF(AND(AF$6&lt;=$H8,AF$6+6&gt;=$G8),1,"")</x:f>
      </x:c>
      <x:c r="AG8" s="167" t="str">
        <x:f>IF(AND(AG$6&lt;=$H8,AG$6+6&gt;=$G8),1,"")</x:f>
      </x:c>
      <x:c r="AH8" s="167" t="str">
        <x:f>IF(AND(AH$6&lt;=$H8,AH$6+6&gt;=$G8),1,"")</x:f>
      </x:c>
      <x:c r="AI8" s="167" t="str">
        <x:f>IF(AND(AI$6&lt;=$H8,AI$6+6&gt;=$G8),1,"")</x:f>
      </x:c>
      <x:c r="AJ8" s="167" t="str">
        <x:f>IF(AND(AJ$6&lt;=$H8,AJ$6+6&gt;=$G8),1,"")</x:f>
      </x:c>
      <x:c r="AK8" s="167" t="str">
        <x:f>IF(AND(AK$6&lt;=$H8,AK$6+6&gt;=$G8),1,"")</x:f>
      </x:c>
      <x:c r="AL8" s="167" t="str">
        <x:f>IF(AND(AL$6&lt;=$H8,AL$6+6&gt;=$G8),1,"")</x:f>
      </x:c>
      <x:c r="AM8" s="167" t="str">
        <x:f>IF(AND(AM$6&lt;=$H8,AM$6+6&gt;=$G8),1,"")</x:f>
      </x:c>
      <x:c r="AN8" s="167" t="str">
        <x:f>IF(AND(AN$6&lt;=$H8,AN$6+6&gt;=$G8),1,"")</x:f>
      </x:c>
      <x:c r="AO8" s="167" t="str">
        <x:f>IF(AND(AO$6&lt;=$H8,AO$6+6&gt;=$G8),1,"")</x:f>
      </x:c>
      <x:c r="AP8" s="167" t="str">
        <x:f>IF(AND(AP$6&lt;=$H8,AP$6+6&gt;=$G8),1,"")</x:f>
      </x:c>
      <x:c r="AQ8" s="167" t="str">
        <x:f>IF(AND(AQ$6&lt;=$H8,AQ$6+6&gt;=$G8),1,"")</x:f>
      </x:c>
      <x:c r="AR8" s="167" t="str">
        <x:f>IF(AND(AR$6&lt;=$H8,AR$6+6&gt;=$G8),1,"")</x:f>
      </x:c>
      <x:c r="AS8" s="167" t="str">
        <x:f>IF(AND(AS$6&lt;=$H8,AS$6+6&gt;=$G8),1,"")</x:f>
      </x:c>
      <x:c r="AT8" s="167" t="str">
        <x:f>IF(AND(AT$6&lt;=$H8,AT$6+6&gt;=$G8),1,"")</x:f>
      </x:c>
      <x:c r="AU8" s="167" t="str">
        <x:f>IF(AND(AU$6&lt;=$H8,AU$6+6&gt;=$G8),1,"")</x:f>
      </x:c>
      <x:c r="AV8" s="167" t="str">
        <x:f>IF(AND(AV$6&lt;=$H8,AV$6+6&gt;=$G8),1,"")</x:f>
      </x:c>
      <x:c r="AW8" s="167" t="str">
        <x:f>IF(AND(AW$6&lt;=$H8,AW$6+6&gt;=$G8),1,"")</x:f>
      </x:c>
      <x:c r="AX8" s="167" t="str">
        <x:f>IF(AND(AX$6&lt;=$H8,AX$6+6&gt;=$G8),1,"")</x:f>
      </x:c>
      <x:c r="AY8" s="167" t="str">
        <x:f>IF(AND(AY$6&lt;=$H8,AY$6+6&gt;=$G8),1,"")</x:f>
      </x:c>
      <x:c r="AZ8" s="167" t="str">
        <x:f>IF(AND(AZ$6&lt;=$H8,AZ$6+6&gt;=$G8),1,"")</x:f>
      </x:c>
      <x:c r="BA8" s="167" t="str">
        <x:f>IF(AND(BA$6&lt;=$H8,BA$6+6&gt;=$G8),1,"")</x:f>
      </x:c>
      <x:c r="BB8" s="167" t="str">
        <x:f>IF(AND(BB$6&lt;=$H8,BB$6+6&gt;=$G8),1,"")</x:f>
      </x:c>
      <x:c r="BC8" s="167" t="str">
        <x:f>IF(AND(BC$6&lt;=$H8,BC$6+6&gt;=$G8),1,"")</x:f>
      </x:c>
      <x:c r="BD8" s="167" t="str">
        <x:f>IF(AND(BD$6&lt;=$H8,BD$6+6&gt;=$G8),1,"")</x:f>
      </x:c>
      <x:c r="BE8" s="167" t="str">
        <x:f>IF(AND(BE$6&lt;=$H8,BE$6+6&gt;=$G8),1,"")</x:f>
      </x:c>
      <x:c r="BF8" s="167" t="str">
        <x:f>IF(AND(BF$6&lt;=$H8,BF$6+6&gt;=$G8),1,"")</x:f>
      </x:c>
      <x:c r="BG8" s="167" t="str">
        <x:f>IF(AND(BG$6&lt;=$H8,BG$6+6&gt;=$G8),1,"")</x:f>
      </x:c>
      <x:c r="BH8" s="167" t="str">
        <x:f>IF(AND(BH$6&lt;=$H8,BH$6+6&gt;=$G8),1,"")</x:f>
      </x:c>
      <x:c r="BI8" s="167" t="str">
        <x:f>IF(AND(BI$6&lt;=$H8,BI$6+6&gt;=$G8),1,"")</x:f>
      </x:c>
      <x:c r="BJ8" s="167" t="str">
        <x:f>IF(AND(BJ$6&lt;=$H8,BJ$6+6&gt;=$G8),1,"")</x:f>
      </x:c>
      <x:c r="BK8" s="168" t="str">
        <x:f>IF(AND(BK$6&lt;=$H8,BK$6+6&gt;=$G8),1,"")</x:f>
      </x:c>
    </x:row>
    <x:row r="9" ht="24" customHeight="1">
      <x:c r="A9" s="68" t="str">
        <x:f>'Research Tasks'!A7</x:f>
        <x:v>T-003</x:v>
      </x:c>
      <x:c r="B9" s="68" t="str">
        <x:f>'Research Tasks'!B7</x:f>
        <x:v>M0</x:v>
      </x:c>
      <x:c r="C9" s="68" t="str">
        <x:f>'Research Tasks'!C7</x:f>
        <x:v>Research Ops</x:v>
      </x:c>
      <x:c r="D9" s="68" t="str">
        <x:f>'Research Tasks'!D7</x:f>
        <x:v>Define experiment manifest requirements</x:v>
      </x:c>
      <x:c r="E9" s="68" t="str">
        <x:f>'Research Tasks'!E7</x:f>
        <x:v>T-001, T-002</x:v>
      </x:c>
      <x:c r="F9" s="68" t="str">
        <x:f>'Research Tasks'!F7</x:f>
        <x:v>Done</x:v>
      </x:c>
      <x:c r="G9" s="94" t="n">
        <x:f>'Research Tasks'!I7</x:f>
        <x:v>46239</x:v>
      </x:c>
      <x:c r="H9" s="94" t="n">
        <x:f>'Research Tasks'!J7</x:f>
        <x:v>46239</x:v>
      </x:c>
      <x:c r="I9" s="166" t="n">
        <x:f>IF(AND(I$6&lt;=$H9,I$6+6&gt;=$G9),1,"")</x:f>
        <x:v>1</x:v>
      </x:c>
      <x:c r="J9" s="167" t="str">
        <x:f>IF(AND(J$6&lt;=$H9,J$6+6&gt;=$G9),1,"")</x:f>
      </x:c>
      <x:c r="K9" s="167" t="str">
        <x:f>IF(AND(K$6&lt;=$H9,K$6+6&gt;=$G9),1,"")</x:f>
      </x:c>
      <x:c r="L9" s="167" t="str">
        <x:f>IF(AND(L$6&lt;=$H9,L$6+6&gt;=$G9),1,"")</x:f>
      </x:c>
      <x:c r="M9" s="167" t="str">
        <x:f>IF(AND(M$6&lt;=$H9,M$6+6&gt;=$G9),1,"")</x:f>
      </x:c>
      <x:c r="N9" s="167" t="str">
        <x:f>IF(AND(N$6&lt;=$H9,N$6+6&gt;=$G9),1,"")</x:f>
      </x:c>
      <x:c r="O9" s="167" t="str">
        <x:f>IF(AND(O$6&lt;=$H9,O$6+6&gt;=$G9),1,"")</x:f>
      </x:c>
      <x:c r="P9" s="167" t="str">
        <x:f>IF(AND(P$6&lt;=$H9,P$6+6&gt;=$G9),1,"")</x:f>
      </x:c>
      <x:c r="Q9" s="167" t="str">
        <x:f>IF(AND(Q$6&lt;=$H9,Q$6+6&gt;=$G9),1,"")</x:f>
      </x:c>
      <x:c r="R9" s="167" t="str">
        <x:f>IF(AND(R$6&lt;=$H9,R$6+6&gt;=$G9),1,"")</x:f>
      </x:c>
      <x:c r="S9" s="167" t="str">
        <x:f>IF(AND(S$6&lt;=$H9,S$6+6&gt;=$G9),1,"")</x:f>
      </x:c>
      <x:c r="T9" s="167" t="str">
        <x:f>IF(AND(T$6&lt;=$H9,T$6+6&gt;=$G9),1,"")</x:f>
      </x:c>
      <x:c r="U9" s="167" t="str">
        <x:f>IF(AND(U$6&lt;=$H9,U$6+6&gt;=$G9),1,"")</x:f>
      </x:c>
      <x:c r="V9" s="167" t="str">
        <x:f>IF(AND(V$6&lt;=$H9,V$6+6&gt;=$G9),1,"")</x:f>
      </x:c>
      <x:c r="W9" s="167" t="str">
        <x:f>IF(AND(W$6&lt;=$H9,W$6+6&gt;=$G9),1,"")</x:f>
      </x:c>
      <x:c r="X9" s="167" t="str">
        <x:f>IF(AND(X$6&lt;=$H9,X$6+6&gt;=$G9),1,"")</x:f>
      </x:c>
      <x:c r="Y9" s="167" t="str">
        <x:f>IF(AND(Y$6&lt;=$H9,Y$6+6&gt;=$G9),1,"")</x:f>
      </x:c>
      <x:c r="Z9" s="167" t="str">
        <x:f>IF(AND(Z$6&lt;=$H9,Z$6+6&gt;=$G9),1,"")</x:f>
      </x:c>
      <x:c r="AA9" s="167" t="str">
        <x:f>IF(AND(AA$6&lt;=$H9,AA$6+6&gt;=$G9),1,"")</x:f>
      </x:c>
      <x:c r="AB9" s="167" t="str">
        <x:f>IF(AND(AB$6&lt;=$H9,AB$6+6&gt;=$G9),1,"")</x:f>
      </x:c>
      <x:c r="AC9" s="167" t="str">
        <x:f>IF(AND(AC$6&lt;=$H9,AC$6+6&gt;=$G9),1,"")</x:f>
      </x:c>
      <x:c r="AD9" s="167" t="str">
        <x:f>IF(AND(AD$6&lt;=$H9,AD$6+6&gt;=$G9),1,"")</x:f>
      </x:c>
      <x:c r="AE9" s="167" t="str">
        <x:f>IF(AND(AE$6&lt;=$H9,AE$6+6&gt;=$G9),1,"")</x:f>
      </x:c>
      <x:c r="AF9" s="167" t="str">
        <x:f>IF(AND(AF$6&lt;=$H9,AF$6+6&gt;=$G9),1,"")</x:f>
      </x:c>
      <x:c r="AG9" s="167" t="str">
        <x:f>IF(AND(AG$6&lt;=$H9,AG$6+6&gt;=$G9),1,"")</x:f>
      </x:c>
      <x:c r="AH9" s="167" t="str">
        <x:f>IF(AND(AH$6&lt;=$H9,AH$6+6&gt;=$G9),1,"")</x:f>
      </x:c>
      <x:c r="AI9" s="167" t="str">
        <x:f>IF(AND(AI$6&lt;=$H9,AI$6+6&gt;=$G9),1,"")</x:f>
      </x:c>
      <x:c r="AJ9" s="167" t="str">
        <x:f>IF(AND(AJ$6&lt;=$H9,AJ$6+6&gt;=$G9),1,"")</x:f>
      </x:c>
      <x:c r="AK9" s="167" t="str">
        <x:f>IF(AND(AK$6&lt;=$H9,AK$6+6&gt;=$G9),1,"")</x:f>
      </x:c>
      <x:c r="AL9" s="167" t="str">
        <x:f>IF(AND(AL$6&lt;=$H9,AL$6+6&gt;=$G9),1,"")</x:f>
      </x:c>
      <x:c r="AM9" s="167" t="str">
        <x:f>IF(AND(AM$6&lt;=$H9,AM$6+6&gt;=$G9),1,"")</x:f>
      </x:c>
      <x:c r="AN9" s="167" t="str">
        <x:f>IF(AND(AN$6&lt;=$H9,AN$6+6&gt;=$G9),1,"")</x:f>
      </x:c>
      <x:c r="AO9" s="167" t="str">
        <x:f>IF(AND(AO$6&lt;=$H9,AO$6+6&gt;=$G9),1,"")</x:f>
      </x:c>
      <x:c r="AP9" s="167" t="str">
        <x:f>IF(AND(AP$6&lt;=$H9,AP$6+6&gt;=$G9),1,"")</x:f>
      </x:c>
      <x:c r="AQ9" s="167" t="str">
        <x:f>IF(AND(AQ$6&lt;=$H9,AQ$6+6&gt;=$G9),1,"")</x:f>
      </x:c>
      <x:c r="AR9" s="167" t="str">
        <x:f>IF(AND(AR$6&lt;=$H9,AR$6+6&gt;=$G9),1,"")</x:f>
      </x:c>
      <x:c r="AS9" s="167" t="str">
        <x:f>IF(AND(AS$6&lt;=$H9,AS$6+6&gt;=$G9),1,"")</x:f>
      </x:c>
      <x:c r="AT9" s="167" t="str">
        <x:f>IF(AND(AT$6&lt;=$H9,AT$6+6&gt;=$G9),1,"")</x:f>
      </x:c>
      <x:c r="AU9" s="167" t="str">
        <x:f>IF(AND(AU$6&lt;=$H9,AU$6+6&gt;=$G9),1,"")</x:f>
      </x:c>
      <x:c r="AV9" s="167" t="str">
        <x:f>IF(AND(AV$6&lt;=$H9,AV$6+6&gt;=$G9),1,"")</x:f>
      </x:c>
      <x:c r="AW9" s="167" t="str">
        <x:f>IF(AND(AW$6&lt;=$H9,AW$6+6&gt;=$G9),1,"")</x:f>
      </x:c>
      <x:c r="AX9" s="167" t="str">
        <x:f>IF(AND(AX$6&lt;=$H9,AX$6+6&gt;=$G9),1,"")</x:f>
      </x:c>
      <x:c r="AY9" s="167" t="str">
        <x:f>IF(AND(AY$6&lt;=$H9,AY$6+6&gt;=$G9),1,"")</x:f>
      </x:c>
      <x:c r="AZ9" s="167" t="str">
        <x:f>IF(AND(AZ$6&lt;=$H9,AZ$6+6&gt;=$G9),1,"")</x:f>
      </x:c>
      <x:c r="BA9" s="167" t="str">
        <x:f>IF(AND(BA$6&lt;=$H9,BA$6+6&gt;=$G9),1,"")</x:f>
      </x:c>
      <x:c r="BB9" s="167" t="str">
        <x:f>IF(AND(BB$6&lt;=$H9,BB$6+6&gt;=$G9),1,"")</x:f>
      </x:c>
      <x:c r="BC9" s="167" t="str">
        <x:f>IF(AND(BC$6&lt;=$H9,BC$6+6&gt;=$G9),1,"")</x:f>
      </x:c>
      <x:c r="BD9" s="167" t="str">
        <x:f>IF(AND(BD$6&lt;=$H9,BD$6+6&gt;=$G9),1,"")</x:f>
      </x:c>
      <x:c r="BE9" s="167" t="str">
        <x:f>IF(AND(BE$6&lt;=$H9,BE$6+6&gt;=$G9),1,"")</x:f>
      </x:c>
      <x:c r="BF9" s="167" t="str">
        <x:f>IF(AND(BF$6&lt;=$H9,BF$6+6&gt;=$G9),1,"")</x:f>
      </x:c>
      <x:c r="BG9" s="167" t="str">
        <x:f>IF(AND(BG$6&lt;=$H9,BG$6+6&gt;=$G9),1,"")</x:f>
      </x:c>
      <x:c r="BH9" s="167" t="str">
        <x:f>IF(AND(BH$6&lt;=$H9,BH$6+6&gt;=$G9),1,"")</x:f>
      </x:c>
      <x:c r="BI9" s="167" t="str">
        <x:f>IF(AND(BI$6&lt;=$H9,BI$6+6&gt;=$G9),1,"")</x:f>
      </x:c>
      <x:c r="BJ9" s="167" t="str">
        <x:f>IF(AND(BJ$6&lt;=$H9,BJ$6+6&gt;=$G9),1,"")</x:f>
      </x:c>
      <x:c r="BK9" s="168" t="str">
        <x:f>IF(AND(BK$6&lt;=$H9,BK$6+6&gt;=$G9),1,"")</x:f>
      </x:c>
    </x:row>
    <x:row r="10" ht="24" customHeight="1">
      <x:c r="A10" s="68" t="str">
        <x:f>'Research Tasks'!A8</x:f>
        <x:v>T-004</x:v>
      </x:c>
      <x:c r="B10" s="68" t="str">
        <x:f>'Research Tasks'!B8</x:f>
        <x:v>M0</x:v>
      </x:c>
      <x:c r="C10" s="68" t="str">
        <x:f>'Research Tasks'!C8</x:f>
        <x:v>Validation</x:v>
      </x:c>
      <x:c r="D10" s="68" t="str">
        <x:f>'Research Tasks'!D8</x:f>
        <x:v>Define failure-mode log</x:v>
      </x:c>
      <x:c r="E10" s="68" t="str">
        <x:f>'Research Tasks'!E8</x:f>
        <x:v>T-001</x:v>
      </x:c>
      <x:c r="F10" s="68" t="str">
        <x:f>'Research Tasks'!F8</x:f>
        <x:v>Done</x:v>
      </x:c>
      <x:c r="G10" s="94" t="n">
        <x:f>'Research Tasks'!I8</x:f>
        <x:v>46240</x:v>
      </x:c>
      <x:c r="H10" s="94" t="n">
        <x:f>'Research Tasks'!J8</x:f>
        <x:v>46240</x:v>
      </x:c>
      <x:c r="I10" s="166" t="n">
        <x:f>IF(AND(I$6&lt;=$H10,I$6+6&gt;=$G10),1,"")</x:f>
        <x:v>1</x:v>
      </x:c>
      <x:c r="J10" s="167" t="str">
        <x:f>IF(AND(J$6&lt;=$H10,J$6+6&gt;=$G10),1,"")</x:f>
      </x:c>
      <x:c r="K10" s="167" t="str">
        <x:f>IF(AND(K$6&lt;=$H10,K$6+6&gt;=$G10),1,"")</x:f>
      </x:c>
      <x:c r="L10" s="167" t="str">
        <x:f>IF(AND(L$6&lt;=$H10,L$6+6&gt;=$G10),1,"")</x:f>
      </x:c>
      <x:c r="M10" s="167" t="str">
        <x:f>IF(AND(M$6&lt;=$H10,M$6+6&gt;=$G10),1,"")</x:f>
      </x:c>
      <x:c r="N10" s="167" t="str">
        <x:f>IF(AND(N$6&lt;=$H10,N$6+6&gt;=$G10),1,"")</x:f>
      </x:c>
      <x:c r="O10" s="167" t="str">
        <x:f>IF(AND(O$6&lt;=$H10,O$6+6&gt;=$G10),1,"")</x:f>
      </x:c>
      <x:c r="P10" s="167" t="str">
        <x:f>IF(AND(P$6&lt;=$H10,P$6+6&gt;=$G10),1,"")</x:f>
      </x:c>
      <x:c r="Q10" s="167" t="str">
        <x:f>IF(AND(Q$6&lt;=$H10,Q$6+6&gt;=$G10),1,"")</x:f>
      </x:c>
      <x:c r="R10" s="167" t="str">
        <x:f>IF(AND(R$6&lt;=$H10,R$6+6&gt;=$G10),1,"")</x:f>
      </x:c>
      <x:c r="S10" s="167" t="str">
        <x:f>IF(AND(S$6&lt;=$H10,S$6+6&gt;=$G10),1,"")</x:f>
      </x:c>
      <x:c r="T10" s="167" t="str">
        <x:f>IF(AND(T$6&lt;=$H10,T$6+6&gt;=$G10),1,"")</x:f>
      </x:c>
      <x:c r="U10" s="167" t="str">
        <x:f>IF(AND(U$6&lt;=$H10,U$6+6&gt;=$G10),1,"")</x:f>
      </x:c>
      <x:c r="V10" s="167" t="str">
        <x:f>IF(AND(V$6&lt;=$H10,V$6+6&gt;=$G10),1,"")</x:f>
      </x:c>
      <x:c r="W10" s="167" t="str">
        <x:f>IF(AND(W$6&lt;=$H10,W$6+6&gt;=$G10),1,"")</x:f>
      </x:c>
      <x:c r="X10" s="167" t="str">
        <x:f>IF(AND(X$6&lt;=$H10,X$6+6&gt;=$G10),1,"")</x:f>
      </x:c>
      <x:c r="Y10" s="167" t="str">
        <x:f>IF(AND(Y$6&lt;=$H10,Y$6+6&gt;=$G10),1,"")</x:f>
      </x:c>
      <x:c r="Z10" s="167" t="str">
        <x:f>IF(AND(Z$6&lt;=$H10,Z$6+6&gt;=$G10),1,"")</x:f>
      </x:c>
      <x:c r="AA10" s="167" t="str">
        <x:f>IF(AND(AA$6&lt;=$H10,AA$6+6&gt;=$G10),1,"")</x:f>
      </x:c>
      <x:c r="AB10" s="167" t="str">
        <x:f>IF(AND(AB$6&lt;=$H10,AB$6+6&gt;=$G10),1,"")</x:f>
      </x:c>
      <x:c r="AC10" s="167" t="str">
        <x:f>IF(AND(AC$6&lt;=$H10,AC$6+6&gt;=$G10),1,"")</x:f>
      </x:c>
      <x:c r="AD10" s="167" t="str">
        <x:f>IF(AND(AD$6&lt;=$H10,AD$6+6&gt;=$G10),1,"")</x:f>
      </x:c>
      <x:c r="AE10" s="167" t="str">
        <x:f>IF(AND(AE$6&lt;=$H10,AE$6+6&gt;=$G10),1,"")</x:f>
      </x:c>
      <x:c r="AF10" s="167" t="str">
        <x:f>IF(AND(AF$6&lt;=$H10,AF$6+6&gt;=$G10),1,"")</x:f>
      </x:c>
      <x:c r="AG10" s="167" t="str">
        <x:f>IF(AND(AG$6&lt;=$H10,AG$6+6&gt;=$G10),1,"")</x:f>
      </x:c>
      <x:c r="AH10" s="167" t="str">
        <x:f>IF(AND(AH$6&lt;=$H10,AH$6+6&gt;=$G10),1,"")</x:f>
      </x:c>
      <x:c r="AI10" s="167" t="str">
        <x:f>IF(AND(AI$6&lt;=$H10,AI$6+6&gt;=$G10),1,"")</x:f>
      </x:c>
      <x:c r="AJ10" s="167" t="str">
        <x:f>IF(AND(AJ$6&lt;=$H10,AJ$6+6&gt;=$G10),1,"")</x:f>
      </x:c>
      <x:c r="AK10" s="167" t="str">
        <x:f>IF(AND(AK$6&lt;=$H10,AK$6+6&gt;=$G10),1,"")</x:f>
      </x:c>
      <x:c r="AL10" s="167" t="str">
        <x:f>IF(AND(AL$6&lt;=$H10,AL$6+6&gt;=$G10),1,"")</x:f>
      </x:c>
      <x:c r="AM10" s="167" t="str">
        <x:f>IF(AND(AM$6&lt;=$H10,AM$6+6&gt;=$G10),1,"")</x:f>
      </x:c>
      <x:c r="AN10" s="167" t="str">
        <x:f>IF(AND(AN$6&lt;=$H10,AN$6+6&gt;=$G10),1,"")</x:f>
      </x:c>
      <x:c r="AO10" s="167" t="str">
        <x:f>IF(AND(AO$6&lt;=$H10,AO$6+6&gt;=$G10),1,"")</x:f>
      </x:c>
      <x:c r="AP10" s="167" t="str">
        <x:f>IF(AND(AP$6&lt;=$H10,AP$6+6&gt;=$G10),1,"")</x:f>
      </x:c>
      <x:c r="AQ10" s="167" t="str">
        <x:f>IF(AND(AQ$6&lt;=$H10,AQ$6+6&gt;=$G10),1,"")</x:f>
      </x:c>
      <x:c r="AR10" s="167" t="str">
        <x:f>IF(AND(AR$6&lt;=$H10,AR$6+6&gt;=$G10),1,"")</x:f>
      </x:c>
      <x:c r="AS10" s="167" t="str">
        <x:f>IF(AND(AS$6&lt;=$H10,AS$6+6&gt;=$G10),1,"")</x:f>
      </x:c>
      <x:c r="AT10" s="167" t="str">
        <x:f>IF(AND(AT$6&lt;=$H10,AT$6+6&gt;=$G10),1,"")</x:f>
      </x:c>
      <x:c r="AU10" s="167" t="str">
        <x:f>IF(AND(AU$6&lt;=$H10,AU$6+6&gt;=$G10),1,"")</x:f>
      </x:c>
      <x:c r="AV10" s="167" t="str">
        <x:f>IF(AND(AV$6&lt;=$H10,AV$6+6&gt;=$G10),1,"")</x:f>
      </x:c>
      <x:c r="AW10" s="167" t="str">
        <x:f>IF(AND(AW$6&lt;=$H10,AW$6+6&gt;=$G10),1,"")</x:f>
      </x:c>
      <x:c r="AX10" s="167" t="str">
        <x:f>IF(AND(AX$6&lt;=$H10,AX$6+6&gt;=$G10),1,"")</x:f>
      </x:c>
      <x:c r="AY10" s="167" t="str">
        <x:f>IF(AND(AY$6&lt;=$H10,AY$6+6&gt;=$G10),1,"")</x:f>
      </x:c>
      <x:c r="AZ10" s="167" t="str">
        <x:f>IF(AND(AZ$6&lt;=$H10,AZ$6+6&gt;=$G10),1,"")</x:f>
      </x:c>
      <x:c r="BA10" s="167" t="str">
        <x:f>IF(AND(BA$6&lt;=$H10,BA$6+6&gt;=$G10),1,"")</x:f>
      </x:c>
      <x:c r="BB10" s="167" t="str">
        <x:f>IF(AND(BB$6&lt;=$H10,BB$6+6&gt;=$G10),1,"")</x:f>
      </x:c>
      <x:c r="BC10" s="167" t="str">
        <x:f>IF(AND(BC$6&lt;=$H10,BC$6+6&gt;=$G10),1,"")</x:f>
      </x:c>
      <x:c r="BD10" s="167" t="str">
        <x:f>IF(AND(BD$6&lt;=$H10,BD$6+6&gt;=$G10),1,"")</x:f>
      </x:c>
      <x:c r="BE10" s="167" t="str">
        <x:f>IF(AND(BE$6&lt;=$H10,BE$6+6&gt;=$G10),1,"")</x:f>
      </x:c>
      <x:c r="BF10" s="167" t="str">
        <x:f>IF(AND(BF$6&lt;=$H10,BF$6+6&gt;=$G10),1,"")</x:f>
      </x:c>
      <x:c r="BG10" s="167" t="str">
        <x:f>IF(AND(BG$6&lt;=$H10,BG$6+6&gt;=$G10),1,"")</x:f>
      </x:c>
      <x:c r="BH10" s="167" t="str">
        <x:f>IF(AND(BH$6&lt;=$H10,BH$6+6&gt;=$G10),1,"")</x:f>
      </x:c>
      <x:c r="BI10" s="167" t="str">
        <x:f>IF(AND(BI$6&lt;=$H10,BI$6+6&gt;=$G10),1,"")</x:f>
      </x:c>
      <x:c r="BJ10" s="167" t="str">
        <x:f>IF(AND(BJ$6&lt;=$H10,BJ$6+6&gt;=$G10),1,"")</x:f>
      </x:c>
      <x:c r="BK10" s="168" t="str">
        <x:f>IF(AND(BK$6&lt;=$H10,BK$6+6&gt;=$G10),1,"")</x:f>
      </x:c>
    </x:row>
    <x:row r="11" ht="24" customHeight="1">
      <x:c r="A11" s="68" t="str">
        <x:f>'Research Tasks'!A9</x:f>
        <x:v>T-005</x:v>
      </x:c>
      <x:c r="B11" s="68" t="str">
        <x:f>'Research Tasks'!B9</x:f>
        <x:v>M0</x:v>
      </x:c>
      <x:c r="C11" s="68" t="str">
        <x:f>'Research Tasks'!C9</x:f>
        <x:v>Validation</x:v>
      </x:c>
      <x:c r="D11" s="68" t="str">
        <x:f>'Research Tasks'!D9</x:f>
        <x:v>Define validation gates</x:v>
      </x:c>
      <x:c r="E11" s="68" t="str">
        <x:f>'Research Tasks'!E9</x:f>
        <x:v>T-003, T-004</x:v>
      </x:c>
      <x:c r="F11" s="68" t="str">
        <x:f>'Research Tasks'!F9</x:f>
        <x:v>Done</x:v>
      </x:c>
      <x:c r="G11" s="94" t="n">
        <x:f>'Research Tasks'!I9</x:f>
        <x:v>46241</x:v>
      </x:c>
      <x:c r="H11" s="94" t="n">
        <x:f>'Research Tasks'!J9</x:f>
        <x:v>46241</x:v>
      </x:c>
      <x:c r="I11" s="166" t="n">
        <x:f>IF(AND(I$6&lt;=$H11,I$6+6&gt;=$G11),1,"")</x:f>
        <x:v>1</x:v>
      </x:c>
      <x:c r="J11" s="167" t="str">
        <x:f>IF(AND(J$6&lt;=$H11,J$6+6&gt;=$G11),1,"")</x:f>
      </x:c>
      <x:c r="K11" s="167" t="str">
        <x:f>IF(AND(K$6&lt;=$H11,K$6+6&gt;=$G11),1,"")</x:f>
      </x:c>
      <x:c r="L11" s="167" t="str">
        <x:f>IF(AND(L$6&lt;=$H11,L$6+6&gt;=$G11),1,"")</x:f>
      </x:c>
      <x:c r="M11" s="167" t="str">
        <x:f>IF(AND(M$6&lt;=$H11,M$6+6&gt;=$G11),1,"")</x:f>
      </x:c>
      <x:c r="N11" s="167" t="str">
        <x:f>IF(AND(N$6&lt;=$H11,N$6+6&gt;=$G11),1,"")</x:f>
      </x:c>
      <x:c r="O11" s="167" t="str">
        <x:f>IF(AND(O$6&lt;=$H11,O$6+6&gt;=$G11),1,"")</x:f>
      </x:c>
      <x:c r="P11" s="167" t="str">
        <x:f>IF(AND(P$6&lt;=$H11,P$6+6&gt;=$G11),1,"")</x:f>
      </x:c>
      <x:c r="Q11" s="167" t="str">
        <x:f>IF(AND(Q$6&lt;=$H11,Q$6+6&gt;=$G11),1,"")</x:f>
      </x:c>
      <x:c r="R11" s="167" t="str">
        <x:f>IF(AND(R$6&lt;=$H11,R$6+6&gt;=$G11),1,"")</x:f>
      </x:c>
      <x:c r="S11" s="167" t="str">
        <x:f>IF(AND(S$6&lt;=$H11,S$6+6&gt;=$G11),1,"")</x:f>
      </x:c>
      <x:c r="T11" s="167" t="str">
        <x:f>IF(AND(T$6&lt;=$H11,T$6+6&gt;=$G11),1,"")</x:f>
      </x:c>
      <x:c r="U11" s="167" t="str">
        <x:f>IF(AND(U$6&lt;=$H11,U$6+6&gt;=$G11),1,"")</x:f>
      </x:c>
      <x:c r="V11" s="167" t="str">
        <x:f>IF(AND(V$6&lt;=$H11,V$6+6&gt;=$G11),1,"")</x:f>
      </x:c>
      <x:c r="W11" s="167" t="str">
        <x:f>IF(AND(W$6&lt;=$H11,W$6+6&gt;=$G11),1,"")</x:f>
      </x:c>
      <x:c r="X11" s="167" t="str">
        <x:f>IF(AND(X$6&lt;=$H11,X$6+6&gt;=$G11),1,"")</x:f>
      </x:c>
      <x:c r="Y11" s="167" t="str">
        <x:f>IF(AND(Y$6&lt;=$H11,Y$6+6&gt;=$G11),1,"")</x:f>
      </x:c>
      <x:c r="Z11" s="167" t="str">
        <x:f>IF(AND(Z$6&lt;=$H11,Z$6+6&gt;=$G11),1,"")</x:f>
      </x:c>
      <x:c r="AA11" s="167" t="str">
        <x:f>IF(AND(AA$6&lt;=$H11,AA$6+6&gt;=$G11),1,"")</x:f>
      </x:c>
      <x:c r="AB11" s="167" t="str">
        <x:f>IF(AND(AB$6&lt;=$H11,AB$6+6&gt;=$G11),1,"")</x:f>
      </x:c>
      <x:c r="AC11" s="167" t="str">
        <x:f>IF(AND(AC$6&lt;=$H11,AC$6+6&gt;=$G11),1,"")</x:f>
      </x:c>
      <x:c r="AD11" s="167" t="str">
        <x:f>IF(AND(AD$6&lt;=$H11,AD$6+6&gt;=$G11),1,"")</x:f>
      </x:c>
      <x:c r="AE11" s="167" t="str">
        <x:f>IF(AND(AE$6&lt;=$H11,AE$6+6&gt;=$G11),1,"")</x:f>
      </x:c>
      <x:c r="AF11" s="167" t="str">
        <x:f>IF(AND(AF$6&lt;=$H11,AF$6+6&gt;=$G11),1,"")</x:f>
      </x:c>
      <x:c r="AG11" s="167" t="str">
        <x:f>IF(AND(AG$6&lt;=$H11,AG$6+6&gt;=$G11),1,"")</x:f>
      </x:c>
      <x:c r="AH11" s="167" t="str">
        <x:f>IF(AND(AH$6&lt;=$H11,AH$6+6&gt;=$G11),1,"")</x:f>
      </x:c>
      <x:c r="AI11" s="167" t="str">
        <x:f>IF(AND(AI$6&lt;=$H11,AI$6+6&gt;=$G11),1,"")</x:f>
      </x:c>
      <x:c r="AJ11" s="167" t="str">
        <x:f>IF(AND(AJ$6&lt;=$H11,AJ$6+6&gt;=$G11),1,"")</x:f>
      </x:c>
      <x:c r="AK11" s="167" t="str">
        <x:f>IF(AND(AK$6&lt;=$H11,AK$6+6&gt;=$G11),1,"")</x:f>
      </x:c>
      <x:c r="AL11" s="167" t="str">
        <x:f>IF(AND(AL$6&lt;=$H11,AL$6+6&gt;=$G11),1,"")</x:f>
      </x:c>
      <x:c r="AM11" s="167" t="str">
        <x:f>IF(AND(AM$6&lt;=$H11,AM$6+6&gt;=$G11),1,"")</x:f>
      </x:c>
      <x:c r="AN11" s="167" t="str">
        <x:f>IF(AND(AN$6&lt;=$H11,AN$6+6&gt;=$G11),1,"")</x:f>
      </x:c>
      <x:c r="AO11" s="167" t="str">
        <x:f>IF(AND(AO$6&lt;=$H11,AO$6+6&gt;=$G11),1,"")</x:f>
      </x:c>
      <x:c r="AP11" s="167" t="str">
        <x:f>IF(AND(AP$6&lt;=$H11,AP$6+6&gt;=$G11),1,"")</x:f>
      </x:c>
      <x:c r="AQ11" s="167" t="str">
        <x:f>IF(AND(AQ$6&lt;=$H11,AQ$6+6&gt;=$G11),1,"")</x:f>
      </x:c>
      <x:c r="AR11" s="167" t="str">
        <x:f>IF(AND(AR$6&lt;=$H11,AR$6+6&gt;=$G11),1,"")</x:f>
      </x:c>
      <x:c r="AS11" s="167" t="str">
        <x:f>IF(AND(AS$6&lt;=$H11,AS$6+6&gt;=$G11),1,"")</x:f>
      </x:c>
      <x:c r="AT11" s="167" t="str">
        <x:f>IF(AND(AT$6&lt;=$H11,AT$6+6&gt;=$G11),1,"")</x:f>
      </x:c>
      <x:c r="AU11" s="167" t="str">
        <x:f>IF(AND(AU$6&lt;=$H11,AU$6+6&gt;=$G11),1,"")</x:f>
      </x:c>
      <x:c r="AV11" s="167" t="str">
        <x:f>IF(AND(AV$6&lt;=$H11,AV$6+6&gt;=$G11),1,"")</x:f>
      </x:c>
      <x:c r="AW11" s="167" t="str">
        <x:f>IF(AND(AW$6&lt;=$H11,AW$6+6&gt;=$G11),1,"")</x:f>
      </x:c>
      <x:c r="AX11" s="167" t="str">
        <x:f>IF(AND(AX$6&lt;=$H11,AX$6+6&gt;=$G11),1,"")</x:f>
      </x:c>
      <x:c r="AY11" s="167" t="str">
        <x:f>IF(AND(AY$6&lt;=$H11,AY$6+6&gt;=$G11),1,"")</x:f>
      </x:c>
      <x:c r="AZ11" s="167" t="str">
        <x:f>IF(AND(AZ$6&lt;=$H11,AZ$6+6&gt;=$G11),1,"")</x:f>
      </x:c>
      <x:c r="BA11" s="167" t="str">
        <x:f>IF(AND(BA$6&lt;=$H11,BA$6+6&gt;=$G11),1,"")</x:f>
      </x:c>
      <x:c r="BB11" s="167" t="str">
        <x:f>IF(AND(BB$6&lt;=$H11,BB$6+6&gt;=$G11),1,"")</x:f>
      </x:c>
      <x:c r="BC11" s="167" t="str">
        <x:f>IF(AND(BC$6&lt;=$H11,BC$6+6&gt;=$G11),1,"")</x:f>
      </x:c>
      <x:c r="BD11" s="167" t="str">
        <x:f>IF(AND(BD$6&lt;=$H11,BD$6+6&gt;=$G11),1,"")</x:f>
      </x:c>
      <x:c r="BE11" s="167" t="str">
        <x:f>IF(AND(BE$6&lt;=$H11,BE$6+6&gt;=$G11),1,"")</x:f>
      </x:c>
      <x:c r="BF11" s="167" t="str">
        <x:f>IF(AND(BF$6&lt;=$H11,BF$6+6&gt;=$G11),1,"")</x:f>
      </x:c>
      <x:c r="BG11" s="167" t="str">
        <x:f>IF(AND(BG$6&lt;=$H11,BG$6+6&gt;=$G11),1,"")</x:f>
      </x:c>
      <x:c r="BH11" s="167" t="str">
        <x:f>IF(AND(BH$6&lt;=$H11,BH$6+6&gt;=$G11),1,"")</x:f>
      </x:c>
      <x:c r="BI11" s="167" t="str">
        <x:f>IF(AND(BI$6&lt;=$H11,BI$6+6&gt;=$G11),1,"")</x:f>
      </x:c>
      <x:c r="BJ11" s="167" t="str">
        <x:f>IF(AND(BJ$6&lt;=$H11,BJ$6+6&gt;=$G11),1,"")</x:f>
      </x:c>
      <x:c r="BK11" s="168" t="str">
        <x:f>IF(AND(BK$6&lt;=$H11,BK$6+6&gt;=$G11),1,"")</x:f>
      </x:c>
    </x:row>
    <x:row r="12" ht="24" customHeight="1">
      <x:c r="A12" s="68" t="str">
        <x:f>'Research Tasks'!A10</x:f>
        <x:v>T-006</x:v>
      </x:c>
      <x:c r="B12" s="68" t="str">
        <x:f>'Research Tasks'!B10</x:f>
        <x:v>M0</x:v>
      </x:c>
      <x:c r="C12" s="68" t="str">
        <x:f>'Research Tasks'!C10</x:f>
        <x:v>Operations</x:v>
      </x:c>
      <x:c r="D12" s="68" t="str">
        <x:f>'Research Tasks'!D10</x:f>
        <x:v>Create milestone index</x:v>
      </x:c>
      <x:c r="E12" s="68" t="str">
        <x:f>'Research Tasks'!E10</x:f>
        <x:v>T-001</x:v>
      </x:c>
      <x:c r="F12" s="68" t="str">
        <x:f>'Research Tasks'!F10</x:f>
        <x:v>Done</x:v>
      </x:c>
      <x:c r="G12" s="94" t="n">
        <x:f>'Research Tasks'!I10</x:f>
        <x:v>46244</x:v>
      </x:c>
      <x:c r="H12" s="94" t="n">
        <x:f>'Research Tasks'!J10</x:f>
        <x:v>46244</x:v>
      </x:c>
      <x:c r="I12" s="166" t="str">
        <x:f>IF(AND(I$6&lt;=$H12,I$6+6&gt;=$G12),1,"")</x:f>
      </x:c>
      <x:c r="J12" s="167" t="n">
        <x:f>IF(AND(J$6&lt;=$H12,J$6+6&gt;=$G12),1,"")</x:f>
        <x:v>1</x:v>
      </x:c>
      <x:c r="K12" s="167" t="str">
        <x:f>IF(AND(K$6&lt;=$H12,K$6+6&gt;=$G12),1,"")</x:f>
      </x:c>
      <x:c r="L12" s="167" t="str">
        <x:f>IF(AND(L$6&lt;=$H12,L$6+6&gt;=$G12),1,"")</x:f>
      </x:c>
      <x:c r="M12" s="167" t="str">
        <x:f>IF(AND(M$6&lt;=$H12,M$6+6&gt;=$G12),1,"")</x:f>
      </x:c>
      <x:c r="N12" s="167" t="str">
        <x:f>IF(AND(N$6&lt;=$H12,N$6+6&gt;=$G12),1,"")</x:f>
      </x:c>
      <x:c r="O12" s="167" t="str">
        <x:f>IF(AND(O$6&lt;=$H12,O$6+6&gt;=$G12),1,"")</x:f>
      </x:c>
      <x:c r="P12" s="167" t="str">
        <x:f>IF(AND(P$6&lt;=$H12,P$6+6&gt;=$G12),1,"")</x:f>
      </x:c>
      <x:c r="Q12" s="167" t="str">
        <x:f>IF(AND(Q$6&lt;=$H12,Q$6+6&gt;=$G12),1,"")</x:f>
      </x:c>
      <x:c r="R12" s="167" t="str">
        <x:f>IF(AND(R$6&lt;=$H12,R$6+6&gt;=$G12),1,"")</x:f>
      </x:c>
      <x:c r="S12" s="167" t="str">
        <x:f>IF(AND(S$6&lt;=$H12,S$6+6&gt;=$G12),1,"")</x:f>
      </x:c>
      <x:c r="T12" s="167" t="str">
        <x:f>IF(AND(T$6&lt;=$H12,T$6+6&gt;=$G12),1,"")</x:f>
      </x:c>
      <x:c r="U12" s="167" t="str">
        <x:f>IF(AND(U$6&lt;=$H12,U$6+6&gt;=$G12),1,"")</x:f>
      </x:c>
      <x:c r="V12" s="167" t="str">
        <x:f>IF(AND(V$6&lt;=$H12,V$6+6&gt;=$G12),1,"")</x:f>
      </x:c>
      <x:c r="W12" s="167" t="str">
        <x:f>IF(AND(W$6&lt;=$H12,W$6+6&gt;=$G12),1,"")</x:f>
      </x:c>
      <x:c r="X12" s="167" t="str">
        <x:f>IF(AND(X$6&lt;=$H12,X$6+6&gt;=$G12),1,"")</x:f>
      </x:c>
      <x:c r="Y12" s="167" t="str">
        <x:f>IF(AND(Y$6&lt;=$H12,Y$6+6&gt;=$G12),1,"")</x:f>
      </x:c>
      <x:c r="Z12" s="167" t="str">
        <x:f>IF(AND(Z$6&lt;=$H12,Z$6+6&gt;=$G12),1,"")</x:f>
      </x:c>
      <x:c r="AA12" s="167" t="str">
        <x:f>IF(AND(AA$6&lt;=$H12,AA$6+6&gt;=$G12),1,"")</x:f>
      </x:c>
      <x:c r="AB12" s="167" t="str">
        <x:f>IF(AND(AB$6&lt;=$H12,AB$6+6&gt;=$G12),1,"")</x:f>
      </x:c>
      <x:c r="AC12" s="167" t="str">
        <x:f>IF(AND(AC$6&lt;=$H12,AC$6+6&gt;=$G12),1,"")</x:f>
      </x:c>
      <x:c r="AD12" s="167" t="str">
        <x:f>IF(AND(AD$6&lt;=$H12,AD$6+6&gt;=$G12),1,"")</x:f>
      </x:c>
      <x:c r="AE12" s="167" t="str">
        <x:f>IF(AND(AE$6&lt;=$H12,AE$6+6&gt;=$G12),1,"")</x:f>
      </x:c>
      <x:c r="AF12" s="167" t="str">
        <x:f>IF(AND(AF$6&lt;=$H12,AF$6+6&gt;=$G12),1,"")</x:f>
      </x:c>
      <x:c r="AG12" s="167" t="str">
        <x:f>IF(AND(AG$6&lt;=$H12,AG$6+6&gt;=$G12),1,"")</x:f>
      </x:c>
      <x:c r="AH12" s="167" t="str">
        <x:f>IF(AND(AH$6&lt;=$H12,AH$6+6&gt;=$G12),1,"")</x:f>
      </x:c>
      <x:c r="AI12" s="167" t="str">
        <x:f>IF(AND(AI$6&lt;=$H12,AI$6+6&gt;=$G12),1,"")</x:f>
      </x:c>
      <x:c r="AJ12" s="167" t="str">
        <x:f>IF(AND(AJ$6&lt;=$H12,AJ$6+6&gt;=$G12),1,"")</x:f>
      </x:c>
      <x:c r="AK12" s="167" t="str">
        <x:f>IF(AND(AK$6&lt;=$H12,AK$6+6&gt;=$G12),1,"")</x:f>
      </x:c>
      <x:c r="AL12" s="167" t="str">
        <x:f>IF(AND(AL$6&lt;=$H12,AL$6+6&gt;=$G12),1,"")</x:f>
      </x:c>
      <x:c r="AM12" s="167" t="str">
        <x:f>IF(AND(AM$6&lt;=$H12,AM$6+6&gt;=$G12),1,"")</x:f>
      </x:c>
      <x:c r="AN12" s="167" t="str">
        <x:f>IF(AND(AN$6&lt;=$H12,AN$6+6&gt;=$G12),1,"")</x:f>
      </x:c>
      <x:c r="AO12" s="167" t="str">
        <x:f>IF(AND(AO$6&lt;=$H12,AO$6+6&gt;=$G12),1,"")</x:f>
      </x:c>
      <x:c r="AP12" s="167" t="str">
        <x:f>IF(AND(AP$6&lt;=$H12,AP$6+6&gt;=$G12),1,"")</x:f>
      </x:c>
      <x:c r="AQ12" s="167" t="str">
        <x:f>IF(AND(AQ$6&lt;=$H12,AQ$6+6&gt;=$G12),1,"")</x:f>
      </x:c>
      <x:c r="AR12" s="167" t="str">
        <x:f>IF(AND(AR$6&lt;=$H12,AR$6+6&gt;=$G12),1,"")</x:f>
      </x:c>
      <x:c r="AS12" s="167" t="str">
        <x:f>IF(AND(AS$6&lt;=$H12,AS$6+6&gt;=$G12),1,"")</x:f>
      </x:c>
      <x:c r="AT12" s="167" t="str">
        <x:f>IF(AND(AT$6&lt;=$H12,AT$6+6&gt;=$G12),1,"")</x:f>
      </x:c>
      <x:c r="AU12" s="167" t="str">
        <x:f>IF(AND(AU$6&lt;=$H12,AU$6+6&gt;=$G12),1,"")</x:f>
      </x:c>
      <x:c r="AV12" s="167" t="str">
        <x:f>IF(AND(AV$6&lt;=$H12,AV$6+6&gt;=$G12),1,"")</x:f>
      </x:c>
      <x:c r="AW12" s="167" t="str">
        <x:f>IF(AND(AW$6&lt;=$H12,AW$6+6&gt;=$G12),1,"")</x:f>
      </x:c>
      <x:c r="AX12" s="167" t="str">
        <x:f>IF(AND(AX$6&lt;=$H12,AX$6+6&gt;=$G12),1,"")</x:f>
      </x:c>
      <x:c r="AY12" s="167" t="str">
        <x:f>IF(AND(AY$6&lt;=$H12,AY$6+6&gt;=$G12),1,"")</x:f>
      </x:c>
      <x:c r="AZ12" s="167" t="str">
        <x:f>IF(AND(AZ$6&lt;=$H12,AZ$6+6&gt;=$G12),1,"")</x:f>
      </x:c>
      <x:c r="BA12" s="167" t="str">
        <x:f>IF(AND(BA$6&lt;=$H12,BA$6+6&gt;=$G12),1,"")</x:f>
      </x:c>
      <x:c r="BB12" s="167" t="str">
        <x:f>IF(AND(BB$6&lt;=$H12,BB$6+6&gt;=$G12),1,"")</x:f>
      </x:c>
      <x:c r="BC12" s="167" t="str">
        <x:f>IF(AND(BC$6&lt;=$H12,BC$6+6&gt;=$G12),1,"")</x:f>
      </x:c>
      <x:c r="BD12" s="167" t="str">
        <x:f>IF(AND(BD$6&lt;=$H12,BD$6+6&gt;=$G12),1,"")</x:f>
      </x:c>
      <x:c r="BE12" s="167" t="str">
        <x:f>IF(AND(BE$6&lt;=$H12,BE$6+6&gt;=$G12),1,"")</x:f>
      </x:c>
      <x:c r="BF12" s="167" t="str">
        <x:f>IF(AND(BF$6&lt;=$H12,BF$6+6&gt;=$G12),1,"")</x:f>
      </x:c>
      <x:c r="BG12" s="167" t="str">
        <x:f>IF(AND(BG$6&lt;=$H12,BG$6+6&gt;=$G12),1,"")</x:f>
      </x:c>
      <x:c r="BH12" s="167" t="str">
        <x:f>IF(AND(BH$6&lt;=$H12,BH$6+6&gt;=$G12),1,"")</x:f>
      </x:c>
      <x:c r="BI12" s="167" t="str">
        <x:f>IF(AND(BI$6&lt;=$H12,BI$6+6&gt;=$G12),1,"")</x:f>
      </x:c>
      <x:c r="BJ12" s="167" t="str">
        <x:f>IF(AND(BJ$6&lt;=$H12,BJ$6+6&gt;=$G12),1,"")</x:f>
      </x:c>
      <x:c r="BK12" s="168" t="str">
        <x:f>IF(AND(BK$6&lt;=$H12,BK$6+6&gt;=$G12),1,"")</x:f>
      </x:c>
    </x:row>
    <x:row r="13" ht="24" customHeight="1">
      <x:c r="A13" s="68" t="str">
        <x:f>'Research Tasks'!A11</x:f>
        <x:v>AI-101</x:v>
      </x:c>
      <x:c r="B13" s="68" t="str">
        <x:f>'Research Tasks'!B11</x:f>
        <x:v>M1</x:v>
      </x:c>
      <x:c r="C13" s="68" t="str">
        <x:f>'Research Tasks'!C11</x:f>
        <x:v>Active Inference/Formalization</x:v>
      </x:c>
      <x:c r="D13" s="68" t="str">
        <x:f>'Research Tasks'!D11</x:f>
        <x:v>Write the executable generative-model specification</x:v>
      </x:c>
      <x:c r="E13" s="68" t="str">
        <x:f>'Research Tasks'!E11</x:f>
        <x:v>M0</x:v>
      </x:c>
      <x:c r="F13" s="68" t="str">
        <x:f>'Research Tasks'!F11</x:f>
        <x:v>Done</x:v>
      </x:c>
      <x:c r="G13" s="94" t="n">
        <x:f>'Research Tasks'!I11</x:f>
        <x:v>46251</x:v>
      </x:c>
      <x:c r="H13" s="94" t="n">
        <x:f>'Research Tasks'!J11</x:f>
        <x:v>46252</x:v>
      </x:c>
      <x:c r="I13" s="166" t="str">
        <x:f>IF(AND(I$6&lt;=$H13,I$6+6&gt;=$G13),1,"")</x:f>
      </x:c>
      <x:c r="J13" s="167" t="str">
        <x:f>IF(AND(J$6&lt;=$H13,J$6+6&gt;=$G13),1,"")</x:f>
      </x:c>
      <x:c r="K13" s="167" t="n">
        <x:f>IF(AND(K$6&lt;=$H13,K$6+6&gt;=$G13),1,"")</x:f>
        <x:v>1</x:v>
      </x:c>
      <x:c r="L13" s="167" t="str">
        <x:f>IF(AND(L$6&lt;=$H13,L$6+6&gt;=$G13),1,"")</x:f>
      </x:c>
      <x:c r="M13" s="167" t="str">
        <x:f>IF(AND(M$6&lt;=$H13,M$6+6&gt;=$G13),1,"")</x:f>
      </x:c>
      <x:c r="N13" s="167" t="str">
        <x:f>IF(AND(N$6&lt;=$H13,N$6+6&gt;=$G13),1,"")</x:f>
      </x:c>
      <x:c r="O13" s="167" t="str">
        <x:f>IF(AND(O$6&lt;=$H13,O$6+6&gt;=$G13),1,"")</x:f>
      </x:c>
      <x:c r="P13" s="167" t="str">
        <x:f>IF(AND(P$6&lt;=$H13,P$6+6&gt;=$G13),1,"")</x:f>
      </x:c>
      <x:c r="Q13" s="167" t="str">
        <x:f>IF(AND(Q$6&lt;=$H13,Q$6+6&gt;=$G13),1,"")</x:f>
      </x:c>
      <x:c r="R13" s="167" t="str">
        <x:f>IF(AND(R$6&lt;=$H13,R$6+6&gt;=$G13),1,"")</x:f>
      </x:c>
      <x:c r="S13" s="167" t="str">
        <x:f>IF(AND(S$6&lt;=$H13,S$6+6&gt;=$G13),1,"")</x:f>
      </x:c>
      <x:c r="T13" s="167" t="str">
        <x:f>IF(AND(T$6&lt;=$H13,T$6+6&gt;=$G13),1,"")</x:f>
      </x:c>
      <x:c r="U13" s="167" t="str">
        <x:f>IF(AND(U$6&lt;=$H13,U$6+6&gt;=$G13),1,"")</x:f>
      </x:c>
      <x:c r="V13" s="167" t="str">
        <x:f>IF(AND(V$6&lt;=$H13,V$6+6&gt;=$G13),1,"")</x:f>
      </x:c>
      <x:c r="W13" s="167" t="str">
        <x:f>IF(AND(W$6&lt;=$H13,W$6+6&gt;=$G13),1,"")</x:f>
      </x:c>
      <x:c r="X13" s="167" t="str">
        <x:f>IF(AND(X$6&lt;=$H13,X$6+6&gt;=$G13),1,"")</x:f>
      </x:c>
      <x:c r="Y13" s="167" t="str">
        <x:f>IF(AND(Y$6&lt;=$H13,Y$6+6&gt;=$G13),1,"")</x:f>
      </x:c>
      <x:c r="Z13" s="167" t="str">
        <x:f>IF(AND(Z$6&lt;=$H13,Z$6+6&gt;=$G13),1,"")</x:f>
      </x:c>
      <x:c r="AA13" s="167" t="str">
        <x:f>IF(AND(AA$6&lt;=$H13,AA$6+6&gt;=$G13),1,"")</x:f>
      </x:c>
      <x:c r="AB13" s="167" t="str">
        <x:f>IF(AND(AB$6&lt;=$H13,AB$6+6&gt;=$G13),1,"")</x:f>
      </x:c>
      <x:c r="AC13" s="167" t="str">
        <x:f>IF(AND(AC$6&lt;=$H13,AC$6+6&gt;=$G13),1,"")</x:f>
      </x:c>
      <x:c r="AD13" s="167" t="str">
        <x:f>IF(AND(AD$6&lt;=$H13,AD$6+6&gt;=$G13),1,"")</x:f>
      </x:c>
      <x:c r="AE13" s="167" t="str">
        <x:f>IF(AND(AE$6&lt;=$H13,AE$6+6&gt;=$G13),1,"")</x:f>
      </x:c>
      <x:c r="AF13" s="167" t="str">
        <x:f>IF(AND(AF$6&lt;=$H13,AF$6+6&gt;=$G13),1,"")</x:f>
      </x:c>
      <x:c r="AG13" s="167" t="str">
        <x:f>IF(AND(AG$6&lt;=$H13,AG$6+6&gt;=$G13),1,"")</x:f>
      </x:c>
      <x:c r="AH13" s="167" t="str">
        <x:f>IF(AND(AH$6&lt;=$H13,AH$6+6&gt;=$G13),1,"")</x:f>
      </x:c>
      <x:c r="AI13" s="167" t="str">
        <x:f>IF(AND(AI$6&lt;=$H13,AI$6+6&gt;=$G13),1,"")</x:f>
      </x:c>
      <x:c r="AJ13" s="167" t="str">
        <x:f>IF(AND(AJ$6&lt;=$H13,AJ$6+6&gt;=$G13),1,"")</x:f>
      </x:c>
      <x:c r="AK13" s="167" t="str">
        <x:f>IF(AND(AK$6&lt;=$H13,AK$6+6&gt;=$G13),1,"")</x:f>
      </x:c>
      <x:c r="AL13" s="167" t="str">
        <x:f>IF(AND(AL$6&lt;=$H13,AL$6+6&gt;=$G13),1,"")</x:f>
      </x:c>
      <x:c r="AM13" s="167" t="str">
        <x:f>IF(AND(AM$6&lt;=$H13,AM$6+6&gt;=$G13),1,"")</x:f>
      </x:c>
      <x:c r="AN13" s="167" t="str">
        <x:f>IF(AND(AN$6&lt;=$H13,AN$6+6&gt;=$G13),1,"")</x:f>
      </x:c>
      <x:c r="AO13" s="167" t="str">
        <x:f>IF(AND(AO$6&lt;=$H13,AO$6+6&gt;=$G13),1,"")</x:f>
      </x:c>
      <x:c r="AP13" s="167" t="str">
        <x:f>IF(AND(AP$6&lt;=$H13,AP$6+6&gt;=$G13),1,"")</x:f>
      </x:c>
      <x:c r="AQ13" s="167" t="str">
        <x:f>IF(AND(AQ$6&lt;=$H13,AQ$6+6&gt;=$G13),1,"")</x:f>
      </x:c>
      <x:c r="AR13" s="167" t="str">
        <x:f>IF(AND(AR$6&lt;=$H13,AR$6+6&gt;=$G13),1,"")</x:f>
      </x:c>
      <x:c r="AS13" s="167" t="str">
        <x:f>IF(AND(AS$6&lt;=$H13,AS$6+6&gt;=$G13),1,"")</x:f>
      </x:c>
      <x:c r="AT13" s="167" t="str">
        <x:f>IF(AND(AT$6&lt;=$H13,AT$6+6&gt;=$G13),1,"")</x:f>
      </x:c>
      <x:c r="AU13" s="167" t="str">
        <x:f>IF(AND(AU$6&lt;=$H13,AU$6+6&gt;=$G13),1,"")</x:f>
      </x:c>
      <x:c r="AV13" s="167" t="str">
        <x:f>IF(AND(AV$6&lt;=$H13,AV$6+6&gt;=$G13),1,"")</x:f>
      </x:c>
      <x:c r="AW13" s="167" t="str">
        <x:f>IF(AND(AW$6&lt;=$H13,AW$6+6&gt;=$G13),1,"")</x:f>
      </x:c>
      <x:c r="AX13" s="167" t="str">
        <x:f>IF(AND(AX$6&lt;=$H13,AX$6+6&gt;=$G13),1,"")</x:f>
      </x:c>
      <x:c r="AY13" s="167" t="str">
        <x:f>IF(AND(AY$6&lt;=$H13,AY$6+6&gt;=$G13),1,"")</x:f>
      </x:c>
      <x:c r="AZ13" s="167" t="str">
        <x:f>IF(AND(AZ$6&lt;=$H13,AZ$6+6&gt;=$G13),1,"")</x:f>
      </x:c>
      <x:c r="BA13" s="167" t="str">
        <x:f>IF(AND(BA$6&lt;=$H13,BA$6+6&gt;=$G13),1,"")</x:f>
      </x:c>
      <x:c r="BB13" s="167" t="str">
        <x:f>IF(AND(BB$6&lt;=$H13,BB$6+6&gt;=$G13),1,"")</x:f>
      </x:c>
      <x:c r="BC13" s="167" t="str">
        <x:f>IF(AND(BC$6&lt;=$H13,BC$6+6&gt;=$G13),1,"")</x:f>
      </x:c>
      <x:c r="BD13" s="167" t="str">
        <x:f>IF(AND(BD$6&lt;=$H13,BD$6+6&gt;=$G13),1,"")</x:f>
      </x:c>
      <x:c r="BE13" s="167" t="str">
        <x:f>IF(AND(BE$6&lt;=$H13,BE$6+6&gt;=$G13),1,"")</x:f>
      </x:c>
      <x:c r="BF13" s="167" t="str">
        <x:f>IF(AND(BF$6&lt;=$H13,BF$6+6&gt;=$G13),1,"")</x:f>
      </x:c>
      <x:c r="BG13" s="167" t="str">
        <x:f>IF(AND(BG$6&lt;=$H13,BG$6+6&gt;=$G13),1,"")</x:f>
      </x:c>
      <x:c r="BH13" s="167" t="str">
        <x:f>IF(AND(BH$6&lt;=$H13,BH$6+6&gt;=$G13),1,"")</x:f>
      </x:c>
      <x:c r="BI13" s="167" t="str">
        <x:f>IF(AND(BI$6&lt;=$H13,BI$6+6&gt;=$G13),1,"")</x:f>
      </x:c>
      <x:c r="BJ13" s="167" t="str">
        <x:f>IF(AND(BJ$6&lt;=$H13,BJ$6+6&gt;=$G13),1,"")</x:f>
      </x:c>
      <x:c r="BK13" s="168" t="str">
        <x:f>IF(AND(BK$6&lt;=$H13,BK$6+6&gt;=$G13),1,"")</x:f>
      </x:c>
    </x:row>
    <x:row r="14" ht="24" customHeight="1">
      <x:c r="A14" s="68" t="str">
        <x:f>'Research Tasks'!A12</x:f>
        <x:v>AI-102</x:v>
      </x:c>
      <x:c r="B14" s="68" t="str">
        <x:f>'Research Tasks'!B12</x:f>
        <x:v>M1</x:v>
      </x:c>
      <x:c r="C14" s="68" t="str">
        <x:f>'Research Tasks'!C12</x:f>
        <x:v>Active Inference/Sensors</x:v>
      </x:c>
      <x:c r="D14" s="68" t="str">
        <x:f>'Research Tasks'!D12</x:f>
        <x:v>Create the variable and sensor-access ledger</x:v>
      </x:c>
      <x:c r="E14" s="68" t="str">
        <x:f>'Research Tasks'!E12</x:f>
        <x:v>AI-101</x:v>
      </x:c>
      <x:c r="F14" s="68" t="str">
        <x:f>'Research Tasks'!F12</x:f>
        <x:v>Done</x:v>
      </x:c>
      <x:c r="G14" s="94" t="n">
        <x:f>'Research Tasks'!I12</x:f>
        <x:v>46253</x:v>
      </x:c>
      <x:c r="H14" s="94" t="n">
        <x:f>'Research Tasks'!J12</x:f>
        <x:v>46253</x:v>
      </x:c>
      <x:c r="I14" s="166" t="str">
        <x:f>IF(AND(I$6&lt;=$H14,I$6+6&gt;=$G14),1,"")</x:f>
      </x:c>
      <x:c r="J14" s="167" t="str">
        <x:f>IF(AND(J$6&lt;=$H14,J$6+6&gt;=$G14),1,"")</x:f>
      </x:c>
      <x:c r="K14" s="167" t="n">
        <x:f>IF(AND(K$6&lt;=$H14,K$6+6&gt;=$G14),1,"")</x:f>
        <x:v>1</x:v>
      </x:c>
      <x:c r="L14" s="167" t="str">
        <x:f>IF(AND(L$6&lt;=$H14,L$6+6&gt;=$G14),1,"")</x:f>
      </x:c>
      <x:c r="M14" s="167" t="str">
        <x:f>IF(AND(M$6&lt;=$H14,M$6+6&gt;=$G14),1,"")</x:f>
      </x:c>
      <x:c r="N14" s="167" t="str">
        <x:f>IF(AND(N$6&lt;=$H14,N$6+6&gt;=$G14),1,"")</x:f>
      </x:c>
      <x:c r="O14" s="167" t="str">
        <x:f>IF(AND(O$6&lt;=$H14,O$6+6&gt;=$G14),1,"")</x:f>
      </x:c>
      <x:c r="P14" s="167" t="str">
        <x:f>IF(AND(P$6&lt;=$H14,P$6+6&gt;=$G14),1,"")</x:f>
      </x:c>
      <x:c r="Q14" s="167" t="str">
        <x:f>IF(AND(Q$6&lt;=$H14,Q$6+6&gt;=$G14),1,"")</x:f>
      </x:c>
      <x:c r="R14" s="167" t="str">
        <x:f>IF(AND(R$6&lt;=$H14,R$6+6&gt;=$G14),1,"")</x:f>
      </x:c>
      <x:c r="S14" s="167" t="str">
        <x:f>IF(AND(S$6&lt;=$H14,S$6+6&gt;=$G14),1,"")</x:f>
      </x:c>
      <x:c r="T14" s="167" t="str">
        <x:f>IF(AND(T$6&lt;=$H14,T$6+6&gt;=$G14),1,"")</x:f>
      </x:c>
      <x:c r="U14" s="167" t="str">
        <x:f>IF(AND(U$6&lt;=$H14,U$6+6&gt;=$G14),1,"")</x:f>
      </x:c>
      <x:c r="V14" s="167" t="str">
        <x:f>IF(AND(V$6&lt;=$H14,V$6+6&gt;=$G14),1,"")</x:f>
      </x:c>
      <x:c r="W14" s="167" t="str">
        <x:f>IF(AND(W$6&lt;=$H14,W$6+6&gt;=$G14),1,"")</x:f>
      </x:c>
      <x:c r="X14" s="167" t="str">
        <x:f>IF(AND(X$6&lt;=$H14,X$6+6&gt;=$G14),1,"")</x:f>
      </x:c>
      <x:c r="Y14" s="167" t="str">
        <x:f>IF(AND(Y$6&lt;=$H14,Y$6+6&gt;=$G14),1,"")</x:f>
      </x:c>
      <x:c r="Z14" s="167" t="str">
        <x:f>IF(AND(Z$6&lt;=$H14,Z$6+6&gt;=$G14),1,"")</x:f>
      </x:c>
      <x:c r="AA14" s="167" t="str">
        <x:f>IF(AND(AA$6&lt;=$H14,AA$6+6&gt;=$G14),1,"")</x:f>
      </x:c>
      <x:c r="AB14" s="167" t="str">
        <x:f>IF(AND(AB$6&lt;=$H14,AB$6+6&gt;=$G14),1,"")</x:f>
      </x:c>
      <x:c r="AC14" s="167" t="str">
        <x:f>IF(AND(AC$6&lt;=$H14,AC$6+6&gt;=$G14),1,"")</x:f>
      </x:c>
      <x:c r="AD14" s="167" t="str">
        <x:f>IF(AND(AD$6&lt;=$H14,AD$6+6&gt;=$G14),1,"")</x:f>
      </x:c>
      <x:c r="AE14" s="167" t="str">
        <x:f>IF(AND(AE$6&lt;=$H14,AE$6+6&gt;=$G14),1,"")</x:f>
      </x:c>
      <x:c r="AF14" s="167" t="str">
        <x:f>IF(AND(AF$6&lt;=$H14,AF$6+6&gt;=$G14),1,"")</x:f>
      </x:c>
      <x:c r="AG14" s="167" t="str">
        <x:f>IF(AND(AG$6&lt;=$H14,AG$6+6&gt;=$G14),1,"")</x:f>
      </x:c>
      <x:c r="AH14" s="167" t="str">
        <x:f>IF(AND(AH$6&lt;=$H14,AH$6+6&gt;=$G14),1,"")</x:f>
      </x:c>
      <x:c r="AI14" s="167" t="str">
        <x:f>IF(AND(AI$6&lt;=$H14,AI$6+6&gt;=$G14),1,"")</x:f>
      </x:c>
      <x:c r="AJ14" s="167" t="str">
        <x:f>IF(AND(AJ$6&lt;=$H14,AJ$6+6&gt;=$G14),1,"")</x:f>
      </x:c>
      <x:c r="AK14" s="167" t="str">
        <x:f>IF(AND(AK$6&lt;=$H14,AK$6+6&gt;=$G14),1,"")</x:f>
      </x:c>
      <x:c r="AL14" s="167" t="str">
        <x:f>IF(AND(AL$6&lt;=$H14,AL$6+6&gt;=$G14),1,"")</x:f>
      </x:c>
      <x:c r="AM14" s="167" t="str">
        <x:f>IF(AND(AM$6&lt;=$H14,AM$6+6&gt;=$G14),1,"")</x:f>
      </x:c>
      <x:c r="AN14" s="167" t="str">
        <x:f>IF(AND(AN$6&lt;=$H14,AN$6+6&gt;=$G14),1,"")</x:f>
      </x:c>
      <x:c r="AO14" s="167" t="str">
        <x:f>IF(AND(AO$6&lt;=$H14,AO$6+6&gt;=$G14),1,"")</x:f>
      </x:c>
      <x:c r="AP14" s="167" t="str">
        <x:f>IF(AND(AP$6&lt;=$H14,AP$6+6&gt;=$G14),1,"")</x:f>
      </x:c>
      <x:c r="AQ14" s="167" t="str">
        <x:f>IF(AND(AQ$6&lt;=$H14,AQ$6+6&gt;=$G14),1,"")</x:f>
      </x:c>
      <x:c r="AR14" s="167" t="str">
        <x:f>IF(AND(AR$6&lt;=$H14,AR$6+6&gt;=$G14),1,"")</x:f>
      </x:c>
      <x:c r="AS14" s="167" t="str">
        <x:f>IF(AND(AS$6&lt;=$H14,AS$6+6&gt;=$G14),1,"")</x:f>
      </x:c>
      <x:c r="AT14" s="167" t="str">
        <x:f>IF(AND(AT$6&lt;=$H14,AT$6+6&gt;=$G14),1,"")</x:f>
      </x:c>
      <x:c r="AU14" s="167" t="str">
        <x:f>IF(AND(AU$6&lt;=$H14,AU$6+6&gt;=$G14),1,"")</x:f>
      </x:c>
      <x:c r="AV14" s="167" t="str">
        <x:f>IF(AND(AV$6&lt;=$H14,AV$6+6&gt;=$G14),1,"")</x:f>
      </x:c>
      <x:c r="AW14" s="167" t="str">
        <x:f>IF(AND(AW$6&lt;=$H14,AW$6+6&gt;=$G14),1,"")</x:f>
      </x:c>
      <x:c r="AX14" s="167" t="str">
        <x:f>IF(AND(AX$6&lt;=$H14,AX$6+6&gt;=$G14),1,"")</x:f>
      </x:c>
      <x:c r="AY14" s="167" t="str">
        <x:f>IF(AND(AY$6&lt;=$H14,AY$6+6&gt;=$G14),1,"")</x:f>
      </x:c>
      <x:c r="AZ14" s="167" t="str">
        <x:f>IF(AND(AZ$6&lt;=$H14,AZ$6+6&gt;=$G14),1,"")</x:f>
      </x:c>
      <x:c r="BA14" s="167" t="str">
        <x:f>IF(AND(BA$6&lt;=$H14,BA$6+6&gt;=$G14),1,"")</x:f>
      </x:c>
      <x:c r="BB14" s="167" t="str">
        <x:f>IF(AND(BB$6&lt;=$H14,BB$6+6&gt;=$G14),1,"")</x:f>
      </x:c>
      <x:c r="BC14" s="167" t="str">
        <x:f>IF(AND(BC$6&lt;=$H14,BC$6+6&gt;=$G14),1,"")</x:f>
      </x:c>
      <x:c r="BD14" s="167" t="str">
        <x:f>IF(AND(BD$6&lt;=$H14,BD$6+6&gt;=$G14),1,"")</x:f>
      </x:c>
      <x:c r="BE14" s="167" t="str">
        <x:f>IF(AND(BE$6&lt;=$H14,BE$6+6&gt;=$G14),1,"")</x:f>
      </x:c>
      <x:c r="BF14" s="167" t="str">
        <x:f>IF(AND(BF$6&lt;=$H14,BF$6+6&gt;=$G14),1,"")</x:f>
      </x:c>
      <x:c r="BG14" s="167" t="str">
        <x:f>IF(AND(BG$6&lt;=$H14,BG$6+6&gt;=$G14),1,"")</x:f>
      </x:c>
      <x:c r="BH14" s="167" t="str">
        <x:f>IF(AND(BH$6&lt;=$H14,BH$6+6&gt;=$G14),1,"")</x:f>
      </x:c>
      <x:c r="BI14" s="167" t="str">
        <x:f>IF(AND(BI$6&lt;=$H14,BI$6+6&gt;=$G14),1,"")</x:f>
      </x:c>
      <x:c r="BJ14" s="167" t="str">
        <x:f>IF(AND(BJ$6&lt;=$H14,BJ$6+6&gt;=$G14),1,"")</x:f>
      </x:c>
      <x:c r="BK14" s="168" t="str">
        <x:f>IF(AND(BK$6&lt;=$H14,BK$6+6&gt;=$G14),1,"")</x:f>
      </x:c>
    </x:row>
    <x:row r="15" ht="24" customHeight="1">
      <x:c r="A15" s="68" t="str">
        <x:f>'Research Tasks'!A13</x:f>
        <x:v>AI-103</x:v>
      </x:c>
      <x:c r="B15" s="68" t="str">
        <x:f>'Research Tasks'!B13</x:f>
        <x:v>M1</x:v>
      </x:c>
      <x:c r="C15" s="68" t="str">
        <x:f>'Research Tasks'!C13</x:f>
        <x:v>Active Inference/Observation Model</x:v>
      </x:c>
      <x:c r="D15" s="68" t="str">
        <x:f>'Research Tasks'!D13</x:f>
        <x:v>Audit observation independence and units</x:v>
      </x:c>
      <x:c r="E15" s="68" t="str">
        <x:f>'Research Tasks'!E13</x:f>
        <x:v>AI-101, AI-102</x:v>
      </x:c>
      <x:c r="F15" s="68" t="str">
        <x:f>'Research Tasks'!F13</x:f>
        <x:v>Done</x:v>
      </x:c>
      <x:c r="G15" s="94" t="n">
        <x:f>'Research Tasks'!I13</x:f>
        <x:v>46254</x:v>
      </x:c>
      <x:c r="H15" s="94" t="n">
        <x:f>'Research Tasks'!J13</x:f>
        <x:v>46254</x:v>
      </x:c>
      <x:c r="I15" s="166" t="str">
        <x:f>IF(AND(I$6&lt;=$H15,I$6+6&gt;=$G15),1,"")</x:f>
      </x:c>
      <x:c r="J15" s="167" t="str">
        <x:f>IF(AND(J$6&lt;=$H15,J$6+6&gt;=$G15),1,"")</x:f>
      </x:c>
      <x:c r="K15" s="167" t="n">
        <x:f>IF(AND(K$6&lt;=$H15,K$6+6&gt;=$G15),1,"")</x:f>
        <x:v>1</x:v>
      </x:c>
      <x:c r="L15" s="167" t="str">
        <x:f>IF(AND(L$6&lt;=$H15,L$6+6&gt;=$G15),1,"")</x:f>
      </x:c>
      <x:c r="M15" s="167" t="str">
        <x:f>IF(AND(M$6&lt;=$H15,M$6+6&gt;=$G15),1,"")</x:f>
      </x:c>
      <x:c r="N15" s="167" t="str">
        <x:f>IF(AND(N$6&lt;=$H15,N$6+6&gt;=$G15),1,"")</x:f>
      </x:c>
      <x:c r="O15" s="167" t="str">
        <x:f>IF(AND(O$6&lt;=$H15,O$6+6&gt;=$G15),1,"")</x:f>
      </x:c>
      <x:c r="P15" s="167" t="str">
        <x:f>IF(AND(P$6&lt;=$H15,P$6+6&gt;=$G15),1,"")</x:f>
      </x:c>
      <x:c r="Q15" s="167" t="str">
        <x:f>IF(AND(Q$6&lt;=$H15,Q$6+6&gt;=$G15),1,"")</x:f>
      </x:c>
      <x:c r="R15" s="167" t="str">
        <x:f>IF(AND(R$6&lt;=$H15,R$6+6&gt;=$G15),1,"")</x:f>
      </x:c>
      <x:c r="S15" s="167" t="str">
        <x:f>IF(AND(S$6&lt;=$H15,S$6+6&gt;=$G15),1,"")</x:f>
      </x:c>
      <x:c r="T15" s="167" t="str">
        <x:f>IF(AND(T$6&lt;=$H15,T$6+6&gt;=$G15),1,"")</x:f>
      </x:c>
      <x:c r="U15" s="167" t="str">
        <x:f>IF(AND(U$6&lt;=$H15,U$6+6&gt;=$G15),1,"")</x:f>
      </x:c>
      <x:c r="V15" s="167" t="str">
        <x:f>IF(AND(V$6&lt;=$H15,V$6+6&gt;=$G15),1,"")</x:f>
      </x:c>
      <x:c r="W15" s="167" t="str">
        <x:f>IF(AND(W$6&lt;=$H15,W$6+6&gt;=$G15),1,"")</x:f>
      </x:c>
      <x:c r="X15" s="167" t="str">
        <x:f>IF(AND(X$6&lt;=$H15,X$6+6&gt;=$G15),1,"")</x:f>
      </x:c>
      <x:c r="Y15" s="167" t="str">
        <x:f>IF(AND(Y$6&lt;=$H15,Y$6+6&gt;=$G15),1,"")</x:f>
      </x:c>
      <x:c r="Z15" s="167" t="str">
        <x:f>IF(AND(Z$6&lt;=$H15,Z$6+6&gt;=$G15),1,"")</x:f>
      </x:c>
      <x:c r="AA15" s="167" t="str">
        <x:f>IF(AND(AA$6&lt;=$H15,AA$6+6&gt;=$G15),1,"")</x:f>
      </x:c>
      <x:c r="AB15" s="167" t="str">
        <x:f>IF(AND(AB$6&lt;=$H15,AB$6+6&gt;=$G15),1,"")</x:f>
      </x:c>
      <x:c r="AC15" s="167" t="str">
        <x:f>IF(AND(AC$6&lt;=$H15,AC$6+6&gt;=$G15),1,"")</x:f>
      </x:c>
      <x:c r="AD15" s="167" t="str">
        <x:f>IF(AND(AD$6&lt;=$H15,AD$6+6&gt;=$G15),1,"")</x:f>
      </x:c>
      <x:c r="AE15" s="167" t="str">
        <x:f>IF(AND(AE$6&lt;=$H15,AE$6+6&gt;=$G15),1,"")</x:f>
      </x:c>
      <x:c r="AF15" s="167" t="str">
        <x:f>IF(AND(AF$6&lt;=$H15,AF$6+6&gt;=$G15),1,"")</x:f>
      </x:c>
      <x:c r="AG15" s="167" t="str">
        <x:f>IF(AND(AG$6&lt;=$H15,AG$6+6&gt;=$G15),1,"")</x:f>
      </x:c>
      <x:c r="AH15" s="167" t="str">
        <x:f>IF(AND(AH$6&lt;=$H15,AH$6+6&gt;=$G15),1,"")</x:f>
      </x:c>
      <x:c r="AI15" s="167" t="str">
        <x:f>IF(AND(AI$6&lt;=$H15,AI$6+6&gt;=$G15),1,"")</x:f>
      </x:c>
      <x:c r="AJ15" s="167" t="str">
        <x:f>IF(AND(AJ$6&lt;=$H15,AJ$6+6&gt;=$G15),1,"")</x:f>
      </x:c>
      <x:c r="AK15" s="167" t="str">
        <x:f>IF(AND(AK$6&lt;=$H15,AK$6+6&gt;=$G15),1,"")</x:f>
      </x:c>
      <x:c r="AL15" s="167" t="str">
        <x:f>IF(AND(AL$6&lt;=$H15,AL$6+6&gt;=$G15),1,"")</x:f>
      </x:c>
      <x:c r="AM15" s="167" t="str">
        <x:f>IF(AND(AM$6&lt;=$H15,AM$6+6&gt;=$G15),1,"")</x:f>
      </x:c>
      <x:c r="AN15" s="167" t="str">
        <x:f>IF(AND(AN$6&lt;=$H15,AN$6+6&gt;=$G15),1,"")</x:f>
      </x:c>
      <x:c r="AO15" s="167" t="str">
        <x:f>IF(AND(AO$6&lt;=$H15,AO$6+6&gt;=$G15),1,"")</x:f>
      </x:c>
      <x:c r="AP15" s="167" t="str">
        <x:f>IF(AND(AP$6&lt;=$H15,AP$6+6&gt;=$G15),1,"")</x:f>
      </x:c>
      <x:c r="AQ15" s="167" t="str">
        <x:f>IF(AND(AQ$6&lt;=$H15,AQ$6+6&gt;=$G15),1,"")</x:f>
      </x:c>
      <x:c r="AR15" s="167" t="str">
        <x:f>IF(AND(AR$6&lt;=$H15,AR$6+6&gt;=$G15),1,"")</x:f>
      </x:c>
      <x:c r="AS15" s="167" t="str">
        <x:f>IF(AND(AS$6&lt;=$H15,AS$6+6&gt;=$G15),1,"")</x:f>
      </x:c>
      <x:c r="AT15" s="167" t="str">
        <x:f>IF(AND(AT$6&lt;=$H15,AT$6+6&gt;=$G15),1,"")</x:f>
      </x:c>
      <x:c r="AU15" s="167" t="str">
        <x:f>IF(AND(AU$6&lt;=$H15,AU$6+6&gt;=$G15),1,"")</x:f>
      </x:c>
      <x:c r="AV15" s="167" t="str">
        <x:f>IF(AND(AV$6&lt;=$H15,AV$6+6&gt;=$G15),1,"")</x:f>
      </x:c>
      <x:c r="AW15" s="167" t="str">
        <x:f>IF(AND(AW$6&lt;=$H15,AW$6+6&gt;=$G15),1,"")</x:f>
      </x:c>
      <x:c r="AX15" s="167" t="str">
        <x:f>IF(AND(AX$6&lt;=$H15,AX$6+6&gt;=$G15),1,"")</x:f>
      </x:c>
      <x:c r="AY15" s="167" t="str">
        <x:f>IF(AND(AY$6&lt;=$H15,AY$6+6&gt;=$G15),1,"")</x:f>
      </x:c>
      <x:c r="AZ15" s="167" t="str">
        <x:f>IF(AND(AZ$6&lt;=$H15,AZ$6+6&gt;=$G15),1,"")</x:f>
      </x:c>
      <x:c r="BA15" s="167" t="str">
        <x:f>IF(AND(BA$6&lt;=$H15,BA$6+6&gt;=$G15),1,"")</x:f>
      </x:c>
      <x:c r="BB15" s="167" t="str">
        <x:f>IF(AND(BB$6&lt;=$H15,BB$6+6&gt;=$G15),1,"")</x:f>
      </x:c>
      <x:c r="BC15" s="167" t="str">
        <x:f>IF(AND(BC$6&lt;=$H15,BC$6+6&gt;=$G15),1,"")</x:f>
      </x:c>
      <x:c r="BD15" s="167" t="str">
        <x:f>IF(AND(BD$6&lt;=$H15,BD$6+6&gt;=$G15),1,"")</x:f>
      </x:c>
      <x:c r="BE15" s="167" t="str">
        <x:f>IF(AND(BE$6&lt;=$H15,BE$6+6&gt;=$G15),1,"")</x:f>
      </x:c>
      <x:c r="BF15" s="167" t="str">
        <x:f>IF(AND(BF$6&lt;=$H15,BF$6+6&gt;=$G15),1,"")</x:f>
      </x:c>
      <x:c r="BG15" s="167" t="str">
        <x:f>IF(AND(BG$6&lt;=$H15,BG$6+6&gt;=$G15),1,"")</x:f>
      </x:c>
      <x:c r="BH15" s="167" t="str">
        <x:f>IF(AND(BH$6&lt;=$H15,BH$6+6&gt;=$G15),1,"")</x:f>
      </x:c>
      <x:c r="BI15" s="167" t="str">
        <x:f>IF(AND(BI$6&lt;=$H15,BI$6+6&gt;=$G15),1,"")</x:f>
      </x:c>
      <x:c r="BJ15" s="167" t="str">
        <x:f>IF(AND(BJ$6&lt;=$H15,BJ$6+6&gt;=$G15),1,"")</x:f>
      </x:c>
      <x:c r="BK15" s="168" t="str">
        <x:f>IF(AND(BK$6&lt;=$H15,BK$6+6&gt;=$G15),1,"")</x:f>
      </x:c>
    </x:row>
    <x:row r="16" ht="24" customHeight="1">
      <x:c r="A16" s="68" t="str">
        <x:f>'Research Tasks'!A14</x:f>
        <x:v>AI-104</x:v>
      </x:c>
      <x:c r="B16" s="68" t="str">
        <x:f>'Research Tasks'!B14</x:f>
        <x:v>M1</x:v>
      </x:c>
      <x:c r="C16" s="68" t="str">
        <x:f>'Research Tasks'!C14</x:f>
        <x:v>Active Inference/Validation</x:v>
      </x:c>
      <x:c r="D16" s="68" t="str">
        <x:f>'Research Tasks'!D14</x:f>
        <x:v>Verify VFE against tractable reference models</x:v>
      </x:c>
      <x:c r="E16" s="68" t="str">
        <x:f>'Research Tasks'!E14</x:f>
        <x:v>AI-101, AI-103</x:v>
      </x:c>
      <x:c r="F16" s="68" t="str">
        <x:f>'Research Tasks'!F14</x:f>
        <x:v>Done</x:v>
      </x:c>
      <x:c r="G16" s="94" t="n">
        <x:f>'Research Tasks'!I14</x:f>
        <x:v>46255</x:v>
      </x:c>
      <x:c r="H16" s="94" t="n">
        <x:f>'Research Tasks'!J14</x:f>
        <x:v>46258</x:v>
      </x:c>
      <x:c r="I16" s="166" t="str">
        <x:f>IF(AND(I$6&lt;=$H16,I$6+6&gt;=$G16),1,"")</x:f>
      </x:c>
      <x:c r="J16" s="167" t="str">
        <x:f>IF(AND(J$6&lt;=$H16,J$6+6&gt;=$G16),1,"")</x:f>
      </x:c>
      <x:c r="K16" s="167" t="n">
        <x:f>IF(AND(K$6&lt;=$H16,K$6+6&gt;=$G16),1,"")</x:f>
        <x:v>1</x:v>
      </x:c>
      <x:c r="L16" s="167" t="n">
        <x:f>IF(AND(L$6&lt;=$H16,L$6+6&gt;=$G16),1,"")</x:f>
        <x:v>1</x:v>
      </x:c>
      <x:c r="M16" s="167" t="str">
        <x:f>IF(AND(M$6&lt;=$H16,M$6+6&gt;=$G16),1,"")</x:f>
      </x:c>
      <x:c r="N16" s="167" t="str">
        <x:f>IF(AND(N$6&lt;=$H16,N$6+6&gt;=$G16),1,"")</x:f>
      </x:c>
      <x:c r="O16" s="167" t="str">
        <x:f>IF(AND(O$6&lt;=$H16,O$6+6&gt;=$G16),1,"")</x:f>
      </x:c>
      <x:c r="P16" s="167" t="str">
        <x:f>IF(AND(P$6&lt;=$H16,P$6+6&gt;=$G16),1,"")</x:f>
      </x:c>
      <x:c r="Q16" s="167" t="str">
        <x:f>IF(AND(Q$6&lt;=$H16,Q$6+6&gt;=$G16),1,"")</x:f>
      </x:c>
      <x:c r="R16" s="167" t="str">
        <x:f>IF(AND(R$6&lt;=$H16,R$6+6&gt;=$G16),1,"")</x:f>
      </x:c>
      <x:c r="S16" s="167" t="str">
        <x:f>IF(AND(S$6&lt;=$H16,S$6+6&gt;=$G16),1,"")</x:f>
      </x:c>
      <x:c r="T16" s="167" t="str">
        <x:f>IF(AND(T$6&lt;=$H16,T$6+6&gt;=$G16),1,"")</x:f>
      </x:c>
      <x:c r="U16" s="167" t="str">
        <x:f>IF(AND(U$6&lt;=$H16,U$6+6&gt;=$G16),1,"")</x:f>
      </x:c>
      <x:c r="V16" s="167" t="str">
        <x:f>IF(AND(V$6&lt;=$H16,V$6+6&gt;=$G16),1,"")</x:f>
      </x:c>
      <x:c r="W16" s="167" t="str">
        <x:f>IF(AND(W$6&lt;=$H16,W$6+6&gt;=$G16),1,"")</x:f>
      </x:c>
      <x:c r="X16" s="167" t="str">
        <x:f>IF(AND(X$6&lt;=$H16,X$6+6&gt;=$G16),1,"")</x:f>
      </x:c>
      <x:c r="Y16" s="167" t="str">
        <x:f>IF(AND(Y$6&lt;=$H16,Y$6+6&gt;=$G16),1,"")</x:f>
      </x:c>
      <x:c r="Z16" s="167" t="str">
        <x:f>IF(AND(Z$6&lt;=$H16,Z$6+6&gt;=$G16),1,"")</x:f>
      </x:c>
      <x:c r="AA16" s="167" t="str">
        <x:f>IF(AND(AA$6&lt;=$H16,AA$6+6&gt;=$G16),1,"")</x:f>
      </x:c>
      <x:c r="AB16" s="167" t="str">
        <x:f>IF(AND(AB$6&lt;=$H16,AB$6+6&gt;=$G16),1,"")</x:f>
      </x:c>
      <x:c r="AC16" s="167" t="str">
        <x:f>IF(AND(AC$6&lt;=$H16,AC$6+6&gt;=$G16),1,"")</x:f>
      </x:c>
      <x:c r="AD16" s="167" t="str">
        <x:f>IF(AND(AD$6&lt;=$H16,AD$6+6&gt;=$G16),1,"")</x:f>
      </x:c>
      <x:c r="AE16" s="167" t="str">
        <x:f>IF(AND(AE$6&lt;=$H16,AE$6+6&gt;=$G16),1,"")</x:f>
      </x:c>
      <x:c r="AF16" s="167" t="str">
        <x:f>IF(AND(AF$6&lt;=$H16,AF$6+6&gt;=$G16),1,"")</x:f>
      </x:c>
      <x:c r="AG16" s="167" t="str">
        <x:f>IF(AND(AG$6&lt;=$H16,AG$6+6&gt;=$G16),1,"")</x:f>
      </x:c>
      <x:c r="AH16" s="167" t="str">
        <x:f>IF(AND(AH$6&lt;=$H16,AH$6+6&gt;=$G16),1,"")</x:f>
      </x:c>
      <x:c r="AI16" s="167" t="str">
        <x:f>IF(AND(AI$6&lt;=$H16,AI$6+6&gt;=$G16),1,"")</x:f>
      </x:c>
      <x:c r="AJ16" s="167" t="str">
        <x:f>IF(AND(AJ$6&lt;=$H16,AJ$6+6&gt;=$G16),1,"")</x:f>
      </x:c>
      <x:c r="AK16" s="167" t="str">
        <x:f>IF(AND(AK$6&lt;=$H16,AK$6+6&gt;=$G16),1,"")</x:f>
      </x:c>
      <x:c r="AL16" s="167" t="str">
        <x:f>IF(AND(AL$6&lt;=$H16,AL$6+6&gt;=$G16),1,"")</x:f>
      </x:c>
      <x:c r="AM16" s="167" t="str">
        <x:f>IF(AND(AM$6&lt;=$H16,AM$6+6&gt;=$G16),1,"")</x:f>
      </x:c>
      <x:c r="AN16" s="167" t="str">
        <x:f>IF(AND(AN$6&lt;=$H16,AN$6+6&gt;=$G16),1,"")</x:f>
      </x:c>
      <x:c r="AO16" s="167" t="str">
        <x:f>IF(AND(AO$6&lt;=$H16,AO$6+6&gt;=$G16),1,"")</x:f>
      </x:c>
      <x:c r="AP16" s="167" t="str">
        <x:f>IF(AND(AP$6&lt;=$H16,AP$6+6&gt;=$G16),1,"")</x:f>
      </x:c>
      <x:c r="AQ16" s="167" t="str">
        <x:f>IF(AND(AQ$6&lt;=$H16,AQ$6+6&gt;=$G16),1,"")</x:f>
      </x:c>
      <x:c r="AR16" s="167" t="str">
        <x:f>IF(AND(AR$6&lt;=$H16,AR$6+6&gt;=$G16),1,"")</x:f>
      </x:c>
      <x:c r="AS16" s="167" t="str">
        <x:f>IF(AND(AS$6&lt;=$H16,AS$6+6&gt;=$G16),1,"")</x:f>
      </x:c>
      <x:c r="AT16" s="167" t="str">
        <x:f>IF(AND(AT$6&lt;=$H16,AT$6+6&gt;=$G16),1,"")</x:f>
      </x:c>
      <x:c r="AU16" s="167" t="str">
        <x:f>IF(AND(AU$6&lt;=$H16,AU$6+6&gt;=$G16),1,"")</x:f>
      </x:c>
      <x:c r="AV16" s="167" t="str">
        <x:f>IF(AND(AV$6&lt;=$H16,AV$6+6&gt;=$G16),1,"")</x:f>
      </x:c>
      <x:c r="AW16" s="167" t="str">
        <x:f>IF(AND(AW$6&lt;=$H16,AW$6+6&gt;=$G16),1,"")</x:f>
      </x:c>
      <x:c r="AX16" s="167" t="str">
        <x:f>IF(AND(AX$6&lt;=$H16,AX$6+6&gt;=$G16),1,"")</x:f>
      </x:c>
      <x:c r="AY16" s="167" t="str">
        <x:f>IF(AND(AY$6&lt;=$H16,AY$6+6&gt;=$G16),1,"")</x:f>
      </x:c>
      <x:c r="AZ16" s="167" t="str">
        <x:f>IF(AND(AZ$6&lt;=$H16,AZ$6+6&gt;=$G16),1,"")</x:f>
      </x:c>
      <x:c r="BA16" s="167" t="str">
        <x:f>IF(AND(BA$6&lt;=$H16,BA$6+6&gt;=$G16),1,"")</x:f>
      </x:c>
      <x:c r="BB16" s="167" t="str">
        <x:f>IF(AND(BB$6&lt;=$H16,BB$6+6&gt;=$G16),1,"")</x:f>
      </x:c>
      <x:c r="BC16" s="167" t="str">
        <x:f>IF(AND(BC$6&lt;=$H16,BC$6+6&gt;=$G16),1,"")</x:f>
      </x:c>
      <x:c r="BD16" s="167" t="str">
        <x:f>IF(AND(BD$6&lt;=$H16,BD$6+6&gt;=$G16),1,"")</x:f>
      </x:c>
      <x:c r="BE16" s="167" t="str">
        <x:f>IF(AND(BE$6&lt;=$H16,BE$6+6&gt;=$G16),1,"")</x:f>
      </x:c>
      <x:c r="BF16" s="167" t="str">
        <x:f>IF(AND(BF$6&lt;=$H16,BF$6+6&gt;=$G16),1,"")</x:f>
      </x:c>
      <x:c r="BG16" s="167" t="str">
        <x:f>IF(AND(BG$6&lt;=$H16,BG$6+6&gt;=$G16),1,"")</x:f>
      </x:c>
      <x:c r="BH16" s="167" t="str">
        <x:f>IF(AND(BH$6&lt;=$H16,BH$6+6&gt;=$G16),1,"")</x:f>
      </x:c>
      <x:c r="BI16" s="167" t="str">
        <x:f>IF(AND(BI$6&lt;=$H16,BI$6+6&gt;=$G16),1,"")</x:f>
      </x:c>
      <x:c r="BJ16" s="167" t="str">
        <x:f>IF(AND(BJ$6&lt;=$H16,BJ$6+6&gt;=$G16),1,"")</x:f>
      </x:c>
      <x:c r="BK16" s="168" t="str">
        <x:f>IF(AND(BK$6&lt;=$H16,BK$6+6&gt;=$G16),1,"")</x:f>
      </x:c>
    </x:row>
    <x:row r="17" ht="24" customHeight="1">
      <x:c r="A17" s="68" t="str">
        <x:f>'Research Tasks'!A15</x:f>
        <x:v>AI-105</x:v>
      </x:c>
      <x:c r="B17" s="68" t="str">
        <x:f>'Research Tasks'!B15</x:f>
        <x:v>M1</x:v>
      </x:c>
      <x:c r="C17" s="68" t="str">
        <x:f>'Research Tasks'!C15</x:f>
        <x:v>Active Inference/Validation</x:v>
      </x:c>
      <x:c r="D17" s="68" t="str">
        <x:f>'Research Tasks'!D15</x:f>
        <x:v>Verify EFE against enumerated or Monte Carlo references</x:v>
      </x:c>
      <x:c r="E17" s="68" t="str">
        <x:f>'Research Tasks'!E15</x:f>
        <x:v>AI-101, AI-104</x:v>
      </x:c>
      <x:c r="F17" s="68" t="str">
        <x:f>'Research Tasks'!F15</x:f>
        <x:v>Done</x:v>
      </x:c>
      <x:c r="G17" s="94" t="n">
        <x:f>'Research Tasks'!I15</x:f>
        <x:v>46259</x:v>
      </x:c>
      <x:c r="H17" s="94" t="n">
        <x:f>'Research Tasks'!J15</x:f>
        <x:v>46260</x:v>
      </x:c>
      <x:c r="I17" s="166" t="str">
        <x:f>IF(AND(I$6&lt;=$H17,I$6+6&gt;=$G17),1,"")</x:f>
      </x:c>
      <x:c r="J17" s="167" t="str">
        <x:f>IF(AND(J$6&lt;=$H17,J$6+6&gt;=$G17),1,"")</x:f>
      </x:c>
      <x:c r="K17" s="167" t="str">
        <x:f>IF(AND(K$6&lt;=$H17,K$6+6&gt;=$G17),1,"")</x:f>
      </x:c>
      <x:c r="L17" s="167" t="n">
        <x:f>IF(AND(L$6&lt;=$H17,L$6+6&gt;=$G17),1,"")</x:f>
        <x:v>1</x:v>
      </x:c>
      <x:c r="M17" s="167" t="str">
        <x:f>IF(AND(M$6&lt;=$H17,M$6+6&gt;=$G17),1,"")</x:f>
      </x:c>
      <x:c r="N17" s="167" t="str">
        <x:f>IF(AND(N$6&lt;=$H17,N$6+6&gt;=$G17),1,"")</x:f>
      </x:c>
      <x:c r="O17" s="167" t="str">
        <x:f>IF(AND(O$6&lt;=$H17,O$6+6&gt;=$G17),1,"")</x:f>
      </x:c>
      <x:c r="P17" s="167" t="str">
        <x:f>IF(AND(P$6&lt;=$H17,P$6+6&gt;=$G17),1,"")</x:f>
      </x:c>
      <x:c r="Q17" s="167" t="str">
        <x:f>IF(AND(Q$6&lt;=$H17,Q$6+6&gt;=$G17),1,"")</x:f>
      </x:c>
      <x:c r="R17" s="167" t="str">
        <x:f>IF(AND(R$6&lt;=$H17,R$6+6&gt;=$G17),1,"")</x:f>
      </x:c>
      <x:c r="S17" s="167" t="str">
        <x:f>IF(AND(S$6&lt;=$H17,S$6+6&gt;=$G17),1,"")</x:f>
      </x:c>
      <x:c r="T17" s="167" t="str">
        <x:f>IF(AND(T$6&lt;=$H17,T$6+6&gt;=$G17),1,"")</x:f>
      </x:c>
      <x:c r="U17" s="167" t="str">
        <x:f>IF(AND(U$6&lt;=$H17,U$6+6&gt;=$G17),1,"")</x:f>
      </x:c>
      <x:c r="V17" s="167" t="str">
        <x:f>IF(AND(V$6&lt;=$H17,V$6+6&gt;=$G17),1,"")</x:f>
      </x:c>
      <x:c r="W17" s="167" t="str">
        <x:f>IF(AND(W$6&lt;=$H17,W$6+6&gt;=$G17),1,"")</x:f>
      </x:c>
      <x:c r="X17" s="167" t="str">
        <x:f>IF(AND(X$6&lt;=$H17,X$6+6&gt;=$G17),1,"")</x:f>
      </x:c>
      <x:c r="Y17" s="167" t="str">
        <x:f>IF(AND(Y$6&lt;=$H17,Y$6+6&gt;=$G17),1,"")</x:f>
      </x:c>
      <x:c r="Z17" s="167" t="str">
        <x:f>IF(AND(Z$6&lt;=$H17,Z$6+6&gt;=$G17),1,"")</x:f>
      </x:c>
      <x:c r="AA17" s="167" t="str">
        <x:f>IF(AND(AA$6&lt;=$H17,AA$6+6&gt;=$G17),1,"")</x:f>
      </x:c>
      <x:c r="AB17" s="167" t="str">
        <x:f>IF(AND(AB$6&lt;=$H17,AB$6+6&gt;=$G17),1,"")</x:f>
      </x:c>
      <x:c r="AC17" s="167" t="str">
        <x:f>IF(AND(AC$6&lt;=$H17,AC$6+6&gt;=$G17),1,"")</x:f>
      </x:c>
      <x:c r="AD17" s="167" t="str">
        <x:f>IF(AND(AD$6&lt;=$H17,AD$6+6&gt;=$G17),1,"")</x:f>
      </x:c>
      <x:c r="AE17" s="167" t="str">
        <x:f>IF(AND(AE$6&lt;=$H17,AE$6+6&gt;=$G17),1,"")</x:f>
      </x:c>
      <x:c r="AF17" s="167" t="str">
        <x:f>IF(AND(AF$6&lt;=$H17,AF$6+6&gt;=$G17),1,"")</x:f>
      </x:c>
      <x:c r="AG17" s="167" t="str">
        <x:f>IF(AND(AG$6&lt;=$H17,AG$6+6&gt;=$G17),1,"")</x:f>
      </x:c>
      <x:c r="AH17" s="167" t="str">
        <x:f>IF(AND(AH$6&lt;=$H17,AH$6+6&gt;=$G17),1,"")</x:f>
      </x:c>
      <x:c r="AI17" s="167" t="str">
        <x:f>IF(AND(AI$6&lt;=$H17,AI$6+6&gt;=$G17),1,"")</x:f>
      </x:c>
      <x:c r="AJ17" s="167" t="str">
        <x:f>IF(AND(AJ$6&lt;=$H17,AJ$6+6&gt;=$G17),1,"")</x:f>
      </x:c>
      <x:c r="AK17" s="167" t="str">
        <x:f>IF(AND(AK$6&lt;=$H17,AK$6+6&gt;=$G17),1,"")</x:f>
      </x:c>
      <x:c r="AL17" s="167" t="str">
        <x:f>IF(AND(AL$6&lt;=$H17,AL$6+6&gt;=$G17),1,"")</x:f>
      </x:c>
      <x:c r="AM17" s="167" t="str">
        <x:f>IF(AND(AM$6&lt;=$H17,AM$6+6&gt;=$G17),1,"")</x:f>
      </x:c>
      <x:c r="AN17" s="167" t="str">
        <x:f>IF(AND(AN$6&lt;=$H17,AN$6+6&gt;=$G17),1,"")</x:f>
      </x:c>
      <x:c r="AO17" s="167" t="str">
        <x:f>IF(AND(AO$6&lt;=$H17,AO$6+6&gt;=$G17),1,"")</x:f>
      </x:c>
      <x:c r="AP17" s="167" t="str">
        <x:f>IF(AND(AP$6&lt;=$H17,AP$6+6&gt;=$G17),1,"")</x:f>
      </x:c>
      <x:c r="AQ17" s="167" t="str">
        <x:f>IF(AND(AQ$6&lt;=$H17,AQ$6+6&gt;=$G17),1,"")</x:f>
      </x:c>
      <x:c r="AR17" s="167" t="str">
        <x:f>IF(AND(AR$6&lt;=$H17,AR$6+6&gt;=$G17),1,"")</x:f>
      </x:c>
      <x:c r="AS17" s="167" t="str">
        <x:f>IF(AND(AS$6&lt;=$H17,AS$6+6&gt;=$G17),1,"")</x:f>
      </x:c>
      <x:c r="AT17" s="167" t="str">
        <x:f>IF(AND(AT$6&lt;=$H17,AT$6+6&gt;=$G17),1,"")</x:f>
      </x:c>
      <x:c r="AU17" s="167" t="str">
        <x:f>IF(AND(AU$6&lt;=$H17,AU$6+6&gt;=$G17),1,"")</x:f>
      </x:c>
      <x:c r="AV17" s="167" t="str">
        <x:f>IF(AND(AV$6&lt;=$H17,AV$6+6&gt;=$G17),1,"")</x:f>
      </x:c>
      <x:c r="AW17" s="167" t="str">
        <x:f>IF(AND(AW$6&lt;=$H17,AW$6+6&gt;=$G17),1,"")</x:f>
      </x:c>
      <x:c r="AX17" s="167" t="str">
        <x:f>IF(AND(AX$6&lt;=$H17,AX$6+6&gt;=$G17),1,"")</x:f>
      </x:c>
      <x:c r="AY17" s="167" t="str">
        <x:f>IF(AND(AY$6&lt;=$H17,AY$6+6&gt;=$G17),1,"")</x:f>
      </x:c>
      <x:c r="AZ17" s="167" t="str">
        <x:f>IF(AND(AZ$6&lt;=$H17,AZ$6+6&gt;=$G17),1,"")</x:f>
      </x:c>
      <x:c r="BA17" s="167" t="str">
        <x:f>IF(AND(BA$6&lt;=$H17,BA$6+6&gt;=$G17),1,"")</x:f>
      </x:c>
      <x:c r="BB17" s="167" t="str">
        <x:f>IF(AND(BB$6&lt;=$H17,BB$6+6&gt;=$G17),1,"")</x:f>
      </x:c>
      <x:c r="BC17" s="167" t="str">
        <x:f>IF(AND(BC$6&lt;=$H17,BC$6+6&gt;=$G17),1,"")</x:f>
      </x:c>
      <x:c r="BD17" s="167" t="str">
        <x:f>IF(AND(BD$6&lt;=$H17,BD$6+6&gt;=$G17),1,"")</x:f>
      </x:c>
      <x:c r="BE17" s="167" t="str">
        <x:f>IF(AND(BE$6&lt;=$H17,BE$6+6&gt;=$G17),1,"")</x:f>
      </x:c>
      <x:c r="BF17" s="167" t="str">
        <x:f>IF(AND(BF$6&lt;=$H17,BF$6+6&gt;=$G17),1,"")</x:f>
      </x:c>
      <x:c r="BG17" s="167" t="str">
        <x:f>IF(AND(BG$6&lt;=$H17,BG$6+6&gt;=$G17),1,"")</x:f>
      </x:c>
      <x:c r="BH17" s="167" t="str">
        <x:f>IF(AND(BH$6&lt;=$H17,BH$6+6&gt;=$G17),1,"")</x:f>
      </x:c>
      <x:c r="BI17" s="167" t="str">
        <x:f>IF(AND(BI$6&lt;=$H17,BI$6+6&gt;=$G17),1,"")</x:f>
      </x:c>
      <x:c r="BJ17" s="167" t="str">
        <x:f>IF(AND(BJ$6&lt;=$H17,BJ$6+6&gt;=$G17),1,"")</x:f>
      </x:c>
      <x:c r="BK17" s="168" t="str">
        <x:f>IF(AND(BK$6&lt;=$H17,BK$6+6&gt;=$G17),1,"")</x:f>
      </x:c>
    </x:row>
    <x:row r="18" ht="24" customHeight="1">
      <x:c r="A18" s="68" t="str">
        <x:f>'Research Tasks'!A16</x:f>
        <x:v>AI-106</x:v>
      </x:c>
      <x:c r="B18" s="68" t="str">
        <x:f>'Research Tasks'!B16</x:f>
        <x:v>M1</x:v>
      </x:c>
      <x:c r="C18" s="68" t="str">
        <x:f>'Research Tasks'!C16</x:f>
        <x:v>Preferences/Validation</x:v>
      </x:c>
      <x:c r="D18" s="68" t="str">
        <x:f>'Research Tasks'!D16</x:f>
        <x:v>Stress-test terminal coverage and stopping</x:v>
      </x:c>
      <x:c r="E18" s="68" t="str">
        <x:f>'Research Tasks'!E16</x:f>
        <x:v>AI-105</x:v>
      </x:c>
      <x:c r="F18" s="68" t="str">
        <x:f>'Research Tasks'!F16</x:f>
        <x:v>Done</x:v>
      </x:c>
      <x:c r="G18" s="94" t="n">
        <x:f>'Research Tasks'!I16</x:f>
        <x:v>46261</x:v>
      </x:c>
      <x:c r="H18" s="94" t="n">
        <x:f>'Research Tasks'!J16</x:f>
        <x:v>46261</x:v>
      </x:c>
      <x:c r="I18" s="166" t="str">
        <x:f>IF(AND(I$6&lt;=$H18,I$6+6&gt;=$G18),1,"")</x:f>
      </x:c>
      <x:c r="J18" s="167" t="str">
        <x:f>IF(AND(J$6&lt;=$H18,J$6+6&gt;=$G18),1,"")</x:f>
      </x:c>
      <x:c r="K18" s="167" t="str">
        <x:f>IF(AND(K$6&lt;=$H18,K$6+6&gt;=$G18),1,"")</x:f>
      </x:c>
      <x:c r="L18" s="167" t="n">
        <x:f>IF(AND(L$6&lt;=$H18,L$6+6&gt;=$G18),1,"")</x:f>
        <x:v>1</x:v>
      </x:c>
      <x:c r="M18" s="167" t="str">
        <x:f>IF(AND(M$6&lt;=$H18,M$6+6&gt;=$G18),1,"")</x:f>
      </x:c>
      <x:c r="N18" s="167" t="str">
        <x:f>IF(AND(N$6&lt;=$H18,N$6+6&gt;=$G18),1,"")</x:f>
      </x:c>
      <x:c r="O18" s="167" t="str">
        <x:f>IF(AND(O$6&lt;=$H18,O$6+6&gt;=$G18),1,"")</x:f>
      </x:c>
      <x:c r="P18" s="167" t="str">
        <x:f>IF(AND(P$6&lt;=$H18,P$6+6&gt;=$G18),1,"")</x:f>
      </x:c>
      <x:c r="Q18" s="167" t="str">
        <x:f>IF(AND(Q$6&lt;=$H18,Q$6+6&gt;=$G18),1,"")</x:f>
      </x:c>
      <x:c r="R18" s="167" t="str">
        <x:f>IF(AND(R$6&lt;=$H18,R$6+6&gt;=$G18),1,"")</x:f>
      </x:c>
      <x:c r="S18" s="167" t="str">
        <x:f>IF(AND(S$6&lt;=$H18,S$6+6&gt;=$G18),1,"")</x:f>
      </x:c>
      <x:c r="T18" s="167" t="str">
        <x:f>IF(AND(T$6&lt;=$H18,T$6+6&gt;=$G18),1,"")</x:f>
      </x:c>
      <x:c r="U18" s="167" t="str">
        <x:f>IF(AND(U$6&lt;=$H18,U$6+6&gt;=$G18),1,"")</x:f>
      </x:c>
      <x:c r="V18" s="167" t="str">
        <x:f>IF(AND(V$6&lt;=$H18,V$6+6&gt;=$G18),1,"")</x:f>
      </x:c>
      <x:c r="W18" s="167" t="str">
        <x:f>IF(AND(W$6&lt;=$H18,W$6+6&gt;=$G18),1,"")</x:f>
      </x:c>
      <x:c r="X18" s="167" t="str">
        <x:f>IF(AND(X$6&lt;=$H18,X$6+6&gt;=$G18),1,"")</x:f>
      </x:c>
      <x:c r="Y18" s="167" t="str">
        <x:f>IF(AND(Y$6&lt;=$H18,Y$6+6&gt;=$G18),1,"")</x:f>
      </x:c>
      <x:c r="Z18" s="167" t="str">
        <x:f>IF(AND(Z$6&lt;=$H18,Z$6+6&gt;=$G18),1,"")</x:f>
      </x:c>
      <x:c r="AA18" s="167" t="str">
        <x:f>IF(AND(AA$6&lt;=$H18,AA$6+6&gt;=$G18),1,"")</x:f>
      </x:c>
      <x:c r="AB18" s="167" t="str">
        <x:f>IF(AND(AB$6&lt;=$H18,AB$6+6&gt;=$G18),1,"")</x:f>
      </x:c>
      <x:c r="AC18" s="167" t="str">
        <x:f>IF(AND(AC$6&lt;=$H18,AC$6+6&gt;=$G18),1,"")</x:f>
      </x:c>
      <x:c r="AD18" s="167" t="str">
        <x:f>IF(AND(AD$6&lt;=$H18,AD$6+6&gt;=$G18),1,"")</x:f>
      </x:c>
      <x:c r="AE18" s="167" t="str">
        <x:f>IF(AND(AE$6&lt;=$H18,AE$6+6&gt;=$G18),1,"")</x:f>
      </x:c>
      <x:c r="AF18" s="167" t="str">
        <x:f>IF(AND(AF$6&lt;=$H18,AF$6+6&gt;=$G18),1,"")</x:f>
      </x:c>
      <x:c r="AG18" s="167" t="str">
        <x:f>IF(AND(AG$6&lt;=$H18,AG$6+6&gt;=$G18),1,"")</x:f>
      </x:c>
      <x:c r="AH18" s="167" t="str">
        <x:f>IF(AND(AH$6&lt;=$H18,AH$6+6&gt;=$G18),1,"")</x:f>
      </x:c>
      <x:c r="AI18" s="167" t="str">
        <x:f>IF(AND(AI$6&lt;=$H18,AI$6+6&gt;=$G18),1,"")</x:f>
      </x:c>
      <x:c r="AJ18" s="167" t="str">
        <x:f>IF(AND(AJ$6&lt;=$H18,AJ$6+6&gt;=$G18),1,"")</x:f>
      </x:c>
      <x:c r="AK18" s="167" t="str">
        <x:f>IF(AND(AK$6&lt;=$H18,AK$6+6&gt;=$G18),1,"")</x:f>
      </x:c>
      <x:c r="AL18" s="167" t="str">
        <x:f>IF(AND(AL$6&lt;=$H18,AL$6+6&gt;=$G18),1,"")</x:f>
      </x:c>
      <x:c r="AM18" s="167" t="str">
        <x:f>IF(AND(AM$6&lt;=$H18,AM$6+6&gt;=$G18),1,"")</x:f>
      </x:c>
      <x:c r="AN18" s="167" t="str">
        <x:f>IF(AND(AN$6&lt;=$H18,AN$6+6&gt;=$G18),1,"")</x:f>
      </x:c>
      <x:c r="AO18" s="167" t="str">
        <x:f>IF(AND(AO$6&lt;=$H18,AO$6+6&gt;=$G18),1,"")</x:f>
      </x:c>
      <x:c r="AP18" s="167" t="str">
        <x:f>IF(AND(AP$6&lt;=$H18,AP$6+6&gt;=$G18),1,"")</x:f>
      </x:c>
      <x:c r="AQ18" s="167" t="str">
        <x:f>IF(AND(AQ$6&lt;=$H18,AQ$6+6&gt;=$G18),1,"")</x:f>
      </x:c>
      <x:c r="AR18" s="167" t="str">
        <x:f>IF(AND(AR$6&lt;=$H18,AR$6+6&gt;=$G18),1,"")</x:f>
      </x:c>
      <x:c r="AS18" s="167" t="str">
        <x:f>IF(AND(AS$6&lt;=$H18,AS$6+6&gt;=$G18),1,"")</x:f>
      </x:c>
      <x:c r="AT18" s="167" t="str">
        <x:f>IF(AND(AT$6&lt;=$H18,AT$6+6&gt;=$G18),1,"")</x:f>
      </x:c>
      <x:c r="AU18" s="167" t="str">
        <x:f>IF(AND(AU$6&lt;=$H18,AU$6+6&gt;=$G18),1,"")</x:f>
      </x:c>
      <x:c r="AV18" s="167" t="str">
        <x:f>IF(AND(AV$6&lt;=$H18,AV$6+6&gt;=$G18),1,"")</x:f>
      </x:c>
      <x:c r="AW18" s="167" t="str">
        <x:f>IF(AND(AW$6&lt;=$H18,AW$6+6&gt;=$G18),1,"")</x:f>
      </x:c>
      <x:c r="AX18" s="167" t="str">
        <x:f>IF(AND(AX$6&lt;=$H18,AX$6+6&gt;=$G18),1,"")</x:f>
      </x:c>
      <x:c r="AY18" s="167" t="str">
        <x:f>IF(AND(AY$6&lt;=$H18,AY$6+6&gt;=$G18),1,"")</x:f>
      </x:c>
      <x:c r="AZ18" s="167" t="str">
        <x:f>IF(AND(AZ$6&lt;=$H18,AZ$6+6&gt;=$G18),1,"")</x:f>
      </x:c>
      <x:c r="BA18" s="167" t="str">
        <x:f>IF(AND(BA$6&lt;=$H18,BA$6+6&gt;=$G18),1,"")</x:f>
      </x:c>
      <x:c r="BB18" s="167" t="str">
        <x:f>IF(AND(BB$6&lt;=$H18,BB$6+6&gt;=$G18),1,"")</x:f>
      </x:c>
      <x:c r="BC18" s="167" t="str">
        <x:f>IF(AND(BC$6&lt;=$H18,BC$6+6&gt;=$G18),1,"")</x:f>
      </x:c>
      <x:c r="BD18" s="167" t="str">
        <x:f>IF(AND(BD$6&lt;=$H18,BD$6+6&gt;=$G18),1,"")</x:f>
      </x:c>
      <x:c r="BE18" s="167" t="str">
        <x:f>IF(AND(BE$6&lt;=$H18,BE$6+6&gt;=$G18),1,"")</x:f>
      </x:c>
      <x:c r="BF18" s="167" t="str">
        <x:f>IF(AND(BF$6&lt;=$H18,BF$6+6&gt;=$G18),1,"")</x:f>
      </x:c>
      <x:c r="BG18" s="167" t="str">
        <x:f>IF(AND(BG$6&lt;=$H18,BG$6+6&gt;=$G18),1,"")</x:f>
      </x:c>
      <x:c r="BH18" s="167" t="str">
        <x:f>IF(AND(BH$6&lt;=$H18,BH$6+6&gt;=$G18),1,"")</x:f>
      </x:c>
      <x:c r="BI18" s="167" t="str">
        <x:f>IF(AND(BI$6&lt;=$H18,BI$6+6&gt;=$G18),1,"")</x:f>
      </x:c>
      <x:c r="BJ18" s="167" t="str">
        <x:f>IF(AND(BJ$6&lt;=$H18,BJ$6+6&gt;=$G18),1,"")</x:f>
      </x:c>
      <x:c r="BK18" s="168" t="str">
        <x:f>IF(AND(BK$6&lt;=$H18,BK$6+6&gt;=$G18),1,"")</x:f>
      </x:c>
    </x:row>
    <x:row r="19" ht="24" customHeight="1">
      <x:c r="A19" s="68" t="str">
        <x:f>'Research Tasks'!A17</x:f>
        <x:v>AI-111</x:v>
      </x:c>
      <x:c r="B19" s="68" t="str">
        <x:f>'Research Tasks'!B17</x:f>
        <x:v>M1</x:v>
      </x:c>
      <x:c r="C19" s="68" t="str">
        <x:f>'Research Tasks'!C17</x:f>
        <x:v>Policy Inference</x:v>
      </x:c>
      <x:c r="D19" s="68" t="str">
        <x:f>'Research Tasks'!D17</x:f>
        <x:v>Separate proposal distributions from policy priors</x:v>
      </x:c>
      <x:c r="E19" s="68" t="str">
        <x:f>'Research Tasks'!E17</x:f>
        <x:v>AI-101, AI-105</x:v>
      </x:c>
      <x:c r="F19" s="68" t="str">
        <x:f>'Research Tasks'!F17</x:f>
        <x:v>Done</x:v>
      </x:c>
      <x:c r="G19" s="94" t="n">
        <x:f>'Research Tasks'!I17</x:f>
        <x:v>46262</x:v>
      </x:c>
      <x:c r="H19" s="94" t="n">
        <x:f>'Research Tasks'!J17</x:f>
        <x:v>46265</x:v>
      </x:c>
      <x:c r="I19" s="166" t="str">
        <x:f>IF(AND(I$6&lt;=$H19,I$6+6&gt;=$G19),1,"")</x:f>
      </x:c>
      <x:c r="J19" s="167" t="str">
        <x:f>IF(AND(J$6&lt;=$H19,J$6+6&gt;=$G19),1,"")</x:f>
      </x:c>
      <x:c r="K19" s="167" t="str">
        <x:f>IF(AND(K$6&lt;=$H19,K$6+6&gt;=$G19),1,"")</x:f>
      </x:c>
      <x:c r="L19" s="167" t="n">
        <x:f>IF(AND(L$6&lt;=$H19,L$6+6&gt;=$G19),1,"")</x:f>
        <x:v>1</x:v>
      </x:c>
      <x:c r="M19" s="167" t="n">
        <x:f>IF(AND(M$6&lt;=$H19,M$6+6&gt;=$G19),1,"")</x:f>
        <x:v>1</x:v>
      </x:c>
      <x:c r="N19" s="167" t="str">
        <x:f>IF(AND(N$6&lt;=$H19,N$6+6&gt;=$G19),1,"")</x:f>
      </x:c>
      <x:c r="O19" s="167" t="str">
        <x:f>IF(AND(O$6&lt;=$H19,O$6+6&gt;=$G19),1,"")</x:f>
      </x:c>
      <x:c r="P19" s="167" t="str">
        <x:f>IF(AND(P$6&lt;=$H19,P$6+6&gt;=$G19),1,"")</x:f>
      </x:c>
      <x:c r="Q19" s="167" t="str">
        <x:f>IF(AND(Q$6&lt;=$H19,Q$6+6&gt;=$G19),1,"")</x:f>
      </x:c>
      <x:c r="R19" s="167" t="str">
        <x:f>IF(AND(R$6&lt;=$H19,R$6+6&gt;=$G19),1,"")</x:f>
      </x:c>
      <x:c r="S19" s="167" t="str">
        <x:f>IF(AND(S$6&lt;=$H19,S$6+6&gt;=$G19),1,"")</x:f>
      </x:c>
      <x:c r="T19" s="167" t="str">
        <x:f>IF(AND(T$6&lt;=$H19,T$6+6&gt;=$G19),1,"")</x:f>
      </x:c>
      <x:c r="U19" s="167" t="str">
        <x:f>IF(AND(U$6&lt;=$H19,U$6+6&gt;=$G19),1,"")</x:f>
      </x:c>
      <x:c r="V19" s="167" t="str">
        <x:f>IF(AND(V$6&lt;=$H19,V$6+6&gt;=$G19),1,"")</x:f>
      </x:c>
      <x:c r="W19" s="167" t="str">
        <x:f>IF(AND(W$6&lt;=$H19,W$6+6&gt;=$G19),1,"")</x:f>
      </x:c>
      <x:c r="X19" s="167" t="str">
        <x:f>IF(AND(X$6&lt;=$H19,X$6+6&gt;=$G19),1,"")</x:f>
      </x:c>
      <x:c r="Y19" s="167" t="str">
        <x:f>IF(AND(Y$6&lt;=$H19,Y$6+6&gt;=$G19),1,"")</x:f>
      </x:c>
      <x:c r="Z19" s="167" t="str">
        <x:f>IF(AND(Z$6&lt;=$H19,Z$6+6&gt;=$G19),1,"")</x:f>
      </x:c>
      <x:c r="AA19" s="167" t="str">
        <x:f>IF(AND(AA$6&lt;=$H19,AA$6+6&gt;=$G19),1,"")</x:f>
      </x:c>
      <x:c r="AB19" s="167" t="str">
        <x:f>IF(AND(AB$6&lt;=$H19,AB$6+6&gt;=$G19),1,"")</x:f>
      </x:c>
      <x:c r="AC19" s="167" t="str">
        <x:f>IF(AND(AC$6&lt;=$H19,AC$6+6&gt;=$G19),1,"")</x:f>
      </x:c>
      <x:c r="AD19" s="167" t="str">
        <x:f>IF(AND(AD$6&lt;=$H19,AD$6+6&gt;=$G19),1,"")</x:f>
      </x:c>
      <x:c r="AE19" s="167" t="str">
        <x:f>IF(AND(AE$6&lt;=$H19,AE$6+6&gt;=$G19),1,"")</x:f>
      </x:c>
      <x:c r="AF19" s="167" t="str">
        <x:f>IF(AND(AF$6&lt;=$H19,AF$6+6&gt;=$G19),1,"")</x:f>
      </x:c>
      <x:c r="AG19" s="167" t="str">
        <x:f>IF(AND(AG$6&lt;=$H19,AG$6+6&gt;=$G19),1,"")</x:f>
      </x:c>
      <x:c r="AH19" s="167" t="str">
        <x:f>IF(AND(AH$6&lt;=$H19,AH$6+6&gt;=$G19),1,"")</x:f>
      </x:c>
      <x:c r="AI19" s="167" t="str">
        <x:f>IF(AND(AI$6&lt;=$H19,AI$6+6&gt;=$G19),1,"")</x:f>
      </x:c>
      <x:c r="AJ19" s="167" t="str">
        <x:f>IF(AND(AJ$6&lt;=$H19,AJ$6+6&gt;=$G19),1,"")</x:f>
      </x:c>
      <x:c r="AK19" s="167" t="str">
        <x:f>IF(AND(AK$6&lt;=$H19,AK$6+6&gt;=$G19),1,"")</x:f>
      </x:c>
      <x:c r="AL19" s="167" t="str">
        <x:f>IF(AND(AL$6&lt;=$H19,AL$6+6&gt;=$G19),1,"")</x:f>
      </x:c>
      <x:c r="AM19" s="167" t="str">
        <x:f>IF(AND(AM$6&lt;=$H19,AM$6+6&gt;=$G19),1,"")</x:f>
      </x:c>
      <x:c r="AN19" s="167" t="str">
        <x:f>IF(AND(AN$6&lt;=$H19,AN$6+6&gt;=$G19),1,"")</x:f>
      </x:c>
      <x:c r="AO19" s="167" t="str">
        <x:f>IF(AND(AO$6&lt;=$H19,AO$6+6&gt;=$G19),1,"")</x:f>
      </x:c>
      <x:c r="AP19" s="167" t="str">
        <x:f>IF(AND(AP$6&lt;=$H19,AP$6+6&gt;=$G19),1,"")</x:f>
      </x:c>
      <x:c r="AQ19" s="167" t="str">
        <x:f>IF(AND(AQ$6&lt;=$H19,AQ$6+6&gt;=$G19),1,"")</x:f>
      </x:c>
      <x:c r="AR19" s="167" t="str">
        <x:f>IF(AND(AR$6&lt;=$H19,AR$6+6&gt;=$G19),1,"")</x:f>
      </x:c>
      <x:c r="AS19" s="167" t="str">
        <x:f>IF(AND(AS$6&lt;=$H19,AS$6+6&gt;=$G19),1,"")</x:f>
      </x:c>
      <x:c r="AT19" s="167" t="str">
        <x:f>IF(AND(AT$6&lt;=$H19,AT$6+6&gt;=$G19),1,"")</x:f>
      </x:c>
      <x:c r="AU19" s="167" t="str">
        <x:f>IF(AND(AU$6&lt;=$H19,AU$6+6&gt;=$G19),1,"")</x:f>
      </x:c>
      <x:c r="AV19" s="167" t="str">
        <x:f>IF(AND(AV$6&lt;=$H19,AV$6+6&gt;=$G19),1,"")</x:f>
      </x:c>
      <x:c r="AW19" s="167" t="str">
        <x:f>IF(AND(AW$6&lt;=$H19,AW$6+6&gt;=$G19),1,"")</x:f>
      </x:c>
      <x:c r="AX19" s="167" t="str">
        <x:f>IF(AND(AX$6&lt;=$H19,AX$6+6&gt;=$G19),1,"")</x:f>
      </x:c>
      <x:c r="AY19" s="167" t="str">
        <x:f>IF(AND(AY$6&lt;=$H19,AY$6+6&gt;=$G19),1,"")</x:f>
      </x:c>
      <x:c r="AZ19" s="167" t="str">
        <x:f>IF(AND(AZ$6&lt;=$H19,AZ$6+6&gt;=$G19),1,"")</x:f>
      </x:c>
      <x:c r="BA19" s="167" t="str">
        <x:f>IF(AND(BA$6&lt;=$H19,BA$6+6&gt;=$G19),1,"")</x:f>
      </x:c>
      <x:c r="BB19" s="167" t="str">
        <x:f>IF(AND(BB$6&lt;=$H19,BB$6+6&gt;=$G19),1,"")</x:f>
      </x:c>
      <x:c r="BC19" s="167" t="str">
        <x:f>IF(AND(BC$6&lt;=$H19,BC$6+6&gt;=$G19),1,"")</x:f>
      </x:c>
      <x:c r="BD19" s="167" t="str">
        <x:f>IF(AND(BD$6&lt;=$H19,BD$6+6&gt;=$G19),1,"")</x:f>
      </x:c>
      <x:c r="BE19" s="167" t="str">
        <x:f>IF(AND(BE$6&lt;=$H19,BE$6+6&gt;=$G19),1,"")</x:f>
      </x:c>
      <x:c r="BF19" s="167" t="str">
        <x:f>IF(AND(BF$6&lt;=$H19,BF$6+6&gt;=$G19),1,"")</x:f>
      </x:c>
      <x:c r="BG19" s="167" t="str">
        <x:f>IF(AND(BG$6&lt;=$H19,BG$6+6&gt;=$G19),1,"")</x:f>
      </x:c>
      <x:c r="BH19" s="167" t="str">
        <x:f>IF(AND(BH$6&lt;=$H19,BH$6+6&gt;=$G19),1,"")</x:f>
      </x:c>
      <x:c r="BI19" s="167" t="str">
        <x:f>IF(AND(BI$6&lt;=$H19,BI$6+6&gt;=$G19),1,"")</x:f>
      </x:c>
      <x:c r="BJ19" s="167" t="str">
        <x:f>IF(AND(BJ$6&lt;=$H19,BJ$6+6&gt;=$G19),1,"")</x:f>
      </x:c>
      <x:c r="BK19" s="168" t="str">
        <x:f>IF(AND(BK$6&lt;=$H19,BK$6+6&gt;=$G19),1,"")</x:f>
      </x:c>
    </x:row>
    <x:row r="20" ht="24" customHeight="1">
      <x:c r="A20" s="68" t="str">
        <x:f>'Research Tasks'!A18</x:f>
        <x:v>AI-108</x:v>
      </x:c>
      <x:c r="B20" s="68" t="str">
        <x:f>'Research Tasks'!B18</x:f>
        <x:v>M1</x:v>
      </x:c>
      <x:c r="C20" s="68" t="str">
        <x:f>'Research Tasks'!C18</x:f>
        <x:v>Data/Validation</x:v>
      </x:c>
      <x:c r="D20" s="68" t="str">
        <x:f>'Research Tasks'!D18</x:f>
        <x:v>Build a leakage-resistant baseline corpus</x:v>
      </x:c>
      <x:c r="E20" s="68" t="str">
        <x:f>'Research Tasks'!E18</x:f>
        <x:v>AI-102, T-101, T-102</x:v>
      </x:c>
      <x:c r="F20" s="68" t="str">
        <x:f>'Research Tasks'!F18</x:f>
        <x:v>Done</x:v>
      </x:c>
      <x:c r="G20" s="94" t="n">
        <x:f>'Research Tasks'!I18</x:f>
        <x:v>46266</x:v>
      </x:c>
      <x:c r="H20" s="94" t="n">
        <x:f>'Research Tasks'!J18</x:f>
        <x:v>46267</x:v>
      </x:c>
      <x:c r="I20" s="166" t="str">
        <x:f>IF(AND(I$6&lt;=$H20,I$6+6&gt;=$G20),1,"")</x:f>
      </x:c>
      <x:c r="J20" s="167" t="str">
        <x:f>IF(AND(J$6&lt;=$H20,J$6+6&gt;=$G20),1,"")</x:f>
      </x:c>
      <x:c r="K20" s="167" t="str">
        <x:f>IF(AND(K$6&lt;=$H20,K$6+6&gt;=$G20),1,"")</x:f>
      </x:c>
      <x:c r="L20" s="167" t="str">
        <x:f>IF(AND(L$6&lt;=$H20,L$6+6&gt;=$G20),1,"")</x:f>
      </x:c>
      <x:c r="M20" s="167" t="n">
        <x:f>IF(AND(M$6&lt;=$H20,M$6+6&gt;=$G20),1,"")</x:f>
        <x:v>1</x:v>
      </x:c>
      <x:c r="N20" s="167" t="str">
        <x:f>IF(AND(N$6&lt;=$H20,N$6+6&gt;=$G20),1,"")</x:f>
      </x:c>
      <x:c r="O20" s="167" t="str">
        <x:f>IF(AND(O$6&lt;=$H20,O$6+6&gt;=$G20),1,"")</x:f>
      </x:c>
      <x:c r="P20" s="167" t="str">
        <x:f>IF(AND(P$6&lt;=$H20,P$6+6&gt;=$G20),1,"")</x:f>
      </x:c>
      <x:c r="Q20" s="167" t="str">
        <x:f>IF(AND(Q$6&lt;=$H20,Q$6+6&gt;=$G20),1,"")</x:f>
      </x:c>
      <x:c r="R20" s="167" t="str">
        <x:f>IF(AND(R$6&lt;=$H20,R$6+6&gt;=$G20),1,"")</x:f>
      </x:c>
      <x:c r="S20" s="167" t="str">
        <x:f>IF(AND(S$6&lt;=$H20,S$6+6&gt;=$G20),1,"")</x:f>
      </x:c>
      <x:c r="T20" s="167" t="str">
        <x:f>IF(AND(T$6&lt;=$H20,T$6+6&gt;=$G20),1,"")</x:f>
      </x:c>
      <x:c r="U20" s="167" t="str">
        <x:f>IF(AND(U$6&lt;=$H20,U$6+6&gt;=$G20),1,"")</x:f>
      </x:c>
      <x:c r="V20" s="167" t="str">
        <x:f>IF(AND(V$6&lt;=$H20,V$6+6&gt;=$G20),1,"")</x:f>
      </x:c>
      <x:c r="W20" s="167" t="str">
        <x:f>IF(AND(W$6&lt;=$H20,W$6+6&gt;=$G20),1,"")</x:f>
      </x:c>
      <x:c r="X20" s="167" t="str">
        <x:f>IF(AND(X$6&lt;=$H20,X$6+6&gt;=$G20),1,"")</x:f>
      </x:c>
      <x:c r="Y20" s="167" t="str">
        <x:f>IF(AND(Y$6&lt;=$H20,Y$6+6&gt;=$G20),1,"")</x:f>
      </x:c>
      <x:c r="Z20" s="167" t="str">
        <x:f>IF(AND(Z$6&lt;=$H20,Z$6+6&gt;=$G20),1,"")</x:f>
      </x:c>
      <x:c r="AA20" s="167" t="str">
        <x:f>IF(AND(AA$6&lt;=$H20,AA$6+6&gt;=$G20),1,"")</x:f>
      </x:c>
      <x:c r="AB20" s="167" t="str">
        <x:f>IF(AND(AB$6&lt;=$H20,AB$6+6&gt;=$G20),1,"")</x:f>
      </x:c>
      <x:c r="AC20" s="167" t="str">
        <x:f>IF(AND(AC$6&lt;=$H20,AC$6+6&gt;=$G20),1,"")</x:f>
      </x:c>
      <x:c r="AD20" s="167" t="str">
        <x:f>IF(AND(AD$6&lt;=$H20,AD$6+6&gt;=$G20),1,"")</x:f>
      </x:c>
      <x:c r="AE20" s="167" t="str">
        <x:f>IF(AND(AE$6&lt;=$H20,AE$6+6&gt;=$G20),1,"")</x:f>
      </x:c>
      <x:c r="AF20" s="167" t="str">
        <x:f>IF(AND(AF$6&lt;=$H20,AF$6+6&gt;=$G20),1,"")</x:f>
      </x:c>
      <x:c r="AG20" s="167" t="str">
        <x:f>IF(AND(AG$6&lt;=$H20,AG$6+6&gt;=$G20),1,"")</x:f>
      </x:c>
      <x:c r="AH20" s="167" t="str">
        <x:f>IF(AND(AH$6&lt;=$H20,AH$6+6&gt;=$G20),1,"")</x:f>
      </x:c>
      <x:c r="AI20" s="167" t="str">
        <x:f>IF(AND(AI$6&lt;=$H20,AI$6+6&gt;=$G20),1,"")</x:f>
      </x:c>
      <x:c r="AJ20" s="167" t="str">
        <x:f>IF(AND(AJ$6&lt;=$H20,AJ$6+6&gt;=$G20),1,"")</x:f>
      </x:c>
      <x:c r="AK20" s="167" t="str">
        <x:f>IF(AND(AK$6&lt;=$H20,AK$6+6&gt;=$G20),1,"")</x:f>
      </x:c>
      <x:c r="AL20" s="167" t="str">
        <x:f>IF(AND(AL$6&lt;=$H20,AL$6+6&gt;=$G20),1,"")</x:f>
      </x:c>
      <x:c r="AM20" s="167" t="str">
        <x:f>IF(AND(AM$6&lt;=$H20,AM$6+6&gt;=$G20),1,"")</x:f>
      </x:c>
      <x:c r="AN20" s="167" t="str">
        <x:f>IF(AND(AN$6&lt;=$H20,AN$6+6&gt;=$G20),1,"")</x:f>
      </x:c>
      <x:c r="AO20" s="167" t="str">
        <x:f>IF(AND(AO$6&lt;=$H20,AO$6+6&gt;=$G20),1,"")</x:f>
      </x:c>
      <x:c r="AP20" s="167" t="str">
        <x:f>IF(AND(AP$6&lt;=$H20,AP$6+6&gt;=$G20),1,"")</x:f>
      </x:c>
      <x:c r="AQ20" s="167" t="str">
        <x:f>IF(AND(AQ$6&lt;=$H20,AQ$6+6&gt;=$G20),1,"")</x:f>
      </x:c>
      <x:c r="AR20" s="167" t="str">
        <x:f>IF(AND(AR$6&lt;=$H20,AR$6+6&gt;=$G20),1,"")</x:f>
      </x:c>
      <x:c r="AS20" s="167" t="str">
        <x:f>IF(AND(AS$6&lt;=$H20,AS$6+6&gt;=$G20),1,"")</x:f>
      </x:c>
      <x:c r="AT20" s="167" t="str">
        <x:f>IF(AND(AT$6&lt;=$H20,AT$6+6&gt;=$G20),1,"")</x:f>
      </x:c>
      <x:c r="AU20" s="167" t="str">
        <x:f>IF(AND(AU$6&lt;=$H20,AU$6+6&gt;=$G20),1,"")</x:f>
      </x:c>
      <x:c r="AV20" s="167" t="str">
        <x:f>IF(AND(AV$6&lt;=$H20,AV$6+6&gt;=$G20),1,"")</x:f>
      </x:c>
      <x:c r="AW20" s="167" t="str">
        <x:f>IF(AND(AW$6&lt;=$H20,AW$6+6&gt;=$G20),1,"")</x:f>
      </x:c>
      <x:c r="AX20" s="167" t="str">
        <x:f>IF(AND(AX$6&lt;=$H20,AX$6+6&gt;=$G20),1,"")</x:f>
      </x:c>
      <x:c r="AY20" s="167" t="str">
        <x:f>IF(AND(AY$6&lt;=$H20,AY$6+6&gt;=$G20),1,"")</x:f>
      </x:c>
      <x:c r="AZ20" s="167" t="str">
        <x:f>IF(AND(AZ$6&lt;=$H20,AZ$6+6&gt;=$G20),1,"")</x:f>
      </x:c>
      <x:c r="BA20" s="167" t="str">
        <x:f>IF(AND(BA$6&lt;=$H20,BA$6+6&gt;=$G20),1,"")</x:f>
      </x:c>
      <x:c r="BB20" s="167" t="str">
        <x:f>IF(AND(BB$6&lt;=$H20,BB$6+6&gt;=$G20),1,"")</x:f>
      </x:c>
      <x:c r="BC20" s="167" t="str">
        <x:f>IF(AND(BC$6&lt;=$H20,BC$6+6&gt;=$G20),1,"")</x:f>
      </x:c>
      <x:c r="BD20" s="167" t="str">
        <x:f>IF(AND(BD$6&lt;=$H20,BD$6+6&gt;=$G20),1,"")</x:f>
      </x:c>
      <x:c r="BE20" s="167" t="str">
        <x:f>IF(AND(BE$6&lt;=$H20,BE$6+6&gt;=$G20),1,"")</x:f>
      </x:c>
      <x:c r="BF20" s="167" t="str">
        <x:f>IF(AND(BF$6&lt;=$H20,BF$6+6&gt;=$G20),1,"")</x:f>
      </x:c>
      <x:c r="BG20" s="167" t="str">
        <x:f>IF(AND(BG$6&lt;=$H20,BG$6+6&gt;=$G20),1,"")</x:f>
      </x:c>
      <x:c r="BH20" s="167" t="str">
        <x:f>IF(AND(BH$6&lt;=$H20,BH$6+6&gt;=$G20),1,"")</x:f>
      </x:c>
      <x:c r="BI20" s="167" t="str">
        <x:f>IF(AND(BI$6&lt;=$H20,BI$6+6&gt;=$G20),1,"")</x:f>
      </x:c>
      <x:c r="BJ20" s="167" t="str">
        <x:f>IF(AND(BJ$6&lt;=$H20,BJ$6+6&gt;=$G20),1,"")</x:f>
      </x:c>
      <x:c r="BK20" s="168" t="str">
        <x:f>IF(AND(BK$6&lt;=$H20,BK$6+6&gt;=$G20),1,"")</x:f>
      </x:c>
    </x:row>
    <x:row r="21" ht="24" customHeight="1">
      <x:c r="A21" s="68" t="str">
        <x:f>'Research Tasks'!A19</x:f>
        <x:v>AI-107</x:v>
      </x:c>
      <x:c r="B21" s="68" t="str">
        <x:f>'Research Tasks'!B19</x:f>
        <x:v>M1</x:v>
      </x:c>
      <x:c r="C21" s="68" t="str">
        <x:f>'Research Tasks'!C19</x:f>
        <x:v>Uncertainty</x:v>
      </x:c>
      <x:c r="D21" s="68" t="str">
        <x:f>'Research Tasks'!D19</x:f>
        <x:v>Calibrate transition and precision approximations</x:v>
      </x:c>
      <x:c r="E21" s="68" t="str">
        <x:f>'Research Tasks'!E19</x:f>
        <x:v>AI-103, AI-108</x:v>
      </x:c>
      <x:c r="F21" s="68" t="str">
        <x:f>'Research Tasks'!F19</x:f>
        <x:v>Done</x:v>
      </x:c>
      <x:c r="G21" s="94" t="n">
        <x:f>'Research Tasks'!I19</x:f>
        <x:v>46268</x:v>
      </x:c>
      <x:c r="H21" s="94" t="n">
        <x:f>'Research Tasks'!J19</x:f>
        <x:v>46269</x:v>
      </x:c>
      <x:c r="I21" s="166" t="str">
        <x:f>IF(AND(I$6&lt;=$H21,I$6+6&gt;=$G21),1,"")</x:f>
      </x:c>
      <x:c r="J21" s="167" t="str">
        <x:f>IF(AND(J$6&lt;=$H21,J$6+6&gt;=$G21),1,"")</x:f>
      </x:c>
      <x:c r="K21" s="167" t="str">
        <x:f>IF(AND(K$6&lt;=$H21,K$6+6&gt;=$G21),1,"")</x:f>
      </x:c>
      <x:c r="L21" s="167" t="str">
        <x:f>IF(AND(L$6&lt;=$H21,L$6+6&gt;=$G21),1,"")</x:f>
      </x:c>
      <x:c r="M21" s="167" t="n">
        <x:f>IF(AND(M$6&lt;=$H21,M$6+6&gt;=$G21),1,"")</x:f>
        <x:v>1</x:v>
      </x:c>
      <x:c r="N21" s="167" t="str">
        <x:f>IF(AND(N$6&lt;=$H21,N$6+6&gt;=$G21),1,"")</x:f>
      </x:c>
      <x:c r="O21" s="167" t="str">
        <x:f>IF(AND(O$6&lt;=$H21,O$6+6&gt;=$G21),1,"")</x:f>
      </x:c>
      <x:c r="P21" s="167" t="str">
        <x:f>IF(AND(P$6&lt;=$H21,P$6+6&gt;=$G21),1,"")</x:f>
      </x:c>
      <x:c r="Q21" s="167" t="str">
        <x:f>IF(AND(Q$6&lt;=$H21,Q$6+6&gt;=$G21),1,"")</x:f>
      </x:c>
      <x:c r="R21" s="167" t="str">
        <x:f>IF(AND(R$6&lt;=$H21,R$6+6&gt;=$G21),1,"")</x:f>
      </x:c>
      <x:c r="S21" s="167" t="str">
        <x:f>IF(AND(S$6&lt;=$H21,S$6+6&gt;=$G21),1,"")</x:f>
      </x:c>
      <x:c r="T21" s="167" t="str">
        <x:f>IF(AND(T$6&lt;=$H21,T$6+6&gt;=$G21),1,"")</x:f>
      </x:c>
      <x:c r="U21" s="167" t="str">
        <x:f>IF(AND(U$6&lt;=$H21,U$6+6&gt;=$G21),1,"")</x:f>
      </x:c>
      <x:c r="V21" s="167" t="str">
        <x:f>IF(AND(V$6&lt;=$H21,V$6+6&gt;=$G21),1,"")</x:f>
      </x:c>
      <x:c r="W21" s="167" t="str">
        <x:f>IF(AND(W$6&lt;=$H21,W$6+6&gt;=$G21),1,"")</x:f>
      </x:c>
      <x:c r="X21" s="167" t="str">
        <x:f>IF(AND(X$6&lt;=$H21,X$6+6&gt;=$G21),1,"")</x:f>
      </x:c>
      <x:c r="Y21" s="167" t="str">
        <x:f>IF(AND(Y$6&lt;=$H21,Y$6+6&gt;=$G21),1,"")</x:f>
      </x:c>
      <x:c r="Z21" s="167" t="str">
        <x:f>IF(AND(Z$6&lt;=$H21,Z$6+6&gt;=$G21),1,"")</x:f>
      </x:c>
      <x:c r="AA21" s="167" t="str">
        <x:f>IF(AND(AA$6&lt;=$H21,AA$6+6&gt;=$G21),1,"")</x:f>
      </x:c>
      <x:c r="AB21" s="167" t="str">
        <x:f>IF(AND(AB$6&lt;=$H21,AB$6+6&gt;=$G21),1,"")</x:f>
      </x:c>
      <x:c r="AC21" s="167" t="str">
        <x:f>IF(AND(AC$6&lt;=$H21,AC$6+6&gt;=$G21),1,"")</x:f>
      </x:c>
      <x:c r="AD21" s="167" t="str">
        <x:f>IF(AND(AD$6&lt;=$H21,AD$6+6&gt;=$G21),1,"")</x:f>
      </x:c>
      <x:c r="AE21" s="167" t="str">
        <x:f>IF(AND(AE$6&lt;=$H21,AE$6+6&gt;=$G21),1,"")</x:f>
      </x:c>
      <x:c r="AF21" s="167" t="str">
        <x:f>IF(AND(AF$6&lt;=$H21,AF$6+6&gt;=$G21),1,"")</x:f>
      </x:c>
      <x:c r="AG21" s="167" t="str">
        <x:f>IF(AND(AG$6&lt;=$H21,AG$6+6&gt;=$G21),1,"")</x:f>
      </x:c>
      <x:c r="AH21" s="167" t="str">
        <x:f>IF(AND(AH$6&lt;=$H21,AH$6+6&gt;=$G21),1,"")</x:f>
      </x:c>
      <x:c r="AI21" s="167" t="str">
        <x:f>IF(AND(AI$6&lt;=$H21,AI$6+6&gt;=$G21),1,"")</x:f>
      </x:c>
      <x:c r="AJ21" s="167" t="str">
        <x:f>IF(AND(AJ$6&lt;=$H21,AJ$6+6&gt;=$G21),1,"")</x:f>
      </x:c>
      <x:c r="AK21" s="167" t="str">
        <x:f>IF(AND(AK$6&lt;=$H21,AK$6+6&gt;=$G21),1,"")</x:f>
      </x:c>
      <x:c r="AL21" s="167" t="str">
        <x:f>IF(AND(AL$6&lt;=$H21,AL$6+6&gt;=$G21),1,"")</x:f>
      </x:c>
      <x:c r="AM21" s="167" t="str">
        <x:f>IF(AND(AM$6&lt;=$H21,AM$6+6&gt;=$G21),1,"")</x:f>
      </x:c>
      <x:c r="AN21" s="167" t="str">
        <x:f>IF(AND(AN$6&lt;=$H21,AN$6+6&gt;=$G21),1,"")</x:f>
      </x:c>
      <x:c r="AO21" s="167" t="str">
        <x:f>IF(AND(AO$6&lt;=$H21,AO$6+6&gt;=$G21),1,"")</x:f>
      </x:c>
      <x:c r="AP21" s="167" t="str">
        <x:f>IF(AND(AP$6&lt;=$H21,AP$6+6&gt;=$G21),1,"")</x:f>
      </x:c>
      <x:c r="AQ21" s="167" t="str">
        <x:f>IF(AND(AQ$6&lt;=$H21,AQ$6+6&gt;=$G21),1,"")</x:f>
      </x:c>
      <x:c r="AR21" s="167" t="str">
        <x:f>IF(AND(AR$6&lt;=$H21,AR$6+6&gt;=$G21),1,"")</x:f>
      </x:c>
      <x:c r="AS21" s="167" t="str">
        <x:f>IF(AND(AS$6&lt;=$H21,AS$6+6&gt;=$G21),1,"")</x:f>
      </x:c>
      <x:c r="AT21" s="167" t="str">
        <x:f>IF(AND(AT$6&lt;=$H21,AT$6+6&gt;=$G21),1,"")</x:f>
      </x:c>
      <x:c r="AU21" s="167" t="str">
        <x:f>IF(AND(AU$6&lt;=$H21,AU$6+6&gt;=$G21),1,"")</x:f>
      </x:c>
      <x:c r="AV21" s="167" t="str">
        <x:f>IF(AND(AV$6&lt;=$H21,AV$6+6&gt;=$G21),1,"")</x:f>
      </x:c>
      <x:c r="AW21" s="167" t="str">
        <x:f>IF(AND(AW$6&lt;=$H21,AW$6+6&gt;=$G21),1,"")</x:f>
      </x:c>
      <x:c r="AX21" s="167" t="str">
        <x:f>IF(AND(AX$6&lt;=$H21,AX$6+6&gt;=$G21),1,"")</x:f>
      </x:c>
      <x:c r="AY21" s="167" t="str">
        <x:f>IF(AND(AY$6&lt;=$H21,AY$6+6&gt;=$G21),1,"")</x:f>
      </x:c>
      <x:c r="AZ21" s="167" t="str">
        <x:f>IF(AND(AZ$6&lt;=$H21,AZ$6+6&gt;=$G21),1,"")</x:f>
      </x:c>
      <x:c r="BA21" s="167" t="str">
        <x:f>IF(AND(BA$6&lt;=$H21,BA$6+6&gt;=$G21),1,"")</x:f>
      </x:c>
      <x:c r="BB21" s="167" t="str">
        <x:f>IF(AND(BB$6&lt;=$H21,BB$6+6&gt;=$G21),1,"")</x:f>
      </x:c>
      <x:c r="BC21" s="167" t="str">
        <x:f>IF(AND(BC$6&lt;=$H21,BC$6+6&gt;=$G21),1,"")</x:f>
      </x:c>
      <x:c r="BD21" s="167" t="str">
        <x:f>IF(AND(BD$6&lt;=$H21,BD$6+6&gt;=$G21),1,"")</x:f>
      </x:c>
      <x:c r="BE21" s="167" t="str">
        <x:f>IF(AND(BE$6&lt;=$H21,BE$6+6&gt;=$G21),1,"")</x:f>
      </x:c>
      <x:c r="BF21" s="167" t="str">
        <x:f>IF(AND(BF$6&lt;=$H21,BF$6+6&gt;=$G21),1,"")</x:f>
      </x:c>
      <x:c r="BG21" s="167" t="str">
        <x:f>IF(AND(BG$6&lt;=$H21,BG$6+6&gt;=$G21),1,"")</x:f>
      </x:c>
      <x:c r="BH21" s="167" t="str">
        <x:f>IF(AND(BH$6&lt;=$H21,BH$6+6&gt;=$G21),1,"")</x:f>
      </x:c>
      <x:c r="BI21" s="167" t="str">
        <x:f>IF(AND(BI$6&lt;=$H21,BI$6+6&gt;=$G21),1,"")</x:f>
      </x:c>
      <x:c r="BJ21" s="167" t="str">
        <x:f>IF(AND(BJ$6&lt;=$H21,BJ$6+6&gt;=$G21),1,"")</x:f>
      </x:c>
      <x:c r="BK21" s="168" t="str">
        <x:f>IF(AND(BK$6&lt;=$H21,BK$6+6&gt;=$G21),1,"")</x:f>
      </x:c>
    </x:row>
    <x:row r="22" ht="24" customHeight="1">
      <x:c r="A22" s="68" t="str">
        <x:f>'Research Tasks'!A20</x:f>
        <x:v>AI-109</x:v>
      </x:c>
      <x:c r="B22" s="68" t="str">
        <x:f>'Research Tasks'!B20</x:f>
        <x:v>M1</x:v>
      </x:c>
      <x:c r="C22" s="68" t="str">
        <x:f>'Research Tasks'!C20</x:f>
        <x:v>Modeling/Validation</x:v>
      </x:c>
      <x:c r="D22" s="68" t="str">
        <x:f>'Research Tasks'!D20</x:f>
        <x:v>Establish predictive learning curves</x:v>
      </x:c>
      <x:c r="E22" s="68" t="str">
        <x:f>'Research Tasks'!E20</x:f>
        <x:v>AI-107, AI-108</x:v>
      </x:c>
      <x:c r="F22" s="68" t="str">
        <x:f>'Research Tasks'!F20</x:f>
        <x:v>Active</x:v>
      </x:c>
      <x:c r="G22" s="94" t="n">
        <x:f>'Research Tasks'!I20</x:f>
        <x:v>46272</x:v>
      </x:c>
      <x:c r="H22" s="94" t="n">
        <x:f>'Research Tasks'!J20</x:f>
        <x:v>46273</x:v>
      </x:c>
      <x:c r="I22" s="166" t="str">
        <x:f>IF(AND(I$6&lt;=$H22,I$6+6&gt;=$G22),1,"")</x:f>
      </x:c>
      <x:c r="J22" s="167" t="str">
        <x:f>IF(AND(J$6&lt;=$H22,J$6+6&gt;=$G22),1,"")</x:f>
      </x:c>
      <x:c r="K22" s="167" t="str">
        <x:f>IF(AND(K$6&lt;=$H22,K$6+6&gt;=$G22),1,"")</x:f>
      </x:c>
      <x:c r="L22" s="167" t="str">
        <x:f>IF(AND(L$6&lt;=$H22,L$6+6&gt;=$G22),1,"")</x:f>
      </x:c>
      <x:c r="M22" s="167" t="str">
        <x:f>IF(AND(M$6&lt;=$H22,M$6+6&gt;=$G22),1,"")</x:f>
      </x:c>
      <x:c r="N22" s="167" t="n">
        <x:f>IF(AND(N$6&lt;=$H22,N$6+6&gt;=$G22),1,"")</x:f>
        <x:v>1</x:v>
      </x:c>
      <x:c r="O22" s="167" t="str">
        <x:f>IF(AND(O$6&lt;=$H22,O$6+6&gt;=$G22),1,"")</x:f>
      </x:c>
      <x:c r="P22" s="167" t="str">
        <x:f>IF(AND(P$6&lt;=$H22,P$6+6&gt;=$G22),1,"")</x:f>
      </x:c>
      <x:c r="Q22" s="167" t="str">
        <x:f>IF(AND(Q$6&lt;=$H22,Q$6+6&gt;=$G22),1,"")</x:f>
      </x:c>
      <x:c r="R22" s="167" t="str">
        <x:f>IF(AND(R$6&lt;=$H22,R$6+6&gt;=$G22),1,"")</x:f>
      </x:c>
      <x:c r="S22" s="167" t="str">
        <x:f>IF(AND(S$6&lt;=$H22,S$6+6&gt;=$G22),1,"")</x:f>
      </x:c>
      <x:c r="T22" s="167" t="str">
        <x:f>IF(AND(T$6&lt;=$H22,T$6+6&gt;=$G22),1,"")</x:f>
      </x:c>
      <x:c r="U22" s="167" t="str">
        <x:f>IF(AND(U$6&lt;=$H22,U$6+6&gt;=$G22),1,"")</x:f>
      </x:c>
      <x:c r="V22" s="167" t="str">
        <x:f>IF(AND(V$6&lt;=$H22,V$6+6&gt;=$G22),1,"")</x:f>
      </x:c>
      <x:c r="W22" s="167" t="str">
        <x:f>IF(AND(W$6&lt;=$H22,W$6+6&gt;=$G22),1,"")</x:f>
      </x:c>
      <x:c r="X22" s="167" t="str">
        <x:f>IF(AND(X$6&lt;=$H22,X$6+6&gt;=$G22),1,"")</x:f>
      </x:c>
      <x:c r="Y22" s="167" t="str">
        <x:f>IF(AND(Y$6&lt;=$H22,Y$6+6&gt;=$G22),1,"")</x:f>
      </x:c>
      <x:c r="Z22" s="167" t="str">
        <x:f>IF(AND(Z$6&lt;=$H22,Z$6+6&gt;=$G22),1,"")</x:f>
      </x:c>
      <x:c r="AA22" s="167" t="str">
        <x:f>IF(AND(AA$6&lt;=$H22,AA$6+6&gt;=$G22),1,"")</x:f>
      </x:c>
      <x:c r="AB22" s="167" t="str">
        <x:f>IF(AND(AB$6&lt;=$H22,AB$6+6&gt;=$G22),1,"")</x:f>
      </x:c>
      <x:c r="AC22" s="167" t="str">
        <x:f>IF(AND(AC$6&lt;=$H22,AC$6+6&gt;=$G22),1,"")</x:f>
      </x:c>
      <x:c r="AD22" s="167" t="str">
        <x:f>IF(AND(AD$6&lt;=$H22,AD$6+6&gt;=$G22),1,"")</x:f>
      </x:c>
      <x:c r="AE22" s="167" t="str">
        <x:f>IF(AND(AE$6&lt;=$H22,AE$6+6&gt;=$G22),1,"")</x:f>
      </x:c>
      <x:c r="AF22" s="167" t="str">
        <x:f>IF(AND(AF$6&lt;=$H22,AF$6+6&gt;=$G22),1,"")</x:f>
      </x:c>
      <x:c r="AG22" s="167" t="str">
        <x:f>IF(AND(AG$6&lt;=$H22,AG$6+6&gt;=$G22),1,"")</x:f>
      </x:c>
      <x:c r="AH22" s="167" t="str">
        <x:f>IF(AND(AH$6&lt;=$H22,AH$6+6&gt;=$G22),1,"")</x:f>
      </x:c>
      <x:c r="AI22" s="167" t="str">
        <x:f>IF(AND(AI$6&lt;=$H22,AI$6+6&gt;=$G22),1,"")</x:f>
      </x:c>
      <x:c r="AJ22" s="167" t="str">
        <x:f>IF(AND(AJ$6&lt;=$H22,AJ$6+6&gt;=$G22),1,"")</x:f>
      </x:c>
      <x:c r="AK22" s="167" t="str">
        <x:f>IF(AND(AK$6&lt;=$H22,AK$6+6&gt;=$G22),1,"")</x:f>
      </x:c>
      <x:c r="AL22" s="167" t="str">
        <x:f>IF(AND(AL$6&lt;=$H22,AL$6+6&gt;=$G22),1,"")</x:f>
      </x:c>
      <x:c r="AM22" s="167" t="str">
        <x:f>IF(AND(AM$6&lt;=$H22,AM$6+6&gt;=$G22),1,"")</x:f>
      </x:c>
      <x:c r="AN22" s="167" t="str">
        <x:f>IF(AND(AN$6&lt;=$H22,AN$6+6&gt;=$G22),1,"")</x:f>
      </x:c>
      <x:c r="AO22" s="167" t="str">
        <x:f>IF(AND(AO$6&lt;=$H22,AO$6+6&gt;=$G22),1,"")</x:f>
      </x:c>
      <x:c r="AP22" s="167" t="str">
        <x:f>IF(AND(AP$6&lt;=$H22,AP$6+6&gt;=$G22),1,"")</x:f>
      </x:c>
      <x:c r="AQ22" s="167" t="str">
        <x:f>IF(AND(AQ$6&lt;=$H22,AQ$6+6&gt;=$G22),1,"")</x:f>
      </x:c>
      <x:c r="AR22" s="167" t="str">
        <x:f>IF(AND(AR$6&lt;=$H22,AR$6+6&gt;=$G22),1,"")</x:f>
      </x:c>
      <x:c r="AS22" s="167" t="str">
        <x:f>IF(AND(AS$6&lt;=$H22,AS$6+6&gt;=$G22),1,"")</x:f>
      </x:c>
      <x:c r="AT22" s="167" t="str">
        <x:f>IF(AND(AT$6&lt;=$H22,AT$6+6&gt;=$G22),1,"")</x:f>
      </x:c>
      <x:c r="AU22" s="167" t="str">
        <x:f>IF(AND(AU$6&lt;=$H22,AU$6+6&gt;=$G22),1,"")</x:f>
      </x:c>
      <x:c r="AV22" s="167" t="str">
        <x:f>IF(AND(AV$6&lt;=$H22,AV$6+6&gt;=$G22),1,"")</x:f>
      </x:c>
      <x:c r="AW22" s="167" t="str">
        <x:f>IF(AND(AW$6&lt;=$H22,AW$6+6&gt;=$G22),1,"")</x:f>
      </x:c>
      <x:c r="AX22" s="167" t="str">
        <x:f>IF(AND(AX$6&lt;=$H22,AX$6+6&gt;=$G22),1,"")</x:f>
      </x:c>
      <x:c r="AY22" s="167" t="str">
        <x:f>IF(AND(AY$6&lt;=$H22,AY$6+6&gt;=$G22),1,"")</x:f>
      </x:c>
      <x:c r="AZ22" s="167" t="str">
        <x:f>IF(AND(AZ$6&lt;=$H22,AZ$6+6&gt;=$G22),1,"")</x:f>
      </x:c>
      <x:c r="BA22" s="167" t="str">
        <x:f>IF(AND(BA$6&lt;=$H22,BA$6+6&gt;=$G22),1,"")</x:f>
      </x:c>
      <x:c r="BB22" s="167" t="str">
        <x:f>IF(AND(BB$6&lt;=$H22,BB$6+6&gt;=$G22),1,"")</x:f>
      </x:c>
      <x:c r="BC22" s="167" t="str">
        <x:f>IF(AND(BC$6&lt;=$H22,BC$6+6&gt;=$G22),1,"")</x:f>
      </x:c>
      <x:c r="BD22" s="167" t="str">
        <x:f>IF(AND(BD$6&lt;=$H22,BD$6+6&gt;=$G22),1,"")</x:f>
      </x:c>
      <x:c r="BE22" s="167" t="str">
        <x:f>IF(AND(BE$6&lt;=$H22,BE$6+6&gt;=$G22),1,"")</x:f>
      </x:c>
      <x:c r="BF22" s="167" t="str">
        <x:f>IF(AND(BF$6&lt;=$H22,BF$6+6&gt;=$G22),1,"")</x:f>
      </x:c>
      <x:c r="BG22" s="167" t="str">
        <x:f>IF(AND(BG$6&lt;=$H22,BG$6+6&gt;=$G22),1,"")</x:f>
      </x:c>
      <x:c r="BH22" s="167" t="str">
        <x:f>IF(AND(BH$6&lt;=$H22,BH$6+6&gt;=$G22),1,"")</x:f>
      </x:c>
      <x:c r="BI22" s="167" t="str">
        <x:f>IF(AND(BI$6&lt;=$H22,BI$6+6&gt;=$G22),1,"")</x:f>
      </x:c>
      <x:c r="BJ22" s="167" t="str">
        <x:f>IF(AND(BJ$6&lt;=$H22,BJ$6+6&gt;=$G22),1,"")</x:f>
      </x:c>
      <x:c r="BK22" s="168" t="str">
        <x:f>IF(AND(BK$6&lt;=$H22,BK$6+6&gt;=$G22),1,"")</x:f>
      </x:c>
    </x:row>
    <x:row r="23" ht="24" customHeight="1">
      <x:c r="A23" s="68" t="str">
        <x:f>'Research Tasks'!A21</x:f>
        <x:v>AI-112</x:v>
      </x:c>
      <x:c r="B23" s="68" t="str">
        <x:f>'Research Tasks'!B21</x:f>
        <x:v>M1</x:v>
      </x:c>
      <x:c r="C23" s="68" t="str">
        <x:f>'Research Tasks'!C21</x:f>
        <x:v>Continual Learning/Research Ops</x:v>
      </x:c>
      <x:c r="D23" s="68" t="str">
        <x:f>'Research Tasks'!D21</x:f>
        <x:v>Define online learning and inheritance semantics</x:v>
      </x:c>
      <x:c r="E23" s="68" t="str">
        <x:f>'Research Tasks'!E21</x:f>
        <x:v>AI-101, AI-108</x:v>
      </x:c>
      <x:c r="F23" s="68" t="str">
        <x:f>'Research Tasks'!F21</x:f>
        <x:v>Ready</x:v>
      </x:c>
      <x:c r="G23" s="94" t="n">
        <x:f>'Research Tasks'!I21</x:f>
        <x:v>46274</x:v>
      </x:c>
      <x:c r="H23" s="94" t="n">
        <x:f>'Research Tasks'!J21</x:f>
        <x:v>46274</x:v>
      </x:c>
      <x:c r="I23" s="166" t="str">
        <x:f>IF(AND(I$6&lt;=$H23,I$6+6&gt;=$G23),1,"")</x:f>
      </x:c>
      <x:c r="J23" s="167" t="str">
        <x:f>IF(AND(J$6&lt;=$H23,J$6+6&gt;=$G23),1,"")</x:f>
      </x:c>
      <x:c r="K23" s="167" t="str">
        <x:f>IF(AND(K$6&lt;=$H23,K$6+6&gt;=$G23),1,"")</x:f>
      </x:c>
      <x:c r="L23" s="167" t="str">
        <x:f>IF(AND(L$6&lt;=$H23,L$6+6&gt;=$G23),1,"")</x:f>
      </x:c>
      <x:c r="M23" s="167" t="str">
        <x:f>IF(AND(M$6&lt;=$H23,M$6+6&gt;=$G23),1,"")</x:f>
      </x:c>
      <x:c r="N23" s="167" t="n">
        <x:f>IF(AND(N$6&lt;=$H23,N$6+6&gt;=$G23),1,"")</x:f>
        <x:v>1</x:v>
      </x:c>
      <x:c r="O23" s="167" t="str">
        <x:f>IF(AND(O$6&lt;=$H23,O$6+6&gt;=$G23),1,"")</x:f>
      </x:c>
      <x:c r="P23" s="167" t="str">
        <x:f>IF(AND(P$6&lt;=$H23,P$6+6&gt;=$G23),1,"")</x:f>
      </x:c>
      <x:c r="Q23" s="167" t="str">
        <x:f>IF(AND(Q$6&lt;=$H23,Q$6+6&gt;=$G23),1,"")</x:f>
      </x:c>
      <x:c r="R23" s="167" t="str">
        <x:f>IF(AND(R$6&lt;=$H23,R$6+6&gt;=$G23),1,"")</x:f>
      </x:c>
      <x:c r="S23" s="167" t="str">
        <x:f>IF(AND(S$6&lt;=$H23,S$6+6&gt;=$G23),1,"")</x:f>
      </x:c>
      <x:c r="T23" s="167" t="str">
        <x:f>IF(AND(T$6&lt;=$H23,T$6+6&gt;=$G23),1,"")</x:f>
      </x:c>
      <x:c r="U23" s="167" t="str">
        <x:f>IF(AND(U$6&lt;=$H23,U$6+6&gt;=$G23),1,"")</x:f>
      </x:c>
      <x:c r="V23" s="167" t="str">
        <x:f>IF(AND(V$6&lt;=$H23,V$6+6&gt;=$G23),1,"")</x:f>
      </x:c>
      <x:c r="W23" s="167" t="str">
        <x:f>IF(AND(W$6&lt;=$H23,W$6+6&gt;=$G23),1,"")</x:f>
      </x:c>
      <x:c r="X23" s="167" t="str">
        <x:f>IF(AND(X$6&lt;=$H23,X$6+6&gt;=$G23),1,"")</x:f>
      </x:c>
      <x:c r="Y23" s="167" t="str">
        <x:f>IF(AND(Y$6&lt;=$H23,Y$6+6&gt;=$G23),1,"")</x:f>
      </x:c>
      <x:c r="Z23" s="167" t="str">
        <x:f>IF(AND(Z$6&lt;=$H23,Z$6+6&gt;=$G23),1,"")</x:f>
      </x:c>
      <x:c r="AA23" s="167" t="str">
        <x:f>IF(AND(AA$6&lt;=$H23,AA$6+6&gt;=$G23),1,"")</x:f>
      </x:c>
      <x:c r="AB23" s="167" t="str">
        <x:f>IF(AND(AB$6&lt;=$H23,AB$6+6&gt;=$G23),1,"")</x:f>
      </x:c>
      <x:c r="AC23" s="167" t="str">
        <x:f>IF(AND(AC$6&lt;=$H23,AC$6+6&gt;=$G23),1,"")</x:f>
      </x:c>
      <x:c r="AD23" s="167" t="str">
        <x:f>IF(AND(AD$6&lt;=$H23,AD$6+6&gt;=$G23),1,"")</x:f>
      </x:c>
      <x:c r="AE23" s="167" t="str">
        <x:f>IF(AND(AE$6&lt;=$H23,AE$6+6&gt;=$G23),1,"")</x:f>
      </x:c>
      <x:c r="AF23" s="167" t="str">
        <x:f>IF(AND(AF$6&lt;=$H23,AF$6+6&gt;=$G23),1,"")</x:f>
      </x:c>
      <x:c r="AG23" s="167" t="str">
        <x:f>IF(AND(AG$6&lt;=$H23,AG$6+6&gt;=$G23),1,"")</x:f>
      </x:c>
      <x:c r="AH23" s="167" t="str">
        <x:f>IF(AND(AH$6&lt;=$H23,AH$6+6&gt;=$G23),1,"")</x:f>
      </x:c>
      <x:c r="AI23" s="167" t="str">
        <x:f>IF(AND(AI$6&lt;=$H23,AI$6+6&gt;=$G23),1,"")</x:f>
      </x:c>
      <x:c r="AJ23" s="167" t="str">
        <x:f>IF(AND(AJ$6&lt;=$H23,AJ$6+6&gt;=$G23),1,"")</x:f>
      </x:c>
      <x:c r="AK23" s="167" t="str">
        <x:f>IF(AND(AK$6&lt;=$H23,AK$6+6&gt;=$G23),1,"")</x:f>
      </x:c>
      <x:c r="AL23" s="167" t="str">
        <x:f>IF(AND(AL$6&lt;=$H23,AL$6+6&gt;=$G23),1,"")</x:f>
      </x:c>
      <x:c r="AM23" s="167" t="str">
        <x:f>IF(AND(AM$6&lt;=$H23,AM$6+6&gt;=$G23),1,"")</x:f>
      </x:c>
      <x:c r="AN23" s="167" t="str">
        <x:f>IF(AND(AN$6&lt;=$H23,AN$6+6&gt;=$G23),1,"")</x:f>
      </x:c>
      <x:c r="AO23" s="167" t="str">
        <x:f>IF(AND(AO$6&lt;=$H23,AO$6+6&gt;=$G23),1,"")</x:f>
      </x:c>
      <x:c r="AP23" s="167" t="str">
        <x:f>IF(AND(AP$6&lt;=$H23,AP$6+6&gt;=$G23),1,"")</x:f>
      </x:c>
      <x:c r="AQ23" s="167" t="str">
        <x:f>IF(AND(AQ$6&lt;=$H23,AQ$6+6&gt;=$G23),1,"")</x:f>
      </x:c>
      <x:c r="AR23" s="167" t="str">
        <x:f>IF(AND(AR$6&lt;=$H23,AR$6+6&gt;=$G23),1,"")</x:f>
      </x:c>
      <x:c r="AS23" s="167" t="str">
        <x:f>IF(AND(AS$6&lt;=$H23,AS$6+6&gt;=$G23),1,"")</x:f>
      </x:c>
      <x:c r="AT23" s="167" t="str">
        <x:f>IF(AND(AT$6&lt;=$H23,AT$6+6&gt;=$G23),1,"")</x:f>
      </x:c>
      <x:c r="AU23" s="167" t="str">
        <x:f>IF(AND(AU$6&lt;=$H23,AU$6+6&gt;=$G23),1,"")</x:f>
      </x:c>
      <x:c r="AV23" s="167" t="str">
        <x:f>IF(AND(AV$6&lt;=$H23,AV$6+6&gt;=$G23),1,"")</x:f>
      </x:c>
      <x:c r="AW23" s="167" t="str">
        <x:f>IF(AND(AW$6&lt;=$H23,AW$6+6&gt;=$G23),1,"")</x:f>
      </x:c>
      <x:c r="AX23" s="167" t="str">
        <x:f>IF(AND(AX$6&lt;=$H23,AX$6+6&gt;=$G23),1,"")</x:f>
      </x:c>
      <x:c r="AY23" s="167" t="str">
        <x:f>IF(AND(AY$6&lt;=$H23,AY$6+6&gt;=$G23),1,"")</x:f>
      </x:c>
      <x:c r="AZ23" s="167" t="str">
        <x:f>IF(AND(AZ$6&lt;=$H23,AZ$6+6&gt;=$G23),1,"")</x:f>
      </x:c>
      <x:c r="BA23" s="167" t="str">
        <x:f>IF(AND(BA$6&lt;=$H23,BA$6+6&gt;=$G23),1,"")</x:f>
      </x:c>
      <x:c r="BB23" s="167" t="str">
        <x:f>IF(AND(BB$6&lt;=$H23,BB$6+6&gt;=$G23),1,"")</x:f>
      </x:c>
      <x:c r="BC23" s="167" t="str">
        <x:f>IF(AND(BC$6&lt;=$H23,BC$6+6&gt;=$G23),1,"")</x:f>
      </x:c>
      <x:c r="BD23" s="167" t="str">
        <x:f>IF(AND(BD$6&lt;=$H23,BD$6+6&gt;=$G23),1,"")</x:f>
      </x:c>
      <x:c r="BE23" s="167" t="str">
        <x:f>IF(AND(BE$6&lt;=$H23,BE$6+6&gt;=$G23),1,"")</x:f>
      </x:c>
      <x:c r="BF23" s="167" t="str">
        <x:f>IF(AND(BF$6&lt;=$H23,BF$6+6&gt;=$G23),1,"")</x:f>
      </x:c>
      <x:c r="BG23" s="167" t="str">
        <x:f>IF(AND(BG$6&lt;=$H23,BG$6+6&gt;=$G23),1,"")</x:f>
      </x:c>
      <x:c r="BH23" s="167" t="str">
        <x:f>IF(AND(BH$6&lt;=$H23,BH$6+6&gt;=$G23),1,"")</x:f>
      </x:c>
      <x:c r="BI23" s="167" t="str">
        <x:f>IF(AND(BI$6&lt;=$H23,BI$6+6&gt;=$G23),1,"")</x:f>
      </x:c>
      <x:c r="BJ23" s="167" t="str">
        <x:f>IF(AND(BJ$6&lt;=$H23,BJ$6+6&gt;=$G23),1,"")</x:f>
      </x:c>
      <x:c r="BK23" s="168" t="str">
        <x:f>IF(AND(BK$6&lt;=$H23,BK$6+6&gt;=$G23),1,"")</x:f>
      </x:c>
    </x:row>
    <x:row r="24" ht="24" customHeight="1">
      <x:c r="A24" s="68" t="str">
        <x:f>'Research Tasks'!A22</x:f>
        <x:v>AI-113</x:v>
      </x:c>
      <x:c r="B24" s="68" t="str">
        <x:f>'Research Tasks'!B22</x:f>
        <x:v>M1</x:v>
      </x:c>
      <x:c r="C24" s="68" t="str">
        <x:f>'Research Tasks'!C22</x:f>
        <x:v>Performance/Feasibility</x:v>
      </x:c>
      <x:c r="D24" s="68" t="str">
        <x:f>'Research Tasks'!D22</x:f>
        <x:v>Profile inference, rollout, and learning separately</x:v>
      </x:c>
      <x:c r="E24" s="68" t="str">
        <x:f>'Research Tasks'!E22</x:f>
        <x:v>AI-109</x:v>
      </x:c>
      <x:c r="F24" s="68" t="str">
        <x:f>'Research Tasks'!F22</x:f>
        <x:v>Blocked</x:v>
      </x:c>
      <x:c r="G24" s="94" t="n">
        <x:f>'Research Tasks'!I22</x:f>
        <x:v>46275</x:v>
      </x:c>
      <x:c r="H24" s="94" t="n">
        <x:f>'Research Tasks'!J22</x:f>
        <x:v>46275</x:v>
      </x:c>
      <x:c r="I24" s="166" t="str">
        <x:f>IF(AND(I$6&lt;=$H24,I$6+6&gt;=$G24),1,"")</x:f>
      </x:c>
      <x:c r="J24" s="167" t="str">
        <x:f>IF(AND(J$6&lt;=$H24,J$6+6&gt;=$G24),1,"")</x:f>
      </x:c>
      <x:c r="K24" s="167" t="str">
        <x:f>IF(AND(K$6&lt;=$H24,K$6+6&gt;=$G24),1,"")</x:f>
      </x:c>
      <x:c r="L24" s="167" t="str">
        <x:f>IF(AND(L$6&lt;=$H24,L$6+6&gt;=$G24),1,"")</x:f>
      </x:c>
      <x:c r="M24" s="167" t="str">
        <x:f>IF(AND(M$6&lt;=$H24,M$6+6&gt;=$G24),1,"")</x:f>
      </x:c>
      <x:c r="N24" s="167" t="n">
        <x:f>IF(AND(N$6&lt;=$H24,N$6+6&gt;=$G24),1,"")</x:f>
        <x:v>1</x:v>
      </x:c>
      <x:c r="O24" s="167" t="str">
        <x:f>IF(AND(O$6&lt;=$H24,O$6+6&gt;=$G24),1,"")</x:f>
      </x:c>
      <x:c r="P24" s="167" t="str">
        <x:f>IF(AND(P$6&lt;=$H24,P$6+6&gt;=$G24),1,"")</x:f>
      </x:c>
      <x:c r="Q24" s="167" t="str">
        <x:f>IF(AND(Q$6&lt;=$H24,Q$6+6&gt;=$G24),1,"")</x:f>
      </x:c>
      <x:c r="R24" s="167" t="str">
        <x:f>IF(AND(R$6&lt;=$H24,R$6+6&gt;=$G24),1,"")</x:f>
      </x:c>
      <x:c r="S24" s="167" t="str">
        <x:f>IF(AND(S$6&lt;=$H24,S$6+6&gt;=$G24),1,"")</x:f>
      </x:c>
      <x:c r="T24" s="167" t="str">
        <x:f>IF(AND(T$6&lt;=$H24,T$6+6&gt;=$G24),1,"")</x:f>
      </x:c>
      <x:c r="U24" s="167" t="str">
        <x:f>IF(AND(U$6&lt;=$H24,U$6+6&gt;=$G24),1,"")</x:f>
      </x:c>
      <x:c r="V24" s="167" t="str">
        <x:f>IF(AND(V$6&lt;=$H24,V$6+6&gt;=$G24),1,"")</x:f>
      </x:c>
      <x:c r="W24" s="167" t="str">
        <x:f>IF(AND(W$6&lt;=$H24,W$6+6&gt;=$G24),1,"")</x:f>
      </x:c>
      <x:c r="X24" s="167" t="str">
        <x:f>IF(AND(X$6&lt;=$H24,X$6+6&gt;=$G24),1,"")</x:f>
      </x:c>
      <x:c r="Y24" s="167" t="str">
        <x:f>IF(AND(Y$6&lt;=$H24,Y$6+6&gt;=$G24),1,"")</x:f>
      </x:c>
      <x:c r="Z24" s="167" t="str">
        <x:f>IF(AND(Z$6&lt;=$H24,Z$6+6&gt;=$G24),1,"")</x:f>
      </x:c>
      <x:c r="AA24" s="167" t="str">
        <x:f>IF(AND(AA$6&lt;=$H24,AA$6+6&gt;=$G24),1,"")</x:f>
      </x:c>
      <x:c r="AB24" s="167" t="str">
        <x:f>IF(AND(AB$6&lt;=$H24,AB$6+6&gt;=$G24),1,"")</x:f>
      </x:c>
      <x:c r="AC24" s="167" t="str">
        <x:f>IF(AND(AC$6&lt;=$H24,AC$6+6&gt;=$G24),1,"")</x:f>
      </x:c>
      <x:c r="AD24" s="167" t="str">
        <x:f>IF(AND(AD$6&lt;=$H24,AD$6+6&gt;=$G24),1,"")</x:f>
      </x:c>
      <x:c r="AE24" s="167" t="str">
        <x:f>IF(AND(AE$6&lt;=$H24,AE$6+6&gt;=$G24),1,"")</x:f>
      </x:c>
      <x:c r="AF24" s="167" t="str">
        <x:f>IF(AND(AF$6&lt;=$H24,AF$6+6&gt;=$G24),1,"")</x:f>
      </x:c>
      <x:c r="AG24" s="167" t="str">
        <x:f>IF(AND(AG$6&lt;=$H24,AG$6+6&gt;=$G24),1,"")</x:f>
      </x:c>
      <x:c r="AH24" s="167" t="str">
        <x:f>IF(AND(AH$6&lt;=$H24,AH$6+6&gt;=$G24),1,"")</x:f>
      </x:c>
      <x:c r="AI24" s="167" t="str">
        <x:f>IF(AND(AI$6&lt;=$H24,AI$6+6&gt;=$G24),1,"")</x:f>
      </x:c>
      <x:c r="AJ24" s="167" t="str">
        <x:f>IF(AND(AJ$6&lt;=$H24,AJ$6+6&gt;=$G24),1,"")</x:f>
      </x:c>
      <x:c r="AK24" s="167" t="str">
        <x:f>IF(AND(AK$6&lt;=$H24,AK$6+6&gt;=$G24),1,"")</x:f>
      </x:c>
      <x:c r="AL24" s="167" t="str">
        <x:f>IF(AND(AL$6&lt;=$H24,AL$6+6&gt;=$G24),1,"")</x:f>
      </x:c>
      <x:c r="AM24" s="167" t="str">
        <x:f>IF(AND(AM$6&lt;=$H24,AM$6+6&gt;=$G24),1,"")</x:f>
      </x:c>
      <x:c r="AN24" s="167" t="str">
        <x:f>IF(AND(AN$6&lt;=$H24,AN$6+6&gt;=$G24),1,"")</x:f>
      </x:c>
      <x:c r="AO24" s="167" t="str">
        <x:f>IF(AND(AO$6&lt;=$H24,AO$6+6&gt;=$G24),1,"")</x:f>
      </x:c>
      <x:c r="AP24" s="167" t="str">
        <x:f>IF(AND(AP$6&lt;=$H24,AP$6+6&gt;=$G24),1,"")</x:f>
      </x:c>
      <x:c r="AQ24" s="167" t="str">
        <x:f>IF(AND(AQ$6&lt;=$H24,AQ$6+6&gt;=$G24),1,"")</x:f>
      </x:c>
      <x:c r="AR24" s="167" t="str">
        <x:f>IF(AND(AR$6&lt;=$H24,AR$6+6&gt;=$G24),1,"")</x:f>
      </x:c>
      <x:c r="AS24" s="167" t="str">
        <x:f>IF(AND(AS$6&lt;=$H24,AS$6+6&gt;=$G24),1,"")</x:f>
      </x:c>
      <x:c r="AT24" s="167" t="str">
        <x:f>IF(AND(AT$6&lt;=$H24,AT$6+6&gt;=$G24),1,"")</x:f>
      </x:c>
      <x:c r="AU24" s="167" t="str">
        <x:f>IF(AND(AU$6&lt;=$H24,AU$6+6&gt;=$G24),1,"")</x:f>
      </x:c>
      <x:c r="AV24" s="167" t="str">
        <x:f>IF(AND(AV$6&lt;=$H24,AV$6+6&gt;=$G24),1,"")</x:f>
      </x:c>
      <x:c r="AW24" s="167" t="str">
        <x:f>IF(AND(AW$6&lt;=$H24,AW$6+6&gt;=$G24),1,"")</x:f>
      </x:c>
      <x:c r="AX24" s="167" t="str">
        <x:f>IF(AND(AX$6&lt;=$H24,AX$6+6&gt;=$G24),1,"")</x:f>
      </x:c>
      <x:c r="AY24" s="167" t="str">
        <x:f>IF(AND(AY$6&lt;=$H24,AY$6+6&gt;=$G24),1,"")</x:f>
      </x:c>
      <x:c r="AZ24" s="167" t="str">
        <x:f>IF(AND(AZ$6&lt;=$H24,AZ$6+6&gt;=$G24),1,"")</x:f>
      </x:c>
      <x:c r="BA24" s="167" t="str">
        <x:f>IF(AND(BA$6&lt;=$H24,BA$6+6&gt;=$G24),1,"")</x:f>
      </x:c>
      <x:c r="BB24" s="167" t="str">
        <x:f>IF(AND(BB$6&lt;=$H24,BB$6+6&gt;=$G24),1,"")</x:f>
      </x:c>
      <x:c r="BC24" s="167" t="str">
        <x:f>IF(AND(BC$6&lt;=$H24,BC$6+6&gt;=$G24),1,"")</x:f>
      </x:c>
      <x:c r="BD24" s="167" t="str">
        <x:f>IF(AND(BD$6&lt;=$H24,BD$6+6&gt;=$G24),1,"")</x:f>
      </x:c>
      <x:c r="BE24" s="167" t="str">
        <x:f>IF(AND(BE$6&lt;=$H24,BE$6+6&gt;=$G24),1,"")</x:f>
      </x:c>
      <x:c r="BF24" s="167" t="str">
        <x:f>IF(AND(BF$6&lt;=$H24,BF$6+6&gt;=$G24),1,"")</x:f>
      </x:c>
      <x:c r="BG24" s="167" t="str">
        <x:f>IF(AND(BG$6&lt;=$H24,BG$6+6&gt;=$G24),1,"")</x:f>
      </x:c>
      <x:c r="BH24" s="167" t="str">
        <x:f>IF(AND(BH$6&lt;=$H24,BH$6+6&gt;=$G24),1,"")</x:f>
      </x:c>
      <x:c r="BI24" s="167" t="str">
        <x:f>IF(AND(BI$6&lt;=$H24,BI$6+6&gt;=$G24),1,"")</x:f>
      </x:c>
      <x:c r="BJ24" s="167" t="str">
        <x:f>IF(AND(BJ$6&lt;=$H24,BJ$6+6&gt;=$G24),1,"")</x:f>
      </x:c>
      <x:c r="BK24" s="168" t="str">
        <x:f>IF(AND(BK$6&lt;=$H24,BK$6+6&gt;=$G24),1,"")</x:f>
      </x:c>
    </x:row>
    <x:row r="25" ht="24" customHeight="1">
      <x:c r="A25" s="68" t="str">
        <x:f>'Research Tasks'!A23</x:f>
        <x:v>AI-110</x:v>
      </x:c>
      <x:c r="B25" s="68" t="str">
        <x:f>'Research Tasks'!B23</x:f>
        <x:v>M1</x:v>
      </x:c>
      <x:c r="C25" s="68" t="str">
        <x:f>'Research Tasks'!C23</x:f>
        <x:v>Active Inference/Preferences</x:v>
      </x:c>
      <x:c r="D25" s="68" t="str">
        <x:f>'Research Tasks'!D23</x:f>
        <x:v>Resolve the composition-preference closed loop</x:v>
      </x:c>
      <x:c r="E25" s="68" t="str">
        <x:f>'Research Tasks'!E23</x:f>
        <x:v>AI-101, AI-105, AI-109</x:v>
      </x:c>
      <x:c r="F25" s="68" t="str">
        <x:f>'Research Tasks'!F23</x:f>
        <x:v>Blocked</x:v>
      </x:c>
      <x:c r="G25" s="94" t="n">
        <x:f>'Research Tasks'!I23</x:f>
        <x:v>46276</x:v>
      </x:c>
      <x:c r="H25" s="94" t="n">
        <x:f>'Research Tasks'!J23</x:f>
        <x:v>46279</x:v>
      </x:c>
      <x:c r="I25" s="166" t="str">
        <x:f>IF(AND(I$6&lt;=$H25,I$6+6&gt;=$G25),1,"")</x:f>
      </x:c>
      <x:c r="J25" s="167" t="str">
        <x:f>IF(AND(J$6&lt;=$H25,J$6+6&gt;=$G25),1,"")</x:f>
      </x:c>
      <x:c r="K25" s="167" t="str">
        <x:f>IF(AND(K$6&lt;=$H25,K$6+6&gt;=$G25),1,"")</x:f>
      </x:c>
      <x:c r="L25" s="167" t="str">
        <x:f>IF(AND(L$6&lt;=$H25,L$6+6&gt;=$G25),1,"")</x:f>
      </x:c>
      <x:c r="M25" s="167" t="str">
        <x:f>IF(AND(M$6&lt;=$H25,M$6+6&gt;=$G25),1,"")</x:f>
      </x:c>
      <x:c r="N25" s="167" t="n">
        <x:f>IF(AND(N$6&lt;=$H25,N$6+6&gt;=$G25),1,"")</x:f>
        <x:v>1</x:v>
      </x:c>
      <x:c r="O25" s="167" t="n">
        <x:f>IF(AND(O$6&lt;=$H25,O$6+6&gt;=$G25),1,"")</x:f>
        <x:v>1</x:v>
      </x:c>
      <x:c r="P25" s="167" t="str">
        <x:f>IF(AND(P$6&lt;=$H25,P$6+6&gt;=$G25),1,"")</x:f>
      </x:c>
      <x:c r="Q25" s="167" t="str">
        <x:f>IF(AND(Q$6&lt;=$H25,Q$6+6&gt;=$G25),1,"")</x:f>
      </x:c>
      <x:c r="R25" s="167" t="str">
        <x:f>IF(AND(R$6&lt;=$H25,R$6+6&gt;=$G25),1,"")</x:f>
      </x:c>
      <x:c r="S25" s="167" t="str">
        <x:f>IF(AND(S$6&lt;=$H25,S$6+6&gt;=$G25),1,"")</x:f>
      </x:c>
      <x:c r="T25" s="167" t="str">
        <x:f>IF(AND(T$6&lt;=$H25,T$6+6&gt;=$G25),1,"")</x:f>
      </x:c>
      <x:c r="U25" s="167" t="str">
        <x:f>IF(AND(U$6&lt;=$H25,U$6+6&gt;=$G25),1,"")</x:f>
      </x:c>
      <x:c r="V25" s="167" t="str">
        <x:f>IF(AND(V$6&lt;=$H25,V$6+6&gt;=$G25),1,"")</x:f>
      </x:c>
      <x:c r="W25" s="167" t="str">
        <x:f>IF(AND(W$6&lt;=$H25,W$6+6&gt;=$G25),1,"")</x:f>
      </x:c>
      <x:c r="X25" s="167" t="str">
        <x:f>IF(AND(X$6&lt;=$H25,X$6+6&gt;=$G25),1,"")</x:f>
      </x:c>
      <x:c r="Y25" s="167" t="str">
        <x:f>IF(AND(Y$6&lt;=$H25,Y$6+6&gt;=$G25),1,"")</x:f>
      </x:c>
      <x:c r="Z25" s="167" t="str">
        <x:f>IF(AND(Z$6&lt;=$H25,Z$6+6&gt;=$G25),1,"")</x:f>
      </x:c>
      <x:c r="AA25" s="167" t="str">
        <x:f>IF(AND(AA$6&lt;=$H25,AA$6+6&gt;=$G25),1,"")</x:f>
      </x:c>
      <x:c r="AB25" s="167" t="str">
        <x:f>IF(AND(AB$6&lt;=$H25,AB$6+6&gt;=$G25),1,"")</x:f>
      </x:c>
      <x:c r="AC25" s="167" t="str">
        <x:f>IF(AND(AC$6&lt;=$H25,AC$6+6&gt;=$G25),1,"")</x:f>
      </x:c>
      <x:c r="AD25" s="167" t="str">
        <x:f>IF(AND(AD$6&lt;=$H25,AD$6+6&gt;=$G25),1,"")</x:f>
      </x:c>
      <x:c r="AE25" s="167" t="str">
        <x:f>IF(AND(AE$6&lt;=$H25,AE$6+6&gt;=$G25),1,"")</x:f>
      </x:c>
      <x:c r="AF25" s="167" t="str">
        <x:f>IF(AND(AF$6&lt;=$H25,AF$6+6&gt;=$G25),1,"")</x:f>
      </x:c>
      <x:c r="AG25" s="167" t="str">
        <x:f>IF(AND(AG$6&lt;=$H25,AG$6+6&gt;=$G25),1,"")</x:f>
      </x:c>
      <x:c r="AH25" s="167" t="str">
        <x:f>IF(AND(AH$6&lt;=$H25,AH$6+6&gt;=$G25),1,"")</x:f>
      </x:c>
      <x:c r="AI25" s="167" t="str">
        <x:f>IF(AND(AI$6&lt;=$H25,AI$6+6&gt;=$G25),1,"")</x:f>
      </x:c>
      <x:c r="AJ25" s="167" t="str">
        <x:f>IF(AND(AJ$6&lt;=$H25,AJ$6+6&gt;=$G25),1,"")</x:f>
      </x:c>
      <x:c r="AK25" s="167" t="str">
        <x:f>IF(AND(AK$6&lt;=$H25,AK$6+6&gt;=$G25),1,"")</x:f>
      </x:c>
      <x:c r="AL25" s="167" t="str">
        <x:f>IF(AND(AL$6&lt;=$H25,AL$6+6&gt;=$G25),1,"")</x:f>
      </x:c>
      <x:c r="AM25" s="167" t="str">
        <x:f>IF(AND(AM$6&lt;=$H25,AM$6+6&gt;=$G25),1,"")</x:f>
      </x:c>
      <x:c r="AN25" s="167" t="str">
        <x:f>IF(AND(AN$6&lt;=$H25,AN$6+6&gt;=$G25),1,"")</x:f>
      </x:c>
      <x:c r="AO25" s="167" t="str">
        <x:f>IF(AND(AO$6&lt;=$H25,AO$6+6&gt;=$G25),1,"")</x:f>
      </x:c>
      <x:c r="AP25" s="167" t="str">
        <x:f>IF(AND(AP$6&lt;=$H25,AP$6+6&gt;=$G25),1,"")</x:f>
      </x:c>
      <x:c r="AQ25" s="167" t="str">
        <x:f>IF(AND(AQ$6&lt;=$H25,AQ$6+6&gt;=$G25),1,"")</x:f>
      </x:c>
      <x:c r="AR25" s="167" t="str">
        <x:f>IF(AND(AR$6&lt;=$H25,AR$6+6&gt;=$G25),1,"")</x:f>
      </x:c>
      <x:c r="AS25" s="167" t="str">
        <x:f>IF(AND(AS$6&lt;=$H25,AS$6+6&gt;=$G25),1,"")</x:f>
      </x:c>
      <x:c r="AT25" s="167" t="str">
        <x:f>IF(AND(AT$6&lt;=$H25,AT$6+6&gt;=$G25),1,"")</x:f>
      </x:c>
      <x:c r="AU25" s="167" t="str">
        <x:f>IF(AND(AU$6&lt;=$H25,AU$6+6&gt;=$G25),1,"")</x:f>
      </x:c>
      <x:c r="AV25" s="167" t="str">
        <x:f>IF(AND(AV$6&lt;=$H25,AV$6+6&gt;=$G25),1,"")</x:f>
      </x:c>
      <x:c r="AW25" s="167" t="str">
        <x:f>IF(AND(AW$6&lt;=$H25,AW$6+6&gt;=$G25),1,"")</x:f>
      </x:c>
      <x:c r="AX25" s="167" t="str">
        <x:f>IF(AND(AX$6&lt;=$H25,AX$6+6&gt;=$G25),1,"")</x:f>
      </x:c>
      <x:c r="AY25" s="167" t="str">
        <x:f>IF(AND(AY$6&lt;=$H25,AY$6+6&gt;=$G25),1,"")</x:f>
      </x:c>
      <x:c r="AZ25" s="167" t="str">
        <x:f>IF(AND(AZ$6&lt;=$H25,AZ$6+6&gt;=$G25),1,"")</x:f>
      </x:c>
      <x:c r="BA25" s="167" t="str">
        <x:f>IF(AND(BA$6&lt;=$H25,BA$6+6&gt;=$G25),1,"")</x:f>
      </x:c>
      <x:c r="BB25" s="167" t="str">
        <x:f>IF(AND(BB$6&lt;=$H25,BB$6+6&gt;=$G25),1,"")</x:f>
      </x:c>
      <x:c r="BC25" s="167" t="str">
        <x:f>IF(AND(BC$6&lt;=$H25,BC$6+6&gt;=$G25),1,"")</x:f>
      </x:c>
      <x:c r="BD25" s="167" t="str">
        <x:f>IF(AND(BD$6&lt;=$H25,BD$6+6&gt;=$G25),1,"")</x:f>
      </x:c>
      <x:c r="BE25" s="167" t="str">
        <x:f>IF(AND(BE$6&lt;=$H25,BE$6+6&gt;=$G25),1,"")</x:f>
      </x:c>
      <x:c r="BF25" s="167" t="str">
        <x:f>IF(AND(BF$6&lt;=$H25,BF$6+6&gt;=$G25),1,"")</x:f>
      </x:c>
      <x:c r="BG25" s="167" t="str">
        <x:f>IF(AND(BG$6&lt;=$H25,BG$6+6&gt;=$G25),1,"")</x:f>
      </x:c>
      <x:c r="BH25" s="167" t="str">
        <x:f>IF(AND(BH$6&lt;=$H25,BH$6+6&gt;=$G25),1,"")</x:f>
      </x:c>
      <x:c r="BI25" s="167" t="str">
        <x:f>IF(AND(BI$6&lt;=$H25,BI$6+6&gt;=$G25),1,"")</x:f>
      </x:c>
      <x:c r="BJ25" s="167" t="str">
        <x:f>IF(AND(BJ$6&lt;=$H25,BJ$6+6&gt;=$G25),1,"")</x:f>
      </x:c>
      <x:c r="BK25" s="168" t="str">
        <x:f>IF(AND(BK$6&lt;=$H25,BK$6+6&gt;=$G25),1,"")</x:f>
      </x:c>
    </x:row>
    <x:row r="26" ht="24" customHeight="1">
      <x:c r="A26" s="68" t="str">
        <x:f>'Research Tasks'!A24</x:f>
        <x:v>AI-114</x:v>
      </x:c>
      <x:c r="B26" s="68" t="str">
        <x:f>'Research Tasks'!B24</x:f>
        <x:v>M1</x:v>
      </x:c>
      <x:c r="C26" s="68" t="str">
        <x:f>'Research Tasks'!C24</x:f>
        <x:v>Research Ops</x:v>
      </x:c>
      <x:c r="D26" s="68" t="str">
        <x:f>'Research Tasks'!D24</x:f>
        <x:v>Capture reproducible baseline replicas</x:v>
      </x:c>
      <x:c r="E26" s="68" t="str">
        <x:f>'Research Tasks'!E24</x:f>
        <x:v>AI-104, AI-105, AI-106, AI-107, AI-109, AI-110, AI-111, AI-113</x:v>
      </x:c>
      <x:c r="F26" s="68" t="str">
        <x:f>'Research Tasks'!F24</x:f>
        <x:v>Blocked</x:v>
      </x:c>
      <x:c r="G26" s="94" t="n">
        <x:f>'Research Tasks'!I24</x:f>
        <x:v>46280</x:v>
      </x:c>
      <x:c r="H26" s="94" t="n">
        <x:f>'Research Tasks'!J24</x:f>
        <x:v>46281</x:v>
      </x:c>
      <x:c r="I26" s="166" t="str">
        <x:f>IF(AND(I$6&lt;=$H26,I$6+6&gt;=$G26),1,"")</x:f>
      </x:c>
      <x:c r="J26" s="167" t="str">
        <x:f>IF(AND(J$6&lt;=$H26,J$6+6&gt;=$G26),1,"")</x:f>
      </x:c>
      <x:c r="K26" s="167" t="str">
        <x:f>IF(AND(K$6&lt;=$H26,K$6+6&gt;=$G26),1,"")</x:f>
      </x:c>
      <x:c r="L26" s="167" t="str">
        <x:f>IF(AND(L$6&lt;=$H26,L$6+6&gt;=$G26),1,"")</x:f>
      </x:c>
      <x:c r="M26" s="167" t="str">
        <x:f>IF(AND(M$6&lt;=$H26,M$6+6&gt;=$G26),1,"")</x:f>
      </x:c>
      <x:c r="N26" s="167" t="str">
        <x:f>IF(AND(N$6&lt;=$H26,N$6+6&gt;=$G26),1,"")</x:f>
      </x:c>
      <x:c r="O26" s="167" t="n">
        <x:f>IF(AND(O$6&lt;=$H26,O$6+6&gt;=$G26),1,"")</x:f>
        <x:v>1</x:v>
      </x:c>
      <x:c r="P26" s="167" t="str">
        <x:f>IF(AND(P$6&lt;=$H26,P$6+6&gt;=$G26),1,"")</x:f>
      </x:c>
      <x:c r="Q26" s="167" t="str">
        <x:f>IF(AND(Q$6&lt;=$H26,Q$6+6&gt;=$G26),1,"")</x:f>
      </x:c>
      <x:c r="R26" s="167" t="str">
        <x:f>IF(AND(R$6&lt;=$H26,R$6+6&gt;=$G26),1,"")</x:f>
      </x:c>
      <x:c r="S26" s="167" t="str">
        <x:f>IF(AND(S$6&lt;=$H26,S$6+6&gt;=$G26),1,"")</x:f>
      </x:c>
      <x:c r="T26" s="167" t="str">
        <x:f>IF(AND(T$6&lt;=$H26,T$6+6&gt;=$G26),1,"")</x:f>
      </x:c>
      <x:c r="U26" s="167" t="str">
        <x:f>IF(AND(U$6&lt;=$H26,U$6+6&gt;=$G26),1,"")</x:f>
      </x:c>
      <x:c r="V26" s="167" t="str">
        <x:f>IF(AND(V$6&lt;=$H26,V$6+6&gt;=$G26),1,"")</x:f>
      </x:c>
      <x:c r="W26" s="167" t="str">
        <x:f>IF(AND(W$6&lt;=$H26,W$6+6&gt;=$G26),1,"")</x:f>
      </x:c>
      <x:c r="X26" s="167" t="str">
        <x:f>IF(AND(X$6&lt;=$H26,X$6+6&gt;=$G26),1,"")</x:f>
      </x:c>
      <x:c r="Y26" s="167" t="str">
        <x:f>IF(AND(Y$6&lt;=$H26,Y$6+6&gt;=$G26),1,"")</x:f>
      </x:c>
      <x:c r="Z26" s="167" t="str">
        <x:f>IF(AND(Z$6&lt;=$H26,Z$6+6&gt;=$G26),1,"")</x:f>
      </x:c>
      <x:c r="AA26" s="167" t="str">
        <x:f>IF(AND(AA$6&lt;=$H26,AA$6+6&gt;=$G26),1,"")</x:f>
      </x:c>
      <x:c r="AB26" s="167" t="str">
        <x:f>IF(AND(AB$6&lt;=$H26,AB$6+6&gt;=$G26),1,"")</x:f>
      </x:c>
      <x:c r="AC26" s="167" t="str">
        <x:f>IF(AND(AC$6&lt;=$H26,AC$6+6&gt;=$G26),1,"")</x:f>
      </x:c>
      <x:c r="AD26" s="167" t="str">
        <x:f>IF(AND(AD$6&lt;=$H26,AD$6+6&gt;=$G26),1,"")</x:f>
      </x:c>
      <x:c r="AE26" s="167" t="str">
        <x:f>IF(AND(AE$6&lt;=$H26,AE$6+6&gt;=$G26),1,"")</x:f>
      </x:c>
      <x:c r="AF26" s="167" t="str">
        <x:f>IF(AND(AF$6&lt;=$H26,AF$6+6&gt;=$G26),1,"")</x:f>
      </x:c>
      <x:c r="AG26" s="167" t="str">
        <x:f>IF(AND(AG$6&lt;=$H26,AG$6+6&gt;=$G26),1,"")</x:f>
      </x:c>
      <x:c r="AH26" s="167" t="str">
        <x:f>IF(AND(AH$6&lt;=$H26,AH$6+6&gt;=$G26),1,"")</x:f>
      </x:c>
      <x:c r="AI26" s="167" t="str">
        <x:f>IF(AND(AI$6&lt;=$H26,AI$6+6&gt;=$G26),1,"")</x:f>
      </x:c>
      <x:c r="AJ26" s="167" t="str">
        <x:f>IF(AND(AJ$6&lt;=$H26,AJ$6+6&gt;=$G26),1,"")</x:f>
      </x:c>
      <x:c r="AK26" s="167" t="str">
        <x:f>IF(AND(AK$6&lt;=$H26,AK$6+6&gt;=$G26),1,"")</x:f>
      </x:c>
      <x:c r="AL26" s="167" t="str">
        <x:f>IF(AND(AL$6&lt;=$H26,AL$6+6&gt;=$G26),1,"")</x:f>
      </x:c>
      <x:c r="AM26" s="167" t="str">
        <x:f>IF(AND(AM$6&lt;=$H26,AM$6+6&gt;=$G26),1,"")</x:f>
      </x:c>
      <x:c r="AN26" s="167" t="str">
        <x:f>IF(AND(AN$6&lt;=$H26,AN$6+6&gt;=$G26),1,"")</x:f>
      </x:c>
      <x:c r="AO26" s="167" t="str">
        <x:f>IF(AND(AO$6&lt;=$H26,AO$6+6&gt;=$G26),1,"")</x:f>
      </x:c>
      <x:c r="AP26" s="167" t="str">
        <x:f>IF(AND(AP$6&lt;=$H26,AP$6+6&gt;=$G26),1,"")</x:f>
      </x:c>
      <x:c r="AQ26" s="167" t="str">
        <x:f>IF(AND(AQ$6&lt;=$H26,AQ$6+6&gt;=$G26),1,"")</x:f>
      </x:c>
      <x:c r="AR26" s="167" t="str">
        <x:f>IF(AND(AR$6&lt;=$H26,AR$6+6&gt;=$G26),1,"")</x:f>
      </x:c>
      <x:c r="AS26" s="167" t="str">
        <x:f>IF(AND(AS$6&lt;=$H26,AS$6+6&gt;=$G26),1,"")</x:f>
      </x:c>
      <x:c r="AT26" s="167" t="str">
        <x:f>IF(AND(AT$6&lt;=$H26,AT$6+6&gt;=$G26),1,"")</x:f>
      </x:c>
      <x:c r="AU26" s="167" t="str">
        <x:f>IF(AND(AU$6&lt;=$H26,AU$6+6&gt;=$G26),1,"")</x:f>
      </x:c>
      <x:c r="AV26" s="167" t="str">
        <x:f>IF(AND(AV$6&lt;=$H26,AV$6+6&gt;=$G26),1,"")</x:f>
      </x:c>
      <x:c r="AW26" s="167" t="str">
        <x:f>IF(AND(AW$6&lt;=$H26,AW$6+6&gt;=$G26),1,"")</x:f>
      </x:c>
      <x:c r="AX26" s="167" t="str">
        <x:f>IF(AND(AX$6&lt;=$H26,AX$6+6&gt;=$G26),1,"")</x:f>
      </x:c>
      <x:c r="AY26" s="167" t="str">
        <x:f>IF(AND(AY$6&lt;=$H26,AY$6+6&gt;=$G26),1,"")</x:f>
      </x:c>
      <x:c r="AZ26" s="167" t="str">
        <x:f>IF(AND(AZ$6&lt;=$H26,AZ$6+6&gt;=$G26),1,"")</x:f>
      </x:c>
      <x:c r="BA26" s="167" t="str">
        <x:f>IF(AND(BA$6&lt;=$H26,BA$6+6&gt;=$G26),1,"")</x:f>
      </x:c>
      <x:c r="BB26" s="167" t="str">
        <x:f>IF(AND(BB$6&lt;=$H26,BB$6+6&gt;=$G26),1,"")</x:f>
      </x:c>
      <x:c r="BC26" s="167" t="str">
        <x:f>IF(AND(BC$6&lt;=$H26,BC$6+6&gt;=$G26),1,"")</x:f>
      </x:c>
      <x:c r="BD26" s="167" t="str">
        <x:f>IF(AND(BD$6&lt;=$H26,BD$6+6&gt;=$G26),1,"")</x:f>
      </x:c>
      <x:c r="BE26" s="167" t="str">
        <x:f>IF(AND(BE$6&lt;=$H26,BE$6+6&gt;=$G26),1,"")</x:f>
      </x:c>
      <x:c r="BF26" s="167" t="str">
        <x:f>IF(AND(BF$6&lt;=$H26,BF$6+6&gt;=$G26),1,"")</x:f>
      </x:c>
      <x:c r="BG26" s="167" t="str">
        <x:f>IF(AND(BG$6&lt;=$H26,BG$6+6&gt;=$G26),1,"")</x:f>
      </x:c>
      <x:c r="BH26" s="167" t="str">
        <x:f>IF(AND(BH$6&lt;=$H26,BH$6+6&gt;=$G26),1,"")</x:f>
      </x:c>
      <x:c r="BI26" s="167" t="str">
        <x:f>IF(AND(BI$6&lt;=$H26,BI$6+6&gt;=$G26),1,"")</x:f>
      </x:c>
      <x:c r="BJ26" s="167" t="str">
        <x:f>IF(AND(BJ$6&lt;=$H26,BJ$6+6&gt;=$G26),1,"")</x:f>
      </x:c>
      <x:c r="BK26" s="168" t="str">
        <x:f>IF(AND(BK$6&lt;=$H26,BK$6+6&gt;=$G26),1,"")</x:f>
      </x:c>
    </x:row>
    <x:row r="27" ht="24" customHeight="1">
      <x:c r="A27" s="68" t="str">
        <x:f>'Research Tasks'!A25</x:f>
        <x:v>AI-115</x:v>
      </x:c>
      <x:c r="B27" s="68" t="str">
        <x:f>'Research Tasks'!B25</x:f>
        <x:v>M1</x:v>
      </x:c>
      <x:c r="C27" s="68" t="str">
        <x:f>'Research Tasks'!C25</x:f>
        <x:v>Validation</x:v>
      </x:c>
      <x:c r="D27" s="68" t="str">
        <x:f>'Research Tasks'!D25</x:f>
        <x:v>M1 lock decision</x:v>
      </x:c>
      <x:c r="E27" s="68" t="str">
        <x:f>'Research Tasks'!E25</x:f>
        <x:v>AI-114</x:v>
      </x:c>
      <x:c r="F27" s="68" t="str">
        <x:f>'Research Tasks'!F25</x:f>
        <x:v>Blocked</x:v>
      </x:c>
      <x:c r="G27" s="94" t="n">
        <x:f>'Research Tasks'!I25</x:f>
        <x:v>46282</x:v>
      </x:c>
      <x:c r="H27" s="94" t="n">
        <x:f>'Research Tasks'!J25</x:f>
        <x:v>46282</x:v>
      </x:c>
      <x:c r="I27" s="166" t="str">
        <x:f>IF(AND(I$6&lt;=$H27,I$6+6&gt;=$G27),1,"")</x:f>
      </x:c>
      <x:c r="J27" s="167" t="str">
        <x:f>IF(AND(J$6&lt;=$H27,J$6+6&gt;=$G27),1,"")</x:f>
      </x:c>
      <x:c r="K27" s="167" t="str">
        <x:f>IF(AND(K$6&lt;=$H27,K$6+6&gt;=$G27),1,"")</x:f>
      </x:c>
      <x:c r="L27" s="167" t="str">
        <x:f>IF(AND(L$6&lt;=$H27,L$6+6&gt;=$G27),1,"")</x:f>
      </x:c>
      <x:c r="M27" s="167" t="str">
        <x:f>IF(AND(M$6&lt;=$H27,M$6+6&gt;=$G27),1,"")</x:f>
      </x:c>
      <x:c r="N27" s="167" t="str">
        <x:f>IF(AND(N$6&lt;=$H27,N$6+6&gt;=$G27),1,"")</x:f>
      </x:c>
      <x:c r="O27" s="167" t="n">
        <x:f>IF(AND(O$6&lt;=$H27,O$6+6&gt;=$G27),1,"")</x:f>
        <x:v>1</x:v>
      </x:c>
      <x:c r="P27" s="167" t="str">
        <x:f>IF(AND(P$6&lt;=$H27,P$6+6&gt;=$G27),1,"")</x:f>
      </x:c>
      <x:c r="Q27" s="167" t="str">
        <x:f>IF(AND(Q$6&lt;=$H27,Q$6+6&gt;=$G27),1,"")</x:f>
      </x:c>
      <x:c r="R27" s="167" t="str">
        <x:f>IF(AND(R$6&lt;=$H27,R$6+6&gt;=$G27),1,"")</x:f>
      </x:c>
      <x:c r="S27" s="167" t="str">
        <x:f>IF(AND(S$6&lt;=$H27,S$6+6&gt;=$G27),1,"")</x:f>
      </x:c>
      <x:c r="T27" s="167" t="str">
        <x:f>IF(AND(T$6&lt;=$H27,T$6+6&gt;=$G27),1,"")</x:f>
      </x:c>
      <x:c r="U27" s="167" t="str">
        <x:f>IF(AND(U$6&lt;=$H27,U$6+6&gt;=$G27),1,"")</x:f>
      </x:c>
      <x:c r="V27" s="167" t="str">
        <x:f>IF(AND(V$6&lt;=$H27,V$6+6&gt;=$G27),1,"")</x:f>
      </x:c>
      <x:c r="W27" s="167" t="str">
        <x:f>IF(AND(W$6&lt;=$H27,W$6+6&gt;=$G27),1,"")</x:f>
      </x:c>
      <x:c r="X27" s="167" t="str">
        <x:f>IF(AND(X$6&lt;=$H27,X$6+6&gt;=$G27),1,"")</x:f>
      </x:c>
      <x:c r="Y27" s="167" t="str">
        <x:f>IF(AND(Y$6&lt;=$H27,Y$6+6&gt;=$G27),1,"")</x:f>
      </x:c>
      <x:c r="Z27" s="167" t="str">
        <x:f>IF(AND(Z$6&lt;=$H27,Z$6+6&gt;=$G27),1,"")</x:f>
      </x:c>
      <x:c r="AA27" s="167" t="str">
        <x:f>IF(AND(AA$6&lt;=$H27,AA$6+6&gt;=$G27),1,"")</x:f>
      </x:c>
      <x:c r="AB27" s="167" t="str">
        <x:f>IF(AND(AB$6&lt;=$H27,AB$6+6&gt;=$G27),1,"")</x:f>
      </x:c>
      <x:c r="AC27" s="167" t="str">
        <x:f>IF(AND(AC$6&lt;=$H27,AC$6+6&gt;=$G27),1,"")</x:f>
      </x:c>
      <x:c r="AD27" s="167" t="str">
        <x:f>IF(AND(AD$6&lt;=$H27,AD$6+6&gt;=$G27),1,"")</x:f>
      </x:c>
      <x:c r="AE27" s="167" t="str">
        <x:f>IF(AND(AE$6&lt;=$H27,AE$6+6&gt;=$G27),1,"")</x:f>
      </x:c>
      <x:c r="AF27" s="167" t="str">
        <x:f>IF(AND(AF$6&lt;=$H27,AF$6+6&gt;=$G27),1,"")</x:f>
      </x:c>
      <x:c r="AG27" s="167" t="str">
        <x:f>IF(AND(AG$6&lt;=$H27,AG$6+6&gt;=$G27),1,"")</x:f>
      </x:c>
      <x:c r="AH27" s="167" t="str">
        <x:f>IF(AND(AH$6&lt;=$H27,AH$6+6&gt;=$G27),1,"")</x:f>
      </x:c>
      <x:c r="AI27" s="167" t="str">
        <x:f>IF(AND(AI$6&lt;=$H27,AI$6+6&gt;=$G27),1,"")</x:f>
      </x:c>
      <x:c r="AJ27" s="167" t="str">
        <x:f>IF(AND(AJ$6&lt;=$H27,AJ$6+6&gt;=$G27),1,"")</x:f>
      </x:c>
      <x:c r="AK27" s="167" t="str">
        <x:f>IF(AND(AK$6&lt;=$H27,AK$6+6&gt;=$G27),1,"")</x:f>
      </x:c>
      <x:c r="AL27" s="167" t="str">
        <x:f>IF(AND(AL$6&lt;=$H27,AL$6+6&gt;=$G27),1,"")</x:f>
      </x:c>
      <x:c r="AM27" s="167" t="str">
        <x:f>IF(AND(AM$6&lt;=$H27,AM$6+6&gt;=$G27),1,"")</x:f>
      </x:c>
      <x:c r="AN27" s="167" t="str">
        <x:f>IF(AND(AN$6&lt;=$H27,AN$6+6&gt;=$G27),1,"")</x:f>
      </x:c>
      <x:c r="AO27" s="167" t="str">
        <x:f>IF(AND(AO$6&lt;=$H27,AO$6+6&gt;=$G27),1,"")</x:f>
      </x:c>
      <x:c r="AP27" s="167" t="str">
        <x:f>IF(AND(AP$6&lt;=$H27,AP$6+6&gt;=$G27),1,"")</x:f>
      </x:c>
      <x:c r="AQ27" s="167" t="str">
        <x:f>IF(AND(AQ$6&lt;=$H27,AQ$6+6&gt;=$G27),1,"")</x:f>
      </x:c>
      <x:c r="AR27" s="167" t="str">
        <x:f>IF(AND(AR$6&lt;=$H27,AR$6+6&gt;=$G27),1,"")</x:f>
      </x:c>
      <x:c r="AS27" s="167" t="str">
        <x:f>IF(AND(AS$6&lt;=$H27,AS$6+6&gt;=$G27),1,"")</x:f>
      </x:c>
      <x:c r="AT27" s="167" t="str">
        <x:f>IF(AND(AT$6&lt;=$H27,AT$6+6&gt;=$G27),1,"")</x:f>
      </x:c>
      <x:c r="AU27" s="167" t="str">
        <x:f>IF(AND(AU$6&lt;=$H27,AU$6+6&gt;=$G27),1,"")</x:f>
      </x:c>
      <x:c r="AV27" s="167" t="str">
        <x:f>IF(AND(AV$6&lt;=$H27,AV$6+6&gt;=$G27),1,"")</x:f>
      </x:c>
      <x:c r="AW27" s="167" t="str">
        <x:f>IF(AND(AW$6&lt;=$H27,AW$6+6&gt;=$G27),1,"")</x:f>
      </x:c>
      <x:c r="AX27" s="167" t="str">
        <x:f>IF(AND(AX$6&lt;=$H27,AX$6+6&gt;=$G27),1,"")</x:f>
      </x:c>
      <x:c r="AY27" s="167" t="str">
        <x:f>IF(AND(AY$6&lt;=$H27,AY$6+6&gt;=$G27),1,"")</x:f>
      </x:c>
      <x:c r="AZ27" s="167" t="str">
        <x:f>IF(AND(AZ$6&lt;=$H27,AZ$6+6&gt;=$G27),1,"")</x:f>
      </x:c>
      <x:c r="BA27" s="167" t="str">
        <x:f>IF(AND(BA$6&lt;=$H27,BA$6+6&gt;=$G27),1,"")</x:f>
      </x:c>
      <x:c r="BB27" s="167" t="str">
        <x:f>IF(AND(BB$6&lt;=$H27,BB$6+6&gt;=$G27),1,"")</x:f>
      </x:c>
      <x:c r="BC27" s="167" t="str">
        <x:f>IF(AND(BC$6&lt;=$H27,BC$6+6&gt;=$G27),1,"")</x:f>
      </x:c>
      <x:c r="BD27" s="167" t="str">
        <x:f>IF(AND(BD$6&lt;=$H27,BD$6+6&gt;=$G27),1,"")</x:f>
      </x:c>
      <x:c r="BE27" s="167" t="str">
        <x:f>IF(AND(BE$6&lt;=$H27,BE$6+6&gt;=$G27),1,"")</x:f>
      </x:c>
      <x:c r="BF27" s="167" t="str">
        <x:f>IF(AND(BF$6&lt;=$H27,BF$6+6&gt;=$G27),1,"")</x:f>
      </x:c>
      <x:c r="BG27" s="167" t="str">
        <x:f>IF(AND(BG$6&lt;=$H27,BG$6+6&gt;=$G27),1,"")</x:f>
      </x:c>
      <x:c r="BH27" s="167" t="str">
        <x:f>IF(AND(BH$6&lt;=$H27,BH$6+6&gt;=$G27),1,"")</x:f>
      </x:c>
      <x:c r="BI27" s="167" t="str">
        <x:f>IF(AND(BI$6&lt;=$H27,BI$6+6&gt;=$G27),1,"")</x:f>
      </x:c>
      <x:c r="BJ27" s="167" t="str">
        <x:f>IF(AND(BJ$6&lt;=$H27,BJ$6+6&gt;=$G27),1,"")</x:f>
      </x:c>
      <x:c r="BK27" s="168" t="str">
        <x:f>IF(AND(BK$6&lt;=$H27,BK$6+6&gt;=$G27),1,"")</x:f>
      </x:c>
    </x:row>
    <x:row r="28" ht="24" customHeight="1">
      <x:c r="A28" s="68" t="str">
        <x:f>'Research Tasks'!A26</x:f>
        <x:v>AI-201</x:v>
      </x:c>
      <x:c r="B28" s="68" t="str">
        <x:f>'Research Tasks'!B26</x:f>
        <x:v>M2</x:v>
      </x:c>
      <x:c r="C28" s="68" t="str">
        <x:f>'Research Tasks'!C26</x:f>
        <x:v>Sensors/Active Inference</x:v>
      </x:c>
      <x:c r="D28" s="68" t="str">
        <x:f>'Research Tasks'!D26</x:f>
        <x:v>Define the sensor-grounded M2 observation package</x:v>
      </x:c>
      <x:c r="E28" s="68" t="str">
        <x:f>'Research Tasks'!E26</x:f>
        <x:v>M1</x:v>
      </x:c>
      <x:c r="F28" s="68" t="str">
        <x:f>'Research Tasks'!F26</x:f>
        <x:v>Active</x:v>
      </x:c>
      <x:c r="G28" s="94" t="n">
        <x:f>'Research Tasks'!I26</x:f>
        <x:v>46293</x:v>
      </x:c>
      <x:c r="H28" s="94" t="n">
        <x:f>'Research Tasks'!J26</x:f>
        <x:v>46294</x:v>
      </x:c>
      <x:c r="I28" s="166" t="str">
        <x:f>IF(AND(I$6&lt;=$H28,I$6+6&gt;=$G28),1,"")</x:f>
      </x:c>
      <x:c r="J28" s="167" t="str">
        <x:f>IF(AND(J$6&lt;=$H28,J$6+6&gt;=$G28),1,"")</x:f>
      </x:c>
      <x:c r="K28" s="167" t="str">
        <x:f>IF(AND(K$6&lt;=$H28,K$6+6&gt;=$G28),1,"")</x:f>
      </x:c>
      <x:c r="L28" s="167" t="str">
        <x:f>IF(AND(L$6&lt;=$H28,L$6+6&gt;=$G28),1,"")</x:f>
      </x:c>
      <x:c r="M28" s="167" t="str">
        <x:f>IF(AND(M$6&lt;=$H28,M$6+6&gt;=$G28),1,"")</x:f>
      </x:c>
      <x:c r="N28" s="167" t="str">
        <x:f>IF(AND(N$6&lt;=$H28,N$6+6&gt;=$G28),1,"")</x:f>
      </x:c>
      <x:c r="O28" s="167" t="str">
        <x:f>IF(AND(O$6&lt;=$H28,O$6+6&gt;=$G28),1,"")</x:f>
      </x:c>
      <x:c r="P28" s="167" t="str">
        <x:f>IF(AND(P$6&lt;=$H28,P$6+6&gt;=$G28),1,"")</x:f>
      </x:c>
      <x:c r="Q28" s="167" t="n">
        <x:f>IF(AND(Q$6&lt;=$H28,Q$6+6&gt;=$G28),1,"")</x:f>
        <x:v>1</x:v>
      </x:c>
      <x:c r="R28" s="167" t="str">
        <x:f>IF(AND(R$6&lt;=$H28,R$6+6&gt;=$G28),1,"")</x:f>
      </x:c>
      <x:c r="S28" s="167" t="str">
        <x:f>IF(AND(S$6&lt;=$H28,S$6+6&gt;=$G28),1,"")</x:f>
      </x:c>
      <x:c r="T28" s="167" t="str">
        <x:f>IF(AND(T$6&lt;=$H28,T$6+6&gt;=$G28),1,"")</x:f>
      </x:c>
      <x:c r="U28" s="167" t="str">
        <x:f>IF(AND(U$6&lt;=$H28,U$6+6&gt;=$G28),1,"")</x:f>
      </x:c>
      <x:c r="V28" s="167" t="str">
        <x:f>IF(AND(V$6&lt;=$H28,V$6+6&gt;=$G28),1,"")</x:f>
      </x:c>
      <x:c r="W28" s="167" t="str">
        <x:f>IF(AND(W$6&lt;=$H28,W$6+6&gt;=$G28),1,"")</x:f>
      </x:c>
      <x:c r="X28" s="167" t="str">
        <x:f>IF(AND(X$6&lt;=$H28,X$6+6&gt;=$G28),1,"")</x:f>
      </x:c>
      <x:c r="Y28" s="167" t="str">
        <x:f>IF(AND(Y$6&lt;=$H28,Y$6+6&gt;=$G28),1,"")</x:f>
      </x:c>
      <x:c r="Z28" s="167" t="str">
        <x:f>IF(AND(Z$6&lt;=$H28,Z$6+6&gt;=$G28),1,"")</x:f>
      </x:c>
      <x:c r="AA28" s="167" t="str">
        <x:f>IF(AND(AA$6&lt;=$H28,AA$6+6&gt;=$G28),1,"")</x:f>
      </x:c>
      <x:c r="AB28" s="167" t="str">
        <x:f>IF(AND(AB$6&lt;=$H28,AB$6+6&gt;=$G28),1,"")</x:f>
      </x:c>
      <x:c r="AC28" s="167" t="str">
        <x:f>IF(AND(AC$6&lt;=$H28,AC$6+6&gt;=$G28),1,"")</x:f>
      </x:c>
      <x:c r="AD28" s="167" t="str">
        <x:f>IF(AND(AD$6&lt;=$H28,AD$6+6&gt;=$G28),1,"")</x:f>
      </x:c>
      <x:c r="AE28" s="167" t="str">
        <x:f>IF(AND(AE$6&lt;=$H28,AE$6+6&gt;=$G28),1,"")</x:f>
      </x:c>
      <x:c r="AF28" s="167" t="str">
        <x:f>IF(AND(AF$6&lt;=$H28,AF$6+6&gt;=$G28),1,"")</x:f>
      </x:c>
      <x:c r="AG28" s="167" t="str">
        <x:f>IF(AND(AG$6&lt;=$H28,AG$6+6&gt;=$G28),1,"")</x:f>
      </x:c>
      <x:c r="AH28" s="167" t="str">
        <x:f>IF(AND(AH$6&lt;=$H28,AH$6+6&gt;=$G28),1,"")</x:f>
      </x:c>
      <x:c r="AI28" s="167" t="str">
        <x:f>IF(AND(AI$6&lt;=$H28,AI$6+6&gt;=$G28),1,"")</x:f>
      </x:c>
      <x:c r="AJ28" s="167" t="str">
        <x:f>IF(AND(AJ$6&lt;=$H28,AJ$6+6&gt;=$G28),1,"")</x:f>
      </x:c>
      <x:c r="AK28" s="167" t="str">
        <x:f>IF(AND(AK$6&lt;=$H28,AK$6+6&gt;=$G28),1,"")</x:f>
      </x:c>
      <x:c r="AL28" s="167" t="str">
        <x:f>IF(AND(AL$6&lt;=$H28,AL$6+6&gt;=$G28),1,"")</x:f>
      </x:c>
      <x:c r="AM28" s="167" t="str">
        <x:f>IF(AND(AM$6&lt;=$H28,AM$6+6&gt;=$G28),1,"")</x:f>
      </x:c>
      <x:c r="AN28" s="167" t="str">
        <x:f>IF(AND(AN$6&lt;=$H28,AN$6+6&gt;=$G28),1,"")</x:f>
      </x:c>
      <x:c r="AO28" s="167" t="str">
        <x:f>IF(AND(AO$6&lt;=$H28,AO$6+6&gt;=$G28),1,"")</x:f>
      </x:c>
      <x:c r="AP28" s="167" t="str">
        <x:f>IF(AND(AP$6&lt;=$H28,AP$6+6&gt;=$G28),1,"")</x:f>
      </x:c>
      <x:c r="AQ28" s="167" t="str">
        <x:f>IF(AND(AQ$6&lt;=$H28,AQ$6+6&gt;=$G28),1,"")</x:f>
      </x:c>
      <x:c r="AR28" s="167" t="str">
        <x:f>IF(AND(AR$6&lt;=$H28,AR$6+6&gt;=$G28),1,"")</x:f>
      </x:c>
      <x:c r="AS28" s="167" t="str">
        <x:f>IF(AND(AS$6&lt;=$H28,AS$6+6&gt;=$G28),1,"")</x:f>
      </x:c>
      <x:c r="AT28" s="167" t="str">
        <x:f>IF(AND(AT$6&lt;=$H28,AT$6+6&gt;=$G28),1,"")</x:f>
      </x:c>
      <x:c r="AU28" s="167" t="str">
        <x:f>IF(AND(AU$6&lt;=$H28,AU$6+6&gt;=$G28),1,"")</x:f>
      </x:c>
      <x:c r="AV28" s="167" t="str">
        <x:f>IF(AND(AV$6&lt;=$H28,AV$6+6&gt;=$G28),1,"")</x:f>
      </x:c>
      <x:c r="AW28" s="167" t="str">
        <x:f>IF(AND(AW$6&lt;=$H28,AW$6+6&gt;=$G28),1,"")</x:f>
      </x:c>
      <x:c r="AX28" s="167" t="str">
        <x:f>IF(AND(AX$6&lt;=$H28,AX$6+6&gt;=$G28),1,"")</x:f>
      </x:c>
      <x:c r="AY28" s="167" t="str">
        <x:f>IF(AND(AY$6&lt;=$H28,AY$6+6&gt;=$G28),1,"")</x:f>
      </x:c>
      <x:c r="AZ28" s="167" t="str">
        <x:f>IF(AND(AZ$6&lt;=$H28,AZ$6+6&gt;=$G28),1,"")</x:f>
      </x:c>
      <x:c r="BA28" s="167" t="str">
        <x:f>IF(AND(BA$6&lt;=$H28,BA$6+6&gt;=$G28),1,"")</x:f>
      </x:c>
      <x:c r="BB28" s="167" t="str">
        <x:f>IF(AND(BB$6&lt;=$H28,BB$6+6&gt;=$G28),1,"")</x:f>
      </x:c>
      <x:c r="BC28" s="167" t="str">
        <x:f>IF(AND(BC$6&lt;=$H28,BC$6+6&gt;=$G28),1,"")</x:f>
      </x:c>
      <x:c r="BD28" s="167" t="str">
        <x:f>IF(AND(BD$6&lt;=$H28,BD$6+6&gt;=$G28),1,"")</x:f>
      </x:c>
      <x:c r="BE28" s="167" t="str">
        <x:f>IF(AND(BE$6&lt;=$H28,BE$6+6&gt;=$G28),1,"")</x:f>
      </x:c>
      <x:c r="BF28" s="167" t="str">
        <x:f>IF(AND(BF$6&lt;=$H28,BF$6+6&gt;=$G28),1,"")</x:f>
      </x:c>
      <x:c r="BG28" s="167" t="str">
        <x:f>IF(AND(BG$6&lt;=$H28,BG$6+6&gt;=$G28),1,"")</x:f>
      </x:c>
      <x:c r="BH28" s="167" t="str">
        <x:f>IF(AND(BH$6&lt;=$H28,BH$6+6&gt;=$G28),1,"")</x:f>
      </x:c>
      <x:c r="BI28" s="167" t="str">
        <x:f>IF(AND(BI$6&lt;=$H28,BI$6+6&gt;=$G28),1,"")</x:f>
      </x:c>
      <x:c r="BJ28" s="167" t="str">
        <x:f>IF(AND(BJ$6&lt;=$H28,BJ$6+6&gt;=$G28),1,"")</x:f>
      </x:c>
      <x:c r="BK28" s="168" t="str">
        <x:f>IF(AND(BK$6&lt;=$H28,BK$6+6&gt;=$G28),1,"")</x:f>
      </x:c>
    </x:row>
    <x:row r="29" ht="24" customHeight="1">
      <x:c r="A29" s="68" t="str">
        <x:f>'Research Tasks'!A27</x:f>
        <x:v>AI-202</x:v>
      </x:c>
      <x:c r="B29" s="68" t="str">
        <x:f>'Research Tasks'!B27</x:f>
        <x:v>M2</x:v>
      </x:c>
      <x:c r="C29" s="68" t="str">
        <x:f>'Research Tasks'!C27</x:f>
        <x:v>Generative Process/Sensors</x:v>
      </x:c>
      <x:c r="D29" s="68" t="str">
        <x:f>'Research Tasks'!D27</x:f>
        <x:v>Implement the fixed-view observation generative process</x:v>
      </x:c>
      <x:c r="E29" s="68" t="str">
        <x:f>'Research Tasks'!E27</x:f>
        <x:v>AI-201, T-101, T-102</x:v>
      </x:c>
      <x:c r="F29" s="68" t="str">
        <x:f>'Research Tasks'!F27</x:f>
        <x:v>Active</x:v>
      </x:c>
      <x:c r="G29" s="94" t="n">
        <x:f>'Research Tasks'!I27</x:f>
        <x:v>46295</x:v>
      </x:c>
      <x:c r="H29" s="94" t="n">
        <x:f>'Research Tasks'!J27</x:f>
        <x:v>46297</x:v>
      </x:c>
      <x:c r="I29" s="166" t="str">
        <x:f>IF(AND(I$6&lt;=$H29,I$6+6&gt;=$G29),1,"")</x:f>
      </x:c>
      <x:c r="J29" s="167" t="str">
        <x:f>IF(AND(J$6&lt;=$H29,J$6+6&gt;=$G29),1,"")</x:f>
      </x:c>
      <x:c r="K29" s="167" t="str">
        <x:f>IF(AND(K$6&lt;=$H29,K$6+6&gt;=$G29),1,"")</x:f>
      </x:c>
      <x:c r="L29" s="167" t="str">
        <x:f>IF(AND(L$6&lt;=$H29,L$6+6&gt;=$G29),1,"")</x:f>
      </x:c>
      <x:c r="M29" s="167" t="str">
        <x:f>IF(AND(M$6&lt;=$H29,M$6+6&gt;=$G29),1,"")</x:f>
      </x:c>
      <x:c r="N29" s="167" t="str">
        <x:f>IF(AND(N$6&lt;=$H29,N$6+6&gt;=$G29),1,"")</x:f>
      </x:c>
      <x:c r="O29" s="167" t="str">
        <x:f>IF(AND(O$6&lt;=$H29,O$6+6&gt;=$G29),1,"")</x:f>
      </x:c>
      <x:c r="P29" s="167" t="str">
        <x:f>IF(AND(P$6&lt;=$H29,P$6+6&gt;=$G29),1,"")</x:f>
      </x:c>
      <x:c r="Q29" s="167" t="n">
        <x:f>IF(AND(Q$6&lt;=$H29,Q$6+6&gt;=$G29),1,"")</x:f>
        <x:v>1</x:v>
      </x:c>
      <x:c r="R29" s="167" t="str">
        <x:f>IF(AND(R$6&lt;=$H29,R$6+6&gt;=$G29),1,"")</x:f>
      </x:c>
      <x:c r="S29" s="167" t="str">
        <x:f>IF(AND(S$6&lt;=$H29,S$6+6&gt;=$G29),1,"")</x:f>
      </x:c>
      <x:c r="T29" s="167" t="str">
        <x:f>IF(AND(T$6&lt;=$H29,T$6+6&gt;=$G29),1,"")</x:f>
      </x:c>
      <x:c r="U29" s="167" t="str">
        <x:f>IF(AND(U$6&lt;=$H29,U$6+6&gt;=$G29),1,"")</x:f>
      </x:c>
      <x:c r="V29" s="167" t="str">
        <x:f>IF(AND(V$6&lt;=$H29,V$6+6&gt;=$G29),1,"")</x:f>
      </x:c>
      <x:c r="W29" s="167" t="str">
        <x:f>IF(AND(W$6&lt;=$H29,W$6+6&gt;=$G29),1,"")</x:f>
      </x:c>
      <x:c r="X29" s="167" t="str">
        <x:f>IF(AND(X$6&lt;=$H29,X$6+6&gt;=$G29),1,"")</x:f>
      </x:c>
      <x:c r="Y29" s="167" t="str">
        <x:f>IF(AND(Y$6&lt;=$H29,Y$6+6&gt;=$G29),1,"")</x:f>
      </x:c>
      <x:c r="Z29" s="167" t="str">
        <x:f>IF(AND(Z$6&lt;=$H29,Z$6+6&gt;=$G29),1,"")</x:f>
      </x:c>
      <x:c r="AA29" s="167" t="str">
        <x:f>IF(AND(AA$6&lt;=$H29,AA$6+6&gt;=$G29),1,"")</x:f>
      </x:c>
      <x:c r="AB29" s="167" t="str">
        <x:f>IF(AND(AB$6&lt;=$H29,AB$6+6&gt;=$G29),1,"")</x:f>
      </x:c>
      <x:c r="AC29" s="167" t="str">
        <x:f>IF(AND(AC$6&lt;=$H29,AC$6+6&gt;=$G29),1,"")</x:f>
      </x:c>
      <x:c r="AD29" s="167" t="str">
        <x:f>IF(AND(AD$6&lt;=$H29,AD$6+6&gt;=$G29),1,"")</x:f>
      </x:c>
      <x:c r="AE29" s="167" t="str">
        <x:f>IF(AND(AE$6&lt;=$H29,AE$6+6&gt;=$G29),1,"")</x:f>
      </x:c>
      <x:c r="AF29" s="167" t="str">
        <x:f>IF(AND(AF$6&lt;=$H29,AF$6+6&gt;=$G29),1,"")</x:f>
      </x:c>
      <x:c r="AG29" s="167" t="str">
        <x:f>IF(AND(AG$6&lt;=$H29,AG$6+6&gt;=$G29),1,"")</x:f>
      </x:c>
      <x:c r="AH29" s="167" t="str">
        <x:f>IF(AND(AH$6&lt;=$H29,AH$6+6&gt;=$G29),1,"")</x:f>
      </x:c>
      <x:c r="AI29" s="167" t="str">
        <x:f>IF(AND(AI$6&lt;=$H29,AI$6+6&gt;=$G29),1,"")</x:f>
      </x:c>
      <x:c r="AJ29" s="167" t="str">
        <x:f>IF(AND(AJ$6&lt;=$H29,AJ$6+6&gt;=$G29),1,"")</x:f>
      </x:c>
      <x:c r="AK29" s="167" t="str">
        <x:f>IF(AND(AK$6&lt;=$H29,AK$6+6&gt;=$G29),1,"")</x:f>
      </x:c>
      <x:c r="AL29" s="167" t="str">
        <x:f>IF(AND(AL$6&lt;=$H29,AL$6+6&gt;=$G29),1,"")</x:f>
      </x:c>
      <x:c r="AM29" s="167" t="str">
        <x:f>IF(AND(AM$6&lt;=$H29,AM$6+6&gt;=$G29),1,"")</x:f>
      </x:c>
      <x:c r="AN29" s="167" t="str">
        <x:f>IF(AND(AN$6&lt;=$H29,AN$6+6&gt;=$G29),1,"")</x:f>
      </x:c>
      <x:c r="AO29" s="167" t="str">
        <x:f>IF(AND(AO$6&lt;=$H29,AO$6+6&gt;=$G29),1,"")</x:f>
      </x:c>
      <x:c r="AP29" s="167" t="str">
        <x:f>IF(AND(AP$6&lt;=$H29,AP$6+6&gt;=$G29),1,"")</x:f>
      </x:c>
      <x:c r="AQ29" s="167" t="str">
        <x:f>IF(AND(AQ$6&lt;=$H29,AQ$6+6&gt;=$G29),1,"")</x:f>
      </x:c>
      <x:c r="AR29" s="167" t="str">
        <x:f>IF(AND(AR$6&lt;=$H29,AR$6+6&gt;=$G29),1,"")</x:f>
      </x:c>
      <x:c r="AS29" s="167" t="str">
        <x:f>IF(AND(AS$6&lt;=$H29,AS$6+6&gt;=$G29),1,"")</x:f>
      </x:c>
      <x:c r="AT29" s="167" t="str">
        <x:f>IF(AND(AT$6&lt;=$H29,AT$6+6&gt;=$G29),1,"")</x:f>
      </x:c>
      <x:c r="AU29" s="167" t="str">
        <x:f>IF(AND(AU$6&lt;=$H29,AU$6+6&gt;=$G29),1,"")</x:f>
      </x:c>
      <x:c r="AV29" s="167" t="str">
        <x:f>IF(AND(AV$6&lt;=$H29,AV$6+6&gt;=$G29),1,"")</x:f>
      </x:c>
      <x:c r="AW29" s="167" t="str">
        <x:f>IF(AND(AW$6&lt;=$H29,AW$6+6&gt;=$G29),1,"")</x:f>
      </x:c>
      <x:c r="AX29" s="167" t="str">
        <x:f>IF(AND(AX$6&lt;=$H29,AX$6+6&gt;=$G29),1,"")</x:f>
      </x:c>
      <x:c r="AY29" s="167" t="str">
        <x:f>IF(AND(AY$6&lt;=$H29,AY$6+6&gt;=$G29),1,"")</x:f>
      </x:c>
      <x:c r="AZ29" s="167" t="str">
        <x:f>IF(AND(AZ$6&lt;=$H29,AZ$6+6&gt;=$G29),1,"")</x:f>
      </x:c>
      <x:c r="BA29" s="167" t="str">
        <x:f>IF(AND(BA$6&lt;=$H29,BA$6+6&gt;=$G29),1,"")</x:f>
      </x:c>
      <x:c r="BB29" s="167" t="str">
        <x:f>IF(AND(BB$6&lt;=$H29,BB$6+6&gt;=$G29),1,"")</x:f>
      </x:c>
      <x:c r="BC29" s="167" t="str">
        <x:f>IF(AND(BC$6&lt;=$H29,BC$6+6&gt;=$G29),1,"")</x:f>
      </x:c>
      <x:c r="BD29" s="167" t="str">
        <x:f>IF(AND(BD$6&lt;=$H29,BD$6+6&gt;=$G29),1,"")</x:f>
      </x:c>
      <x:c r="BE29" s="167" t="str">
        <x:f>IF(AND(BE$6&lt;=$H29,BE$6+6&gt;=$G29),1,"")</x:f>
      </x:c>
      <x:c r="BF29" s="167" t="str">
        <x:f>IF(AND(BF$6&lt;=$H29,BF$6+6&gt;=$G29),1,"")</x:f>
      </x:c>
      <x:c r="BG29" s="167" t="str">
        <x:f>IF(AND(BG$6&lt;=$H29,BG$6+6&gt;=$G29),1,"")</x:f>
      </x:c>
      <x:c r="BH29" s="167" t="str">
        <x:f>IF(AND(BH$6&lt;=$H29,BH$6+6&gt;=$G29),1,"")</x:f>
      </x:c>
      <x:c r="BI29" s="167" t="str">
        <x:f>IF(AND(BI$6&lt;=$H29,BI$6+6&gt;=$G29),1,"")</x:f>
      </x:c>
      <x:c r="BJ29" s="167" t="str">
        <x:f>IF(AND(BJ$6&lt;=$H29,BJ$6+6&gt;=$G29),1,"")</x:f>
      </x:c>
      <x:c r="BK29" s="168" t="str">
        <x:f>IF(AND(BK$6&lt;=$H29,BK$6+6&gt;=$G29),1,"")</x:f>
      </x:c>
    </x:row>
    <x:row r="30" ht="24" customHeight="1">
      <x:c r="A30" s="68" t="str">
        <x:f>'Research Tasks'!A28</x:f>
        <x:v>AI-203</x:v>
      </x:c>
      <x:c r="B30" s="68" t="str">
        <x:f>'Research Tasks'!B28</x:f>
        <x:v>M2</x:v>
      </x:c>
      <x:c r="C30" s="68" t="str">
        <x:f>'Research Tasks'!C28</x:f>
        <x:v>Generative Model</x:v>
      </x:c>
      <x:c r="D30" s="68" t="str">
        <x:f>'Research Tasks'!D28</x:f>
        <x:v>Specify and implement the observation likelihood</x:v>
      </x:c>
      <x:c r="E30" s="68" t="str">
        <x:f>'Research Tasks'!E28</x:f>
        <x:v>AI-201, AI-202</x:v>
      </x:c>
      <x:c r="F30" s="68" t="str">
        <x:f>'Research Tasks'!F28</x:f>
        <x:v>Active</x:v>
      </x:c>
      <x:c r="G30" s="94" t="n">
        <x:f>'Research Tasks'!I28</x:f>
        <x:v>46300</x:v>
      </x:c>
      <x:c r="H30" s="94" t="n">
        <x:f>'Research Tasks'!J28</x:f>
        <x:v>46303</x:v>
      </x:c>
      <x:c r="I30" s="166" t="str">
        <x:f>IF(AND(I$6&lt;=$H30,I$6+6&gt;=$G30),1,"")</x:f>
      </x:c>
      <x:c r="J30" s="167" t="str">
        <x:f>IF(AND(J$6&lt;=$H30,J$6+6&gt;=$G30),1,"")</x:f>
      </x:c>
      <x:c r="K30" s="167" t="str">
        <x:f>IF(AND(K$6&lt;=$H30,K$6+6&gt;=$G30),1,"")</x:f>
      </x:c>
      <x:c r="L30" s="167" t="str">
        <x:f>IF(AND(L$6&lt;=$H30,L$6+6&gt;=$G30),1,"")</x:f>
      </x:c>
      <x:c r="M30" s="167" t="str">
        <x:f>IF(AND(M$6&lt;=$H30,M$6+6&gt;=$G30),1,"")</x:f>
      </x:c>
      <x:c r="N30" s="167" t="str">
        <x:f>IF(AND(N$6&lt;=$H30,N$6+6&gt;=$G30),1,"")</x:f>
      </x:c>
      <x:c r="O30" s="167" t="str">
        <x:f>IF(AND(O$6&lt;=$H30,O$6+6&gt;=$G30),1,"")</x:f>
      </x:c>
      <x:c r="P30" s="167" t="str">
        <x:f>IF(AND(P$6&lt;=$H30,P$6+6&gt;=$G30),1,"")</x:f>
      </x:c>
      <x:c r="Q30" s="167" t="str">
        <x:f>IF(AND(Q$6&lt;=$H30,Q$6+6&gt;=$G30),1,"")</x:f>
      </x:c>
      <x:c r="R30" s="167" t="n">
        <x:f>IF(AND(R$6&lt;=$H30,R$6+6&gt;=$G30),1,"")</x:f>
        <x:v>1</x:v>
      </x:c>
      <x:c r="S30" s="167" t="str">
        <x:f>IF(AND(S$6&lt;=$H30,S$6+6&gt;=$G30),1,"")</x:f>
      </x:c>
      <x:c r="T30" s="167" t="str">
        <x:f>IF(AND(T$6&lt;=$H30,T$6+6&gt;=$G30),1,"")</x:f>
      </x:c>
      <x:c r="U30" s="167" t="str">
        <x:f>IF(AND(U$6&lt;=$H30,U$6+6&gt;=$G30),1,"")</x:f>
      </x:c>
      <x:c r="V30" s="167" t="str">
        <x:f>IF(AND(V$6&lt;=$H30,V$6+6&gt;=$G30),1,"")</x:f>
      </x:c>
      <x:c r="W30" s="167" t="str">
        <x:f>IF(AND(W$6&lt;=$H30,W$6+6&gt;=$G30),1,"")</x:f>
      </x:c>
      <x:c r="X30" s="167" t="str">
        <x:f>IF(AND(X$6&lt;=$H30,X$6+6&gt;=$G30),1,"")</x:f>
      </x:c>
      <x:c r="Y30" s="167" t="str">
        <x:f>IF(AND(Y$6&lt;=$H30,Y$6+6&gt;=$G30),1,"")</x:f>
      </x:c>
      <x:c r="Z30" s="167" t="str">
        <x:f>IF(AND(Z$6&lt;=$H30,Z$6+6&gt;=$G30),1,"")</x:f>
      </x:c>
      <x:c r="AA30" s="167" t="str">
        <x:f>IF(AND(AA$6&lt;=$H30,AA$6+6&gt;=$G30),1,"")</x:f>
      </x:c>
      <x:c r="AB30" s="167" t="str">
        <x:f>IF(AND(AB$6&lt;=$H30,AB$6+6&gt;=$G30),1,"")</x:f>
      </x:c>
      <x:c r="AC30" s="167" t="str">
        <x:f>IF(AND(AC$6&lt;=$H30,AC$6+6&gt;=$G30),1,"")</x:f>
      </x:c>
      <x:c r="AD30" s="167" t="str">
        <x:f>IF(AND(AD$6&lt;=$H30,AD$6+6&gt;=$G30),1,"")</x:f>
      </x:c>
      <x:c r="AE30" s="167" t="str">
        <x:f>IF(AND(AE$6&lt;=$H30,AE$6+6&gt;=$G30),1,"")</x:f>
      </x:c>
      <x:c r="AF30" s="167" t="str">
        <x:f>IF(AND(AF$6&lt;=$H30,AF$6+6&gt;=$G30),1,"")</x:f>
      </x:c>
      <x:c r="AG30" s="167" t="str">
        <x:f>IF(AND(AG$6&lt;=$H30,AG$6+6&gt;=$G30),1,"")</x:f>
      </x:c>
      <x:c r="AH30" s="167" t="str">
        <x:f>IF(AND(AH$6&lt;=$H30,AH$6+6&gt;=$G30),1,"")</x:f>
      </x:c>
      <x:c r="AI30" s="167" t="str">
        <x:f>IF(AND(AI$6&lt;=$H30,AI$6+6&gt;=$G30),1,"")</x:f>
      </x:c>
      <x:c r="AJ30" s="167" t="str">
        <x:f>IF(AND(AJ$6&lt;=$H30,AJ$6+6&gt;=$G30),1,"")</x:f>
      </x:c>
      <x:c r="AK30" s="167" t="str">
        <x:f>IF(AND(AK$6&lt;=$H30,AK$6+6&gt;=$G30),1,"")</x:f>
      </x:c>
      <x:c r="AL30" s="167" t="str">
        <x:f>IF(AND(AL$6&lt;=$H30,AL$6+6&gt;=$G30),1,"")</x:f>
      </x:c>
      <x:c r="AM30" s="167" t="str">
        <x:f>IF(AND(AM$6&lt;=$H30,AM$6+6&gt;=$G30),1,"")</x:f>
      </x:c>
      <x:c r="AN30" s="167" t="str">
        <x:f>IF(AND(AN$6&lt;=$H30,AN$6+6&gt;=$G30),1,"")</x:f>
      </x:c>
      <x:c r="AO30" s="167" t="str">
        <x:f>IF(AND(AO$6&lt;=$H30,AO$6+6&gt;=$G30),1,"")</x:f>
      </x:c>
      <x:c r="AP30" s="167" t="str">
        <x:f>IF(AND(AP$6&lt;=$H30,AP$6+6&gt;=$G30),1,"")</x:f>
      </x:c>
      <x:c r="AQ30" s="167" t="str">
        <x:f>IF(AND(AQ$6&lt;=$H30,AQ$6+6&gt;=$G30),1,"")</x:f>
      </x:c>
      <x:c r="AR30" s="167" t="str">
        <x:f>IF(AND(AR$6&lt;=$H30,AR$6+6&gt;=$G30),1,"")</x:f>
      </x:c>
      <x:c r="AS30" s="167" t="str">
        <x:f>IF(AND(AS$6&lt;=$H30,AS$6+6&gt;=$G30),1,"")</x:f>
      </x:c>
      <x:c r="AT30" s="167" t="str">
        <x:f>IF(AND(AT$6&lt;=$H30,AT$6+6&gt;=$G30),1,"")</x:f>
      </x:c>
      <x:c r="AU30" s="167" t="str">
        <x:f>IF(AND(AU$6&lt;=$H30,AU$6+6&gt;=$G30),1,"")</x:f>
      </x:c>
      <x:c r="AV30" s="167" t="str">
        <x:f>IF(AND(AV$6&lt;=$H30,AV$6+6&gt;=$G30),1,"")</x:f>
      </x:c>
      <x:c r="AW30" s="167" t="str">
        <x:f>IF(AND(AW$6&lt;=$H30,AW$6+6&gt;=$G30),1,"")</x:f>
      </x:c>
      <x:c r="AX30" s="167" t="str">
        <x:f>IF(AND(AX$6&lt;=$H30,AX$6+6&gt;=$G30),1,"")</x:f>
      </x:c>
      <x:c r="AY30" s="167" t="str">
        <x:f>IF(AND(AY$6&lt;=$H30,AY$6+6&gt;=$G30),1,"")</x:f>
      </x:c>
      <x:c r="AZ30" s="167" t="str">
        <x:f>IF(AND(AZ$6&lt;=$H30,AZ$6+6&gt;=$G30),1,"")</x:f>
      </x:c>
      <x:c r="BA30" s="167" t="str">
        <x:f>IF(AND(BA$6&lt;=$H30,BA$6+6&gt;=$G30),1,"")</x:f>
      </x:c>
      <x:c r="BB30" s="167" t="str">
        <x:f>IF(AND(BB$6&lt;=$H30,BB$6+6&gt;=$G30),1,"")</x:f>
      </x:c>
      <x:c r="BC30" s="167" t="str">
        <x:f>IF(AND(BC$6&lt;=$H30,BC$6+6&gt;=$G30),1,"")</x:f>
      </x:c>
      <x:c r="BD30" s="167" t="str">
        <x:f>IF(AND(BD$6&lt;=$H30,BD$6+6&gt;=$G30),1,"")</x:f>
      </x:c>
      <x:c r="BE30" s="167" t="str">
        <x:f>IF(AND(BE$6&lt;=$H30,BE$6+6&gt;=$G30),1,"")</x:f>
      </x:c>
      <x:c r="BF30" s="167" t="str">
        <x:f>IF(AND(BF$6&lt;=$H30,BF$6+6&gt;=$G30),1,"")</x:f>
      </x:c>
      <x:c r="BG30" s="167" t="str">
        <x:f>IF(AND(BG$6&lt;=$H30,BG$6+6&gt;=$G30),1,"")</x:f>
      </x:c>
      <x:c r="BH30" s="167" t="str">
        <x:f>IF(AND(BH$6&lt;=$H30,BH$6+6&gt;=$G30),1,"")</x:f>
      </x:c>
      <x:c r="BI30" s="167" t="str">
        <x:f>IF(AND(BI$6&lt;=$H30,BI$6+6&gt;=$G30),1,"")</x:f>
      </x:c>
      <x:c r="BJ30" s="167" t="str">
        <x:f>IF(AND(BJ$6&lt;=$H30,BJ$6+6&gt;=$G30),1,"")</x:f>
      </x:c>
      <x:c r="BK30" s="168" t="str">
        <x:f>IF(AND(BK$6&lt;=$H30,BK$6+6&gt;=$G30),1,"")</x:f>
      </x:c>
    </x:row>
    <x:row r="31" ht="24" customHeight="1">
      <x:c r="A31" s="68" t="str">
        <x:f>'Research Tasks'!A29</x:f>
        <x:v>AI-204</x:v>
      </x:c>
      <x:c r="B31" s="68" t="str">
        <x:f>'Research Tasks'!B29</x:f>
        <x:v>M2</x:v>
      </x:c>
      <x:c r="C31" s="68" t="str">
        <x:f>'Research Tasks'!C29</x:f>
        <x:v>Variational Inference</x:v>
      </x:c>
      <x:c r="D31" s="68" t="str">
        <x:f>'Research Tasks'!D29</x:f>
        <x:v>Build the compact state-inference path</x:v>
      </x:c>
      <x:c r="E31" s="68" t="str">
        <x:f>'Research Tasks'!E29</x:f>
        <x:v>AI-203</x:v>
      </x:c>
      <x:c r="F31" s="68" t="str">
        <x:f>'Research Tasks'!F29</x:f>
        <x:v>Active</x:v>
      </x:c>
      <x:c r="G31" s="94" t="n">
        <x:f>'Research Tasks'!I29</x:f>
        <x:v>46304</x:v>
      </x:c>
      <x:c r="H31" s="94" t="n">
        <x:f>'Research Tasks'!J29</x:f>
        <x:v>46310</x:v>
      </x:c>
      <x:c r="I31" s="166" t="str">
        <x:f>IF(AND(I$6&lt;=$H31,I$6+6&gt;=$G31),1,"")</x:f>
      </x:c>
      <x:c r="J31" s="167" t="str">
        <x:f>IF(AND(J$6&lt;=$H31,J$6+6&gt;=$G31),1,"")</x:f>
      </x:c>
      <x:c r="K31" s="167" t="str">
        <x:f>IF(AND(K$6&lt;=$H31,K$6+6&gt;=$G31),1,"")</x:f>
      </x:c>
      <x:c r="L31" s="167" t="str">
        <x:f>IF(AND(L$6&lt;=$H31,L$6+6&gt;=$G31),1,"")</x:f>
      </x:c>
      <x:c r="M31" s="167" t="str">
        <x:f>IF(AND(M$6&lt;=$H31,M$6+6&gt;=$G31),1,"")</x:f>
      </x:c>
      <x:c r="N31" s="167" t="str">
        <x:f>IF(AND(N$6&lt;=$H31,N$6+6&gt;=$G31),1,"")</x:f>
      </x:c>
      <x:c r="O31" s="167" t="str">
        <x:f>IF(AND(O$6&lt;=$H31,O$6+6&gt;=$G31),1,"")</x:f>
      </x:c>
      <x:c r="P31" s="167" t="str">
        <x:f>IF(AND(P$6&lt;=$H31,P$6+6&gt;=$G31),1,"")</x:f>
      </x:c>
      <x:c r="Q31" s="167" t="str">
        <x:f>IF(AND(Q$6&lt;=$H31,Q$6+6&gt;=$G31),1,"")</x:f>
      </x:c>
      <x:c r="R31" s="167" t="n">
        <x:f>IF(AND(R$6&lt;=$H31,R$6+6&gt;=$G31),1,"")</x:f>
        <x:v>1</x:v>
      </x:c>
      <x:c r="S31" s="167" t="n">
        <x:f>IF(AND(S$6&lt;=$H31,S$6+6&gt;=$G31),1,"")</x:f>
        <x:v>1</x:v>
      </x:c>
      <x:c r="T31" s="167" t="str">
        <x:f>IF(AND(T$6&lt;=$H31,T$6+6&gt;=$G31),1,"")</x:f>
      </x:c>
      <x:c r="U31" s="167" t="str">
        <x:f>IF(AND(U$6&lt;=$H31,U$6+6&gt;=$G31),1,"")</x:f>
      </x:c>
      <x:c r="V31" s="167" t="str">
        <x:f>IF(AND(V$6&lt;=$H31,V$6+6&gt;=$G31),1,"")</x:f>
      </x:c>
      <x:c r="W31" s="167" t="str">
        <x:f>IF(AND(W$6&lt;=$H31,W$6+6&gt;=$G31),1,"")</x:f>
      </x:c>
      <x:c r="X31" s="167" t="str">
        <x:f>IF(AND(X$6&lt;=$H31,X$6+6&gt;=$G31),1,"")</x:f>
      </x:c>
      <x:c r="Y31" s="167" t="str">
        <x:f>IF(AND(Y$6&lt;=$H31,Y$6+6&gt;=$G31),1,"")</x:f>
      </x:c>
      <x:c r="Z31" s="167" t="str">
        <x:f>IF(AND(Z$6&lt;=$H31,Z$6+6&gt;=$G31),1,"")</x:f>
      </x:c>
      <x:c r="AA31" s="167" t="str">
        <x:f>IF(AND(AA$6&lt;=$H31,AA$6+6&gt;=$G31),1,"")</x:f>
      </x:c>
      <x:c r="AB31" s="167" t="str">
        <x:f>IF(AND(AB$6&lt;=$H31,AB$6+6&gt;=$G31),1,"")</x:f>
      </x:c>
      <x:c r="AC31" s="167" t="str">
        <x:f>IF(AND(AC$6&lt;=$H31,AC$6+6&gt;=$G31),1,"")</x:f>
      </x:c>
      <x:c r="AD31" s="167" t="str">
        <x:f>IF(AND(AD$6&lt;=$H31,AD$6+6&gt;=$G31),1,"")</x:f>
      </x:c>
      <x:c r="AE31" s="167" t="str">
        <x:f>IF(AND(AE$6&lt;=$H31,AE$6+6&gt;=$G31),1,"")</x:f>
      </x:c>
      <x:c r="AF31" s="167" t="str">
        <x:f>IF(AND(AF$6&lt;=$H31,AF$6+6&gt;=$G31),1,"")</x:f>
      </x:c>
      <x:c r="AG31" s="167" t="str">
        <x:f>IF(AND(AG$6&lt;=$H31,AG$6+6&gt;=$G31),1,"")</x:f>
      </x:c>
      <x:c r="AH31" s="167" t="str">
        <x:f>IF(AND(AH$6&lt;=$H31,AH$6+6&gt;=$G31),1,"")</x:f>
      </x:c>
      <x:c r="AI31" s="167" t="str">
        <x:f>IF(AND(AI$6&lt;=$H31,AI$6+6&gt;=$G31),1,"")</x:f>
      </x:c>
      <x:c r="AJ31" s="167" t="str">
        <x:f>IF(AND(AJ$6&lt;=$H31,AJ$6+6&gt;=$G31),1,"")</x:f>
      </x:c>
      <x:c r="AK31" s="167" t="str">
        <x:f>IF(AND(AK$6&lt;=$H31,AK$6+6&gt;=$G31),1,"")</x:f>
      </x:c>
      <x:c r="AL31" s="167" t="str">
        <x:f>IF(AND(AL$6&lt;=$H31,AL$6+6&gt;=$G31),1,"")</x:f>
      </x:c>
      <x:c r="AM31" s="167" t="str">
        <x:f>IF(AND(AM$6&lt;=$H31,AM$6+6&gt;=$G31),1,"")</x:f>
      </x:c>
      <x:c r="AN31" s="167" t="str">
        <x:f>IF(AND(AN$6&lt;=$H31,AN$6+6&gt;=$G31),1,"")</x:f>
      </x:c>
      <x:c r="AO31" s="167" t="str">
        <x:f>IF(AND(AO$6&lt;=$H31,AO$6+6&gt;=$G31),1,"")</x:f>
      </x:c>
      <x:c r="AP31" s="167" t="str">
        <x:f>IF(AND(AP$6&lt;=$H31,AP$6+6&gt;=$G31),1,"")</x:f>
      </x:c>
      <x:c r="AQ31" s="167" t="str">
        <x:f>IF(AND(AQ$6&lt;=$H31,AQ$6+6&gt;=$G31),1,"")</x:f>
      </x:c>
      <x:c r="AR31" s="167" t="str">
        <x:f>IF(AND(AR$6&lt;=$H31,AR$6+6&gt;=$G31),1,"")</x:f>
      </x:c>
      <x:c r="AS31" s="167" t="str">
        <x:f>IF(AND(AS$6&lt;=$H31,AS$6+6&gt;=$G31),1,"")</x:f>
      </x:c>
      <x:c r="AT31" s="167" t="str">
        <x:f>IF(AND(AT$6&lt;=$H31,AT$6+6&gt;=$G31),1,"")</x:f>
      </x:c>
      <x:c r="AU31" s="167" t="str">
        <x:f>IF(AND(AU$6&lt;=$H31,AU$6+6&gt;=$G31),1,"")</x:f>
      </x:c>
      <x:c r="AV31" s="167" t="str">
        <x:f>IF(AND(AV$6&lt;=$H31,AV$6+6&gt;=$G31),1,"")</x:f>
      </x:c>
      <x:c r="AW31" s="167" t="str">
        <x:f>IF(AND(AW$6&lt;=$H31,AW$6+6&gt;=$G31),1,"")</x:f>
      </x:c>
      <x:c r="AX31" s="167" t="str">
        <x:f>IF(AND(AX$6&lt;=$H31,AX$6+6&gt;=$G31),1,"")</x:f>
      </x:c>
      <x:c r="AY31" s="167" t="str">
        <x:f>IF(AND(AY$6&lt;=$H31,AY$6+6&gt;=$G31),1,"")</x:f>
      </x:c>
      <x:c r="AZ31" s="167" t="str">
        <x:f>IF(AND(AZ$6&lt;=$H31,AZ$6+6&gt;=$G31),1,"")</x:f>
      </x:c>
      <x:c r="BA31" s="167" t="str">
        <x:f>IF(AND(BA$6&lt;=$H31,BA$6+6&gt;=$G31),1,"")</x:f>
      </x:c>
      <x:c r="BB31" s="167" t="str">
        <x:f>IF(AND(BB$6&lt;=$H31,BB$6+6&gt;=$G31),1,"")</x:f>
      </x:c>
      <x:c r="BC31" s="167" t="str">
        <x:f>IF(AND(BC$6&lt;=$H31,BC$6+6&gt;=$G31),1,"")</x:f>
      </x:c>
      <x:c r="BD31" s="167" t="str">
        <x:f>IF(AND(BD$6&lt;=$H31,BD$6+6&gt;=$G31),1,"")</x:f>
      </x:c>
      <x:c r="BE31" s="167" t="str">
        <x:f>IF(AND(BE$6&lt;=$H31,BE$6+6&gt;=$G31),1,"")</x:f>
      </x:c>
      <x:c r="BF31" s="167" t="str">
        <x:f>IF(AND(BF$6&lt;=$H31,BF$6+6&gt;=$G31),1,"")</x:f>
      </x:c>
      <x:c r="BG31" s="167" t="str">
        <x:f>IF(AND(BG$6&lt;=$H31,BG$6+6&gt;=$G31),1,"")</x:f>
      </x:c>
      <x:c r="BH31" s="167" t="str">
        <x:f>IF(AND(BH$6&lt;=$H31,BH$6+6&gt;=$G31),1,"")</x:f>
      </x:c>
      <x:c r="BI31" s="167" t="str">
        <x:f>IF(AND(BI$6&lt;=$H31,BI$6+6&gt;=$G31),1,"")</x:f>
      </x:c>
      <x:c r="BJ31" s="167" t="str">
        <x:f>IF(AND(BJ$6&lt;=$H31,BJ$6+6&gt;=$G31),1,"")</x:f>
      </x:c>
      <x:c r="BK31" s="168" t="str">
        <x:f>IF(AND(BK$6&lt;=$H31,BK$6+6&gt;=$G31),1,"")</x:f>
      </x:c>
    </x:row>
    <x:row r="32" ht="24" customHeight="1">
      <x:c r="A32" s="68" t="str">
        <x:f>'Research Tasks'!A30</x:f>
        <x:v>AI-205</x:v>
      </x:c>
      <x:c r="B32" s="68" t="str">
        <x:f>'Research Tasks'!B30</x:f>
        <x:v>M2</x:v>
      </x:c>
      <x:c r="C32" s="68" t="str">
        <x:f>'Research Tasks'!C30</x:f>
        <x:v>Transition Model/Data</x:v>
      </x:c>
      <x:c r="D32" s="68" t="str">
        <x:f>'Research Tasks'!D30</x:f>
        <x:v>Align local visual dynamics training with live execution</x:v>
      </x:c>
      <x:c r="E32" s="68" t="str">
        <x:f>'Research Tasks'!E30</x:f>
        <x:v>AI-108, AI-202</x:v>
      </x:c>
      <x:c r="F32" s="68" t="str">
        <x:f>'Research Tasks'!F30</x:f>
        <x:v>Blocked</x:v>
      </x:c>
      <x:c r="G32" s="94" t="n">
        <x:f>'Research Tasks'!I30</x:f>
        <x:v>46311</x:v>
      </x:c>
      <x:c r="H32" s="94" t="n">
        <x:f>'Research Tasks'!J30</x:f>
        <x:v>46315</x:v>
      </x:c>
      <x:c r="I32" s="166" t="str">
        <x:f>IF(AND(I$6&lt;=$H32,I$6+6&gt;=$G32),1,"")</x:f>
      </x:c>
      <x:c r="J32" s="167" t="str">
        <x:f>IF(AND(J$6&lt;=$H32,J$6+6&gt;=$G32),1,"")</x:f>
      </x:c>
      <x:c r="K32" s="167" t="str">
        <x:f>IF(AND(K$6&lt;=$H32,K$6+6&gt;=$G32),1,"")</x:f>
      </x:c>
      <x:c r="L32" s="167" t="str">
        <x:f>IF(AND(L$6&lt;=$H32,L$6+6&gt;=$G32),1,"")</x:f>
      </x:c>
      <x:c r="M32" s="167" t="str">
        <x:f>IF(AND(M$6&lt;=$H32,M$6+6&gt;=$G32),1,"")</x:f>
      </x:c>
      <x:c r="N32" s="167" t="str">
        <x:f>IF(AND(N$6&lt;=$H32,N$6+6&gt;=$G32),1,"")</x:f>
      </x:c>
      <x:c r="O32" s="167" t="str">
        <x:f>IF(AND(O$6&lt;=$H32,O$6+6&gt;=$G32),1,"")</x:f>
      </x:c>
      <x:c r="P32" s="167" t="str">
        <x:f>IF(AND(P$6&lt;=$H32,P$6+6&gt;=$G32),1,"")</x:f>
      </x:c>
      <x:c r="Q32" s="167" t="str">
        <x:f>IF(AND(Q$6&lt;=$H32,Q$6+6&gt;=$G32),1,"")</x:f>
      </x:c>
      <x:c r="R32" s="167" t="str">
        <x:f>IF(AND(R$6&lt;=$H32,R$6+6&gt;=$G32),1,"")</x:f>
      </x:c>
      <x:c r="S32" s="167" t="n">
        <x:f>IF(AND(S$6&lt;=$H32,S$6+6&gt;=$G32),1,"")</x:f>
        <x:v>1</x:v>
      </x:c>
      <x:c r="T32" s="167" t="n">
        <x:f>IF(AND(T$6&lt;=$H32,T$6+6&gt;=$G32),1,"")</x:f>
        <x:v>1</x:v>
      </x:c>
      <x:c r="U32" s="167" t="str">
        <x:f>IF(AND(U$6&lt;=$H32,U$6+6&gt;=$G32),1,"")</x:f>
      </x:c>
      <x:c r="V32" s="167" t="str">
        <x:f>IF(AND(V$6&lt;=$H32,V$6+6&gt;=$G32),1,"")</x:f>
      </x:c>
      <x:c r="W32" s="167" t="str">
        <x:f>IF(AND(W$6&lt;=$H32,W$6+6&gt;=$G32),1,"")</x:f>
      </x:c>
      <x:c r="X32" s="167" t="str">
        <x:f>IF(AND(X$6&lt;=$H32,X$6+6&gt;=$G32),1,"")</x:f>
      </x:c>
      <x:c r="Y32" s="167" t="str">
        <x:f>IF(AND(Y$6&lt;=$H32,Y$6+6&gt;=$G32),1,"")</x:f>
      </x:c>
      <x:c r="Z32" s="167" t="str">
        <x:f>IF(AND(Z$6&lt;=$H32,Z$6+6&gt;=$G32),1,"")</x:f>
      </x:c>
      <x:c r="AA32" s="167" t="str">
        <x:f>IF(AND(AA$6&lt;=$H32,AA$6+6&gt;=$G32),1,"")</x:f>
      </x:c>
      <x:c r="AB32" s="167" t="str">
        <x:f>IF(AND(AB$6&lt;=$H32,AB$6+6&gt;=$G32),1,"")</x:f>
      </x:c>
      <x:c r="AC32" s="167" t="str">
        <x:f>IF(AND(AC$6&lt;=$H32,AC$6+6&gt;=$G32),1,"")</x:f>
      </x:c>
      <x:c r="AD32" s="167" t="str">
        <x:f>IF(AND(AD$6&lt;=$H32,AD$6+6&gt;=$G32),1,"")</x:f>
      </x:c>
      <x:c r="AE32" s="167" t="str">
        <x:f>IF(AND(AE$6&lt;=$H32,AE$6+6&gt;=$G32),1,"")</x:f>
      </x:c>
      <x:c r="AF32" s="167" t="str">
        <x:f>IF(AND(AF$6&lt;=$H32,AF$6+6&gt;=$G32),1,"")</x:f>
      </x:c>
      <x:c r="AG32" s="167" t="str">
        <x:f>IF(AND(AG$6&lt;=$H32,AG$6+6&gt;=$G32),1,"")</x:f>
      </x:c>
      <x:c r="AH32" s="167" t="str">
        <x:f>IF(AND(AH$6&lt;=$H32,AH$6+6&gt;=$G32),1,"")</x:f>
      </x:c>
      <x:c r="AI32" s="167" t="str">
        <x:f>IF(AND(AI$6&lt;=$H32,AI$6+6&gt;=$G32),1,"")</x:f>
      </x:c>
      <x:c r="AJ32" s="167" t="str">
        <x:f>IF(AND(AJ$6&lt;=$H32,AJ$6+6&gt;=$G32),1,"")</x:f>
      </x:c>
      <x:c r="AK32" s="167" t="str">
        <x:f>IF(AND(AK$6&lt;=$H32,AK$6+6&gt;=$G32),1,"")</x:f>
      </x:c>
      <x:c r="AL32" s="167" t="str">
        <x:f>IF(AND(AL$6&lt;=$H32,AL$6+6&gt;=$G32),1,"")</x:f>
      </x:c>
      <x:c r="AM32" s="167" t="str">
        <x:f>IF(AND(AM$6&lt;=$H32,AM$6+6&gt;=$G32),1,"")</x:f>
      </x:c>
      <x:c r="AN32" s="167" t="str">
        <x:f>IF(AND(AN$6&lt;=$H32,AN$6+6&gt;=$G32),1,"")</x:f>
      </x:c>
      <x:c r="AO32" s="167" t="str">
        <x:f>IF(AND(AO$6&lt;=$H32,AO$6+6&gt;=$G32),1,"")</x:f>
      </x:c>
      <x:c r="AP32" s="167" t="str">
        <x:f>IF(AND(AP$6&lt;=$H32,AP$6+6&gt;=$G32),1,"")</x:f>
      </x:c>
      <x:c r="AQ32" s="167" t="str">
        <x:f>IF(AND(AQ$6&lt;=$H32,AQ$6+6&gt;=$G32),1,"")</x:f>
      </x:c>
      <x:c r="AR32" s="167" t="str">
        <x:f>IF(AND(AR$6&lt;=$H32,AR$6+6&gt;=$G32),1,"")</x:f>
      </x:c>
      <x:c r="AS32" s="167" t="str">
        <x:f>IF(AND(AS$6&lt;=$H32,AS$6+6&gt;=$G32),1,"")</x:f>
      </x:c>
      <x:c r="AT32" s="167" t="str">
        <x:f>IF(AND(AT$6&lt;=$H32,AT$6+6&gt;=$G32),1,"")</x:f>
      </x:c>
      <x:c r="AU32" s="167" t="str">
        <x:f>IF(AND(AU$6&lt;=$H32,AU$6+6&gt;=$G32),1,"")</x:f>
      </x:c>
      <x:c r="AV32" s="167" t="str">
        <x:f>IF(AND(AV$6&lt;=$H32,AV$6+6&gt;=$G32),1,"")</x:f>
      </x:c>
      <x:c r="AW32" s="167" t="str">
        <x:f>IF(AND(AW$6&lt;=$H32,AW$6+6&gt;=$G32),1,"")</x:f>
      </x:c>
      <x:c r="AX32" s="167" t="str">
        <x:f>IF(AND(AX$6&lt;=$H32,AX$6+6&gt;=$G32),1,"")</x:f>
      </x:c>
      <x:c r="AY32" s="167" t="str">
        <x:f>IF(AND(AY$6&lt;=$H32,AY$6+6&gt;=$G32),1,"")</x:f>
      </x:c>
      <x:c r="AZ32" s="167" t="str">
        <x:f>IF(AND(AZ$6&lt;=$H32,AZ$6+6&gt;=$G32),1,"")</x:f>
      </x:c>
      <x:c r="BA32" s="167" t="str">
        <x:f>IF(AND(BA$6&lt;=$H32,BA$6+6&gt;=$G32),1,"")</x:f>
      </x:c>
      <x:c r="BB32" s="167" t="str">
        <x:f>IF(AND(BB$6&lt;=$H32,BB$6+6&gt;=$G32),1,"")</x:f>
      </x:c>
      <x:c r="BC32" s="167" t="str">
        <x:f>IF(AND(BC$6&lt;=$H32,BC$6+6&gt;=$G32),1,"")</x:f>
      </x:c>
      <x:c r="BD32" s="167" t="str">
        <x:f>IF(AND(BD$6&lt;=$H32,BD$6+6&gt;=$G32),1,"")</x:f>
      </x:c>
      <x:c r="BE32" s="167" t="str">
        <x:f>IF(AND(BE$6&lt;=$H32,BE$6+6&gt;=$G32),1,"")</x:f>
      </x:c>
      <x:c r="BF32" s="167" t="str">
        <x:f>IF(AND(BF$6&lt;=$H32,BF$6+6&gt;=$G32),1,"")</x:f>
      </x:c>
      <x:c r="BG32" s="167" t="str">
        <x:f>IF(AND(BG$6&lt;=$H32,BG$6+6&gt;=$G32),1,"")</x:f>
      </x:c>
      <x:c r="BH32" s="167" t="str">
        <x:f>IF(AND(BH$6&lt;=$H32,BH$6+6&gt;=$G32),1,"")</x:f>
      </x:c>
      <x:c r="BI32" s="167" t="str">
        <x:f>IF(AND(BI$6&lt;=$H32,BI$6+6&gt;=$G32),1,"")</x:f>
      </x:c>
      <x:c r="BJ32" s="167" t="str">
        <x:f>IF(AND(BJ$6&lt;=$H32,BJ$6+6&gt;=$G32),1,"")</x:f>
      </x:c>
      <x:c r="BK32" s="168" t="str">
        <x:f>IF(AND(BK$6&lt;=$H32,BK$6+6&gt;=$G32),1,"")</x:f>
      </x:c>
    </x:row>
    <x:row r="33" ht="24" customHeight="1">
      <x:c r="A33" s="68" t="str">
        <x:f>'Research Tasks'!A31</x:f>
        <x:v>AI-206</x:v>
      </x:c>
      <x:c r="B33" s="68" t="str">
        <x:f>'Research Tasks'!B31</x:f>
        <x:v>M2</x:v>
      </x:c>
      <x:c r="C33" s="68" t="str">
        <x:f>'Research Tasks'!C31</x:f>
        <x:v>Transition Model/Validation</x:v>
      </x:c>
      <x:c r="D33" s="68" t="str">
        <x:f>'Research Tasks'!D31</x:f>
        <x:v>Validate multi-step visual prediction</x:v>
      </x:c>
      <x:c r="E33" s="68" t="str">
        <x:f>'Research Tasks'!E31</x:f>
        <x:v>AI-204, AI-205</x:v>
      </x:c>
      <x:c r="F33" s="68" t="str">
        <x:f>'Research Tasks'!F31</x:f>
        <x:v>Blocked</x:v>
      </x:c>
      <x:c r="G33" s="94" t="n">
        <x:f>'Research Tasks'!I31</x:f>
        <x:v>46316</x:v>
      </x:c>
      <x:c r="H33" s="94" t="n">
        <x:f>'Research Tasks'!J31</x:f>
        <x:v>46318</x:v>
      </x:c>
      <x:c r="I33" s="166" t="str">
        <x:f>IF(AND(I$6&lt;=$H33,I$6+6&gt;=$G33),1,"")</x:f>
      </x:c>
      <x:c r="J33" s="167" t="str">
        <x:f>IF(AND(J$6&lt;=$H33,J$6+6&gt;=$G33),1,"")</x:f>
      </x:c>
      <x:c r="K33" s="167" t="str">
        <x:f>IF(AND(K$6&lt;=$H33,K$6+6&gt;=$G33),1,"")</x:f>
      </x:c>
      <x:c r="L33" s="167" t="str">
        <x:f>IF(AND(L$6&lt;=$H33,L$6+6&gt;=$G33),1,"")</x:f>
      </x:c>
      <x:c r="M33" s="167" t="str">
        <x:f>IF(AND(M$6&lt;=$H33,M$6+6&gt;=$G33),1,"")</x:f>
      </x:c>
      <x:c r="N33" s="167" t="str">
        <x:f>IF(AND(N$6&lt;=$H33,N$6+6&gt;=$G33),1,"")</x:f>
      </x:c>
      <x:c r="O33" s="167" t="str">
        <x:f>IF(AND(O$6&lt;=$H33,O$6+6&gt;=$G33),1,"")</x:f>
      </x:c>
      <x:c r="P33" s="167" t="str">
        <x:f>IF(AND(P$6&lt;=$H33,P$6+6&gt;=$G33),1,"")</x:f>
      </x:c>
      <x:c r="Q33" s="167" t="str">
        <x:f>IF(AND(Q$6&lt;=$H33,Q$6+6&gt;=$G33),1,"")</x:f>
      </x:c>
      <x:c r="R33" s="167" t="str">
        <x:f>IF(AND(R$6&lt;=$H33,R$6+6&gt;=$G33),1,"")</x:f>
      </x:c>
      <x:c r="S33" s="167" t="str">
        <x:f>IF(AND(S$6&lt;=$H33,S$6+6&gt;=$G33),1,"")</x:f>
      </x:c>
      <x:c r="T33" s="167" t="n">
        <x:f>IF(AND(T$6&lt;=$H33,T$6+6&gt;=$G33),1,"")</x:f>
        <x:v>1</x:v>
      </x:c>
      <x:c r="U33" s="167" t="str">
        <x:f>IF(AND(U$6&lt;=$H33,U$6+6&gt;=$G33),1,"")</x:f>
      </x:c>
      <x:c r="V33" s="167" t="str">
        <x:f>IF(AND(V$6&lt;=$H33,V$6+6&gt;=$G33),1,"")</x:f>
      </x:c>
      <x:c r="W33" s="167" t="str">
        <x:f>IF(AND(W$6&lt;=$H33,W$6+6&gt;=$G33),1,"")</x:f>
      </x:c>
      <x:c r="X33" s="167" t="str">
        <x:f>IF(AND(X$6&lt;=$H33,X$6+6&gt;=$G33),1,"")</x:f>
      </x:c>
      <x:c r="Y33" s="167" t="str">
        <x:f>IF(AND(Y$6&lt;=$H33,Y$6+6&gt;=$G33),1,"")</x:f>
      </x:c>
      <x:c r="Z33" s="167" t="str">
        <x:f>IF(AND(Z$6&lt;=$H33,Z$6+6&gt;=$G33),1,"")</x:f>
      </x:c>
      <x:c r="AA33" s="167" t="str">
        <x:f>IF(AND(AA$6&lt;=$H33,AA$6+6&gt;=$G33),1,"")</x:f>
      </x:c>
      <x:c r="AB33" s="167" t="str">
        <x:f>IF(AND(AB$6&lt;=$H33,AB$6+6&gt;=$G33),1,"")</x:f>
      </x:c>
      <x:c r="AC33" s="167" t="str">
        <x:f>IF(AND(AC$6&lt;=$H33,AC$6+6&gt;=$G33),1,"")</x:f>
      </x:c>
      <x:c r="AD33" s="167" t="str">
        <x:f>IF(AND(AD$6&lt;=$H33,AD$6+6&gt;=$G33),1,"")</x:f>
      </x:c>
      <x:c r="AE33" s="167" t="str">
        <x:f>IF(AND(AE$6&lt;=$H33,AE$6+6&gt;=$G33),1,"")</x:f>
      </x:c>
      <x:c r="AF33" s="167" t="str">
        <x:f>IF(AND(AF$6&lt;=$H33,AF$6+6&gt;=$G33),1,"")</x:f>
      </x:c>
      <x:c r="AG33" s="167" t="str">
        <x:f>IF(AND(AG$6&lt;=$H33,AG$6+6&gt;=$G33),1,"")</x:f>
      </x:c>
      <x:c r="AH33" s="167" t="str">
        <x:f>IF(AND(AH$6&lt;=$H33,AH$6+6&gt;=$G33),1,"")</x:f>
      </x:c>
      <x:c r="AI33" s="167" t="str">
        <x:f>IF(AND(AI$6&lt;=$H33,AI$6+6&gt;=$G33),1,"")</x:f>
      </x:c>
      <x:c r="AJ33" s="167" t="str">
        <x:f>IF(AND(AJ$6&lt;=$H33,AJ$6+6&gt;=$G33),1,"")</x:f>
      </x:c>
      <x:c r="AK33" s="167" t="str">
        <x:f>IF(AND(AK$6&lt;=$H33,AK$6+6&gt;=$G33),1,"")</x:f>
      </x:c>
      <x:c r="AL33" s="167" t="str">
        <x:f>IF(AND(AL$6&lt;=$H33,AL$6+6&gt;=$G33),1,"")</x:f>
      </x:c>
      <x:c r="AM33" s="167" t="str">
        <x:f>IF(AND(AM$6&lt;=$H33,AM$6+6&gt;=$G33),1,"")</x:f>
      </x:c>
      <x:c r="AN33" s="167" t="str">
        <x:f>IF(AND(AN$6&lt;=$H33,AN$6+6&gt;=$G33),1,"")</x:f>
      </x:c>
      <x:c r="AO33" s="167" t="str">
        <x:f>IF(AND(AO$6&lt;=$H33,AO$6+6&gt;=$G33),1,"")</x:f>
      </x:c>
      <x:c r="AP33" s="167" t="str">
        <x:f>IF(AND(AP$6&lt;=$H33,AP$6+6&gt;=$G33),1,"")</x:f>
      </x:c>
      <x:c r="AQ33" s="167" t="str">
        <x:f>IF(AND(AQ$6&lt;=$H33,AQ$6+6&gt;=$G33),1,"")</x:f>
      </x:c>
      <x:c r="AR33" s="167" t="str">
        <x:f>IF(AND(AR$6&lt;=$H33,AR$6+6&gt;=$G33),1,"")</x:f>
      </x:c>
      <x:c r="AS33" s="167" t="str">
        <x:f>IF(AND(AS$6&lt;=$H33,AS$6+6&gt;=$G33),1,"")</x:f>
      </x:c>
      <x:c r="AT33" s="167" t="str">
        <x:f>IF(AND(AT$6&lt;=$H33,AT$6+6&gt;=$G33),1,"")</x:f>
      </x:c>
      <x:c r="AU33" s="167" t="str">
        <x:f>IF(AND(AU$6&lt;=$H33,AU$6+6&gt;=$G33),1,"")</x:f>
      </x:c>
      <x:c r="AV33" s="167" t="str">
        <x:f>IF(AND(AV$6&lt;=$H33,AV$6+6&gt;=$G33),1,"")</x:f>
      </x:c>
      <x:c r="AW33" s="167" t="str">
        <x:f>IF(AND(AW$6&lt;=$H33,AW$6+6&gt;=$G33),1,"")</x:f>
      </x:c>
      <x:c r="AX33" s="167" t="str">
        <x:f>IF(AND(AX$6&lt;=$H33,AX$6+6&gt;=$G33),1,"")</x:f>
      </x:c>
      <x:c r="AY33" s="167" t="str">
        <x:f>IF(AND(AY$6&lt;=$H33,AY$6+6&gt;=$G33),1,"")</x:f>
      </x:c>
      <x:c r="AZ33" s="167" t="str">
        <x:f>IF(AND(AZ$6&lt;=$H33,AZ$6+6&gt;=$G33),1,"")</x:f>
      </x:c>
      <x:c r="BA33" s="167" t="str">
        <x:f>IF(AND(BA$6&lt;=$H33,BA$6+6&gt;=$G33),1,"")</x:f>
      </x:c>
      <x:c r="BB33" s="167" t="str">
        <x:f>IF(AND(BB$6&lt;=$H33,BB$6+6&gt;=$G33),1,"")</x:f>
      </x:c>
      <x:c r="BC33" s="167" t="str">
        <x:f>IF(AND(BC$6&lt;=$H33,BC$6+6&gt;=$G33),1,"")</x:f>
      </x:c>
      <x:c r="BD33" s="167" t="str">
        <x:f>IF(AND(BD$6&lt;=$H33,BD$6+6&gt;=$G33),1,"")</x:f>
      </x:c>
      <x:c r="BE33" s="167" t="str">
        <x:f>IF(AND(BE$6&lt;=$H33,BE$6+6&gt;=$G33),1,"")</x:f>
      </x:c>
      <x:c r="BF33" s="167" t="str">
        <x:f>IF(AND(BF$6&lt;=$H33,BF$6+6&gt;=$G33),1,"")</x:f>
      </x:c>
      <x:c r="BG33" s="167" t="str">
        <x:f>IF(AND(BG$6&lt;=$H33,BG$6+6&gt;=$G33),1,"")</x:f>
      </x:c>
      <x:c r="BH33" s="167" t="str">
        <x:f>IF(AND(BH$6&lt;=$H33,BH$6+6&gt;=$G33),1,"")</x:f>
      </x:c>
      <x:c r="BI33" s="167" t="str">
        <x:f>IF(AND(BI$6&lt;=$H33,BI$6+6&gt;=$G33),1,"")</x:f>
      </x:c>
      <x:c r="BJ33" s="167" t="str">
        <x:f>IF(AND(BJ$6&lt;=$H33,BJ$6+6&gt;=$G33),1,"")</x:f>
      </x:c>
      <x:c r="BK33" s="168" t="str">
        <x:f>IF(AND(BK$6&lt;=$H33,BK$6+6&gt;=$G33),1,"")</x:f>
      </x:c>
    </x:row>
    <x:row r="34" ht="24" customHeight="1">
      <x:c r="A34" s="68" t="str">
        <x:f>'Research Tasks'!A32</x:f>
        <x:v>AI-207</x:v>
      </x:c>
      <x:c r="B34" s="68" t="str">
        <x:f>'Research Tasks'!B32</x:f>
        <x:v>M2</x:v>
      </x:c>
      <x:c r="C34" s="68" t="str">
        <x:f>'Research Tasks'!C32</x:f>
        <x:v>Hierarchical Active Inference</x:v>
      </x:c>
      <x:c r="D34" s="68" t="str">
        <x:f>'Research Tasks'!D32</x:f>
        <x:v>Define the multiscale latent clocks and messages</x:v>
      </x:c>
      <x:c r="E34" s="68" t="str">
        <x:f>'Research Tasks'!E32</x:f>
        <x:v>AI-101, AI-204</x:v>
      </x:c>
      <x:c r="F34" s="68" t="str">
        <x:f>'Research Tasks'!F32</x:f>
        <x:v>Blocked</x:v>
      </x:c>
      <x:c r="G34" s="94" t="n">
        <x:f>'Research Tasks'!I32</x:f>
        <x:v>46321</x:v>
      </x:c>
      <x:c r="H34" s="94" t="n">
        <x:f>'Research Tasks'!J32</x:f>
        <x:v>46322</x:v>
      </x:c>
      <x:c r="I34" s="166" t="str">
        <x:f>IF(AND(I$6&lt;=$H34,I$6+6&gt;=$G34),1,"")</x:f>
      </x:c>
      <x:c r="J34" s="167" t="str">
        <x:f>IF(AND(J$6&lt;=$H34,J$6+6&gt;=$G34),1,"")</x:f>
      </x:c>
      <x:c r="K34" s="167" t="str">
        <x:f>IF(AND(K$6&lt;=$H34,K$6+6&gt;=$G34),1,"")</x:f>
      </x:c>
      <x:c r="L34" s="167" t="str">
        <x:f>IF(AND(L$6&lt;=$H34,L$6+6&gt;=$G34),1,"")</x:f>
      </x:c>
      <x:c r="M34" s="167" t="str">
        <x:f>IF(AND(M$6&lt;=$H34,M$6+6&gt;=$G34),1,"")</x:f>
      </x:c>
      <x:c r="N34" s="167" t="str">
        <x:f>IF(AND(N$6&lt;=$H34,N$6+6&gt;=$G34),1,"")</x:f>
      </x:c>
      <x:c r="O34" s="167" t="str">
        <x:f>IF(AND(O$6&lt;=$H34,O$6+6&gt;=$G34),1,"")</x:f>
      </x:c>
      <x:c r="P34" s="167" t="str">
        <x:f>IF(AND(P$6&lt;=$H34,P$6+6&gt;=$G34),1,"")</x:f>
      </x:c>
      <x:c r="Q34" s="167" t="str">
        <x:f>IF(AND(Q$6&lt;=$H34,Q$6+6&gt;=$G34),1,"")</x:f>
      </x:c>
      <x:c r="R34" s="167" t="str">
        <x:f>IF(AND(R$6&lt;=$H34,R$6+6&gt;=$G34),1,"")</x:f>
      </x:c>
      <x:c r="S34" s="167" t="str">
        <x:f>IF(AND(S$6&lt;=$H34,S$6+6&gt;=$G34),1,"")</x:f>
      </x:c>
      <x:c r="T34" s="167" t="str">
        <x:f>IF(AND(T$6&lt;=$H34,T$6+6&gt;=$G34),1,"")</x:f>
      </x:c>
      <x:c r="U34" s="167" t="n">
        <x:f>IF(AND(U$6&lt;=$H34,U$6+6&gt;=$G34),1,"")</x:f>
        <x:v>1</x:v>
      </x:c>
      <x:c r="V34" s="167" t="str">
        <x:f>IF(AND(V$6&lt;=$H34,V$6+6&gt;=$G34),1,"")</x:f>
      </x:c>
      <x:c r="W34" s="167" t="str">
        <x:f>IF(AND(W$6&lt;=$H34,W$6+6&gt;=$G34),1,"")</x:f>
      </x:c>
      <x:c r="X34" s="167" t="str">
        <x:f>IF(AND(X$6&lt;=$H34,X$6+6&gt;=$G34),1,"")</x:f>
      </x:c>
      <x:c r="Y34" s="167" t="str">
        <x:f>IF(AND(Y$6&lt;=$H34,Y$6+6&gt;=$G34),1,"")</x:f>
      </x:c>
      <x:c r="Z34" s="167" t="str">
        <x:f>IF(AND(Z$6&lt;=$H34,Z$6+6&gt;=$G34),1,"")</x:f>
      </x:c>
      <x:c r="AA34" s="167" t="str">
        <x:f>IF(AND(AA$6&lt;=$H34,AA$6+6&gt;=$G34),1,"")</x:f>
      </x:c>
      <x:c r="AB34" s="167" t="str">
        <x:f>IF(AND(AB$6&lt;=$H34,AB$6+6&gt;=$G34),1,"")</x:f>
      </x:c>
      <x:c r="AC34" s="167" t="str">
        <x:f>IF(AND(AC$6&lt;=$H34,AC$6+6&gt;=$G34),1,"")</x:f>
      </x:c>
      <x:c r="AD34" s="167" t="str">
        <x:f>IF(AND(AD$6&lt;=$H34,AD$6+6&gt;=$G34),1,"")</x:f>
      </x:c>
      <x:c r="AE34" s="167" t="str">
        <x:f>IF(AND(AE$6&lt;=$H34,AE$6+6&gt;=$G34),1,"")</x:f>
      </x:c>
      <x:c r="AF34" s="167" t="str">
        <x:f>IF(AND(AF$6&lt;=$H34,AF$6+6&gt;=$G34),1,"")</x:f>
      </x:c>
      <x:c r="AG34" s="167" t="str">
        <x:f>IF(AND(AG$6&lt;=$H34,AG$6+6&gt;=$G34),1,"")</x:f>
      </x:c>
      <x:c r="AH34" s="167" t="str">
        <x:f>IF(AND(AH$6&lt;=$H34,AH$6+6&gt;=$G34),1,"")</x:f>
      </x:c>
      <x:c r="AI34" s="167" t="str">
        <x:f>IF(AND(AI$6&lt;=$H34,AI$6+6&gt;=$G34),1,"")</x:f>
      </x:c>
      <x:c r="AJ34" s="167" t="str">
        <x:f>IF(AND(AJ$6&lt;=$H34,AJ$6+6&gt;=$G34),1,"")</x:f>
      </x:c>
      <x:c r="AK34" s="167" t="str">
        <x:f>IF(AND(AK$6&lt;=$H34,AK$6+6&gt;=$G34),1,"")</x:f>
      </x:c>
      <x:c r="AL34" s="167" t="str">
        <x:f>IF(AND(AL$6&lt;=$H34,AL$6+6&gt;=$G34),1,"")</x:f>
      </x:c>
      <x:c r="AM34" s="167" t="str">
        <x:f>IF(AND(AM$6&lt;=$H34,AM$6+6&gt;=$G34),1,"")</x:f>
      </x:c>
      <x:c r="AN34" s="167" t="str">
        <x:f>IF(AND(AN$6&lt;=$H34,AN$6+6&gt;=$G34),1,"")</x:f>
      </x:c>
      <x:c r="AO34" s="167" t="str">
        <x:f>IF(AND(AO$6&lt;=$H34,AO$6+6&gt;=$G34),1,"")</x:f>
      </x:c>
      <x:c r="AP34" s="167" t="str">
        <x:f>IF(AND(AP$6&lt;=$H34,AP$6+6&gt;=$G34),1,"")</x:f>
      </x:c>
      <x:c r="AQ34" s="167" t="str">
        <x:f>IF(AND(AQ$6&lt;=$H34,AQ$6+6&gt;=$G34),1,"")</x:f>
      </x:c>
      <x:c r="AR34" s="167" t="str">
        <x:f>IF(AND(AR$6&lt;=$H34,AR$6+6&gt;=$G34),1,"")</x:f>
      </x:c>
      <x:c r="AS34" s="167" t="str">
        <x:f>IF(AND(AS$6&lt;=$H34,AS$6+6&gt;=$G34),1,"")</x:f>
      </x:c>
      <x:c r="AT34" s="167" t="str">
        <x:f>IF(AND(AT$6&lt;=$H34,AT$6+6&gt;=$G34),1,"")</x:f>
      </x:c>
      <x:c r="AU34" s="167" t="str">
        <x:f>IF(AND(AU$6&lt;=$H34,AU$6+6&gt;=$G34),1,"")</x:f>
      </x:c>
      <x:c r="AV34" s="167" t="str">
        <x:f>IF(AND(AV$6&lt;=$H34,AV$6+6&gt;=$G34),1,"")</x:f>
      </x:c>
      <x:c r="AW34" s="167" t="str">
        <x:f>IF(AND(AW$6&lt;=$H34,AW$6+6&gt;=$G34),1,"")</x:f>
      </x:c>
      <x:c r="AX34" s="167" t="str">
        <x:f>IF(AND(AX$6&lt;=$H34,AX$6+6&gt;=$G34),1,"")</x:f>
      </x:c>
      <x:c r="AY34" s="167" t="str">
        <x:f>IF(AND(AY$6&lt;=$H34,AY$6+6&gt;=$G34),1,"")</x:f>
      </x:c>
      <x:c r="AZ34" s="167" t="str">
        <x:f>IF(AND(AZ$6&lt;=$H34,AZ$6+6&gt;=$G34),1,"")</x:f>
      </x:c>
      <x:c r="BA34" s="167" t="str">
        <x:f>IF(AND(BA$6&lt;=$H34,BA$6+6&gt;=$G34),1,"")</x:f>
      </x:c>
      <x:c r="BB34" s="167" t="str">
        <x:f>IF(AND(BB$6&lt;=$H34,BB$6+6&gt;=$G34),1,"")</x:f>
      </x:c>
      <x:c r="BC34" s="167" t="str">
        <x:f>IF(AND(BC$6&lt;=$H34,BC$6+6&gt;=$G34),1,"")</x:f>
      </x:c>
      <x:c r="BD34" s="167" t="str">
        <x:f>IF(AND(BD$6&lt;=$H34,BD$6+6&gt;=$G34),1,"")</x:f>
      </x:c>
      <x:c r="BE34" s="167" t="str">
        <x:f>IF(AND(BE$6&lt;=$H34,BE$6+6&gt;=$G34),1,"")</x:f>
      </x:c>
      <x:c r="BF34" s="167" t="str">
        <x:f>IF(AND(BF$6&lt;=$H34,BF$6+6&gt;=$G34),1,"")</x:f>
      </x:c>
      <x:c r="BG34" s="167" t="str">
        <x:f>IF(AND(BG$6&lt;=$H34,BG$6+6&gt;=$G34),1,"")</x:f>
      </x:c>
      <x:c r="BH34" s="167" t="str">
        <x:f>IF(AND(BH$6&lt;=$H34,BH$6+6&gt;=$G34),1,"")</x:f>
      </x:c>
      <x:c r="BI34" s="167" t="str">
        <x:f>IF(AND(BI$6&lt;=$H34,BI$6+6&gt;=$G34),1,"")</x:f>
      </x:c>
      <x:c r="BJ34" s="167" t="str">
        <x:f>IF(AND(BJ$6&lt;=$H34,BJ$6+6&gt;=$G34),1,"")</x:f>
      </x:c>
      <x:c r="BK34" s="168" t="str">
        <x:f>IF(AND(BK$6&lt;=$H34,BK$6+6&gt;=$G34),1,"")</x:f>
      </x:c>
    </x:row>
    <x:row r="35" ht="24" customHeight="1">
      <x:c r="A35" s="68" t="str">
        <x:f>'Research Tasks'!A33</x:f>
        <x:v>AI-208</x:v>
      </x:c>
      <x:c r="B35" s="68" t="str">
        <x:f>'Research Tasks'!B33</x:f>
        <x:v>M2</x:v>
      </x:c>
      <x:c r="C35" s="68" t="str">
        <x:f>'Research Tasks'!C33</x:f>
        <x:v>Hierarchical Modeling</x:v>
      </x:c>
      <x:c r="D35" s="68" t="str">
        <x:f>'Research Tasks'!D33</x:f>
        <x:v>Make the global canvas latent predictively necessary</x:v>
      </x:c>
      <x:c r="E35" s="68" t="str">
        <x:f>'Research Tasks'!E33</x:f>
        <x:v>AI-206, AI-207</x:v>
      </x:c>
      <x:c r="F35" s="68" t="str">
        <x:f>'Research Tasks'!F33</x:f>
        <x:v>Blocked</x:v>
      </x:c>
      <x:c r="G35" s="94" t="n">
        <x:f>'Research Tasks'!I33</x:f>
        <x:v>46323</x:v>
      </x:c>
      <x:c r="H35" s="94" t="n">
        <x:f>'Research Tasks'!J33</x:f>
        <x:v>46328</x:v>
      </x:c>
      <x:c r="I35" s="166" t="str">
        <x:f>IF(AND(I$6&lt;=$H35,I$6+6&gt;=$G35),1,"")</x:f>
      </x:c>
      <x:c r="J35" s="167" t="str">
        <x:f>IF(AND(J$6&lt;=$H35,J$6+6&gt;=$G35),1,"")</x:f>
      </x:c>
      <x:c r="K35" s="167" t="str">
        <x:f>IF(AND(K$6&lt;=$H35,K$6+6&gt;=$G35),1,"")</x:f>
      </x:c>
      <x:c r="L35" s="167" t="str">
        <x:f>IF(AND(L$6&lt;=$H35,L$6+6&gt;=$G35),1,"")</x:f>
      </x:c>
      <x:c r="M35" s="167" t="str">
        <x:f>IF(AND(M$6&lt;=$H35,M$6+6&gt;=$G35),1,"")</x:f>
      </x:c>
      <x:c r="N35" s="167" t="str">
        <x:f>IF(AND(N$6&lt;=$H35,N$6+6&gt;=$G35),1,"")</x:f>
      </x:c>
      <x:c r="O35" s="167" t="str">
        <x:f>IF(AND(O$6&lt;=$H35,O$6+6&gt;=$G35),1,"")</x:f>
      </x:c>
      <x:c r="P35" s="167" t="str">
        <x:f>IF(AND(P$6&lt;=$H35,P$6+6&gt;=$G35),1,"")</x:f>
      </x:c>
      <x:c r="Q35" s="167" t="str">
        <x:f>IF(AND(Q$6&lt;=$H35,Q$6+6&gt;=$G35),1,"")</x:f>
      </x:c>
      <x:c r="R35" s="167" t="str">
        <x:f>IF(AND(R$6&lt;=$H35,R$6+6&gt;=$G35),1,"")</x:f>
      </x:c>
      <x:c r="S35" s="167" t="str">
        <x:f>IF(AND(S$6&lt;=$H35,S$6+6&gt;=$G35),1,"")</x:f>
      </x:c>
      <x:c r="T35" s="167" t="str">
        <x:f>IF(AND(T$6&lt;=$H35,T$6+6&gt;=$G35),1,"")</x:f>
      </x:c>
      <x:c r="U35" s="167" t="n">
        <x:f>IF(AND(U$6&lt;=$H35,U$6+6&gt;=$G35),1,"")</x:f>
        <x:v>1</x:v>
      </x:c>
      <x:c r="V35" s="167" t="n">
        <x:f>IF(AND(V$6&lt;=$H35,V$6+6&gt;=$G35),1,"")</x:f>
        <x:v>1</x:v>
      </x:c>
      <x:c r="W35" s="167" t="str">
        <x:f>IF(AND(W$6&lt;=$H35,W$6+6&gt;=$G35),1,"")</x:f>
      </x:c>
      <x:c r="X35" s="167" t="str">
        <x:f>IF(AND(X$6&lt;=$H35,X$6+6&gt;=$G35),1,"")</x:f>
      </x:c>
      <x:c r="Y35" s="167" t="str">
        <x:f>IF(AND(Y$6&lt;=$H35,Y$6+6&gt;=$G35),1,"")</x:f>
      </x:c>
      <x:c r="Z35" s="167" t="str">
        <x:f>IF(AND(Z$6&lt;=$H35,Z$6+6&gt;=$G35),1,"")</x:f>
      </x:c>
      <x:c r="AA35" s="167" t="str">
        <x:f>IF(AND(AA$6&lt;=$H35,AA$6+6&gt;=$G35),1,"")</x:f>
      </x:c>
      <x:c r="AB35" s="167" t="str">
        <x:f>IF(AND(AB$6&lt;=$H35,AB$6+6&gt;=$G35),1,"")</x:f>
      </x:c>
      <x:c r="AC35" s="167" t="str">
        <x:f>IF(AND(AC$6&lt;=$H35,AC$6+6&gt;=$G35),1,"")</x:f>
      </x:c>
      <x:c r="AD35" s="167" t="str">
        <x:f>IF(AND(AD$6&lt;=$H35,AD$6+6&gt;=$G35),1,"")</x:f>
      </x:c>
      <x:c r="AE35" s="167" t="str">
        <x:f>IF(AND(AE$6&lt;=$H35,AE$6+6&gt;=$G35),1,"")</x:f>
      </x:c>
      <x:c r="AF35" s="167" t="str">
        <x:f>IF(AND(AF$6&lt;=$H35,AF$6+6&gt;=$G35),1,"")</x:f>
      </x:c>
      <x:c r="AG35" s="167" t="str">
        <x:f>IF(AND(AG$6&lt;=$H35,AG$6+6&gt;=$G35),1,"")</x:f>
      </x:c>
      <x:c r="AH35" s="167" t="str">
        <x:f>IF(AND(AH$6&lt;=$H35,AH$6+6&gt;=$G35),1,"")</x:f>
      </x:c>
      <x:c r="AI35" s="167" t="str">
        <x:f>IF(AND(AI$6&lt;=$H35,AI$6+6&gt;=$G35),1,"")</x:f>
      </x:c>
      <x:c r="AJ35" s="167" t="str">
        <x:f>IF(AND(AJ$6&lt;=$H35,AJ$6+6&gt;=$G35),1,"")</x:f>
      </x:c>
      <x:c r="AK35" s="167" t="str">
        <x:f>IF(AND(AK$6&lt;=$H35,AK$6+6&gt;=$G35),1,"")</x:f>
      </x:c>
      <x:c r="AL35" s="167" t="str">
        <x:f>IF(AND(AL$6&lt;=$H35,AL$6+6&gt;=$G35),1,"")</x:f>
      </x:c>
      <x:c r="AM35" s="167" t="str">
        <x:f>IF(AND(AM$6&lt;=$H35,AM$6+6&gt;=$G35),1,"")</x:f>
      </x:c>
      <x:c r="AN35" s="167" t="str">
        <x:f>IF(AND(AN$6&lt;=$H35,AN$6+6&gt;=$G35),1,"")</x:f>
      </x:c>
      <x:c r="AO35" s="167" t="str">
        <x:f>IF(AND(AO$6&lt;=$H35,AO$6+6&gt;=$G35),1,"")</x:f>
      </x:c>
      <x:c r="AP35" s="167" t="str">
        <x:f>IF(AND(AP$6&lt;=$H35,AP$6+6&gt;=$G35),1,"")</x:f>
      </x:c>
      <x:c r="AQ35" s="167" t="str">
        <x:f>IF(AND(AQ$6&lt;=$H35,AQ$6+6&gt;=$G35),1,"")</x:f>
      </x:c>
      <x:c r="AR35" s="167" t="str">
        <x:f>IF(AND(AR$6&lt;=$H35,AR$6+6&gt;=$G35),1,"")</x:f>
      </x:c>
      <x:c r="AS35" s="167" t="str">
        <x:f>IF(AND(AS$6&lt;=$H35,AS$6+6&gt;=$G35),1,"")</x:f>
      </x:c>
      <x:c r="AT35" s="167" t="str">
        <x:f>IF(AND(AT$6&lt;=$H35,AT$6+6&gt;=$G35),1,"")</x:f>
      </x:c>
      <x:c r="AU35" s="167" t="str">
        <x:f>IF(AND(AU$6&lt;=$H35,AU$6+6&gt;=$G35),1,"")</x:f>
      </x:c>
      <x:c r="AV35" s="167" t="str">
        <x:f>IF(AND(AV$6&lt;=$H35,AV$6+6&gt;=$G35),1,"")</x:f>
      </x:c>
      <x:c r="AW35" s="167" t="str">
        <x:f>IF(AND(AW$6&lt;=$H35,AW$6+6&gt;=$G35),1,"")</x:f>
      </x:c>
      <x:c r="AX35" s="167" t="str">
        <x:f>IF(AND(AX$6&lt;=$H35,AX$6+6&gt;=$G35),1,"")</x:f>
      </x:c>
      <x:c r="AY35" s="167" t="str">
        <x:f>IF(AND(AY$6&lt;=$H35,AY$6+6&gt;=$G35),1,"")</x:f>
      </x:c>
      <x:c r="AZ35" s="167" t="str">
        <x:f>IF(AND(AZ$6&lt;=$H35,AZ$6+6&gt;=$G35),1,"")</x:f>
      </x:c>
      <x:c r="BA35" s="167" t="str">
        <x:f>IF(AND(BA$6&lt;=$H35,BA$6+6&gt;=$G35),1,"")</x:f>
      </x:c>
      <x:c r="BB35" s="167" t="str">
        <x:f>IF(AND(BB$6&lt;=$H35,BB$6+6&gt;=$G35),1,"")</x:f>
      </x:c>
      <x:c r="BC35" s="167" t="str">
        <x:f>IF(AND(BC$6&lt;=$H35,BC$6+6&gt;=$G35),1,"")</x:f>
      </x:c>
      <x:c r="BD35" s="167" t="str">
        <x:f>IF(AND(BD$6&lt;=$H35,BD$6+6&gt;=$G35),1,"")</x:f>
      </x:c>
      <x:c r="BE35" s="167" t="str">
        <x:f>IF(AND(BE$6&lt;=$H35,BE$6+6&gt;=$G35),1,"")</x:f>
      </x:c>
      <x:c r="BF35" s="167" t="str">
        <x:f>IF(AND(BF$6&lt;=$H35,BF$6+6&gt;=$G35),1,"")</x:f>
      </x:c>
      <x:c r="BG35" s="167" t="str">
        <x:f>IF(AND(BG$6&lt;=$H35,BG$6+6&gt;=$G35),1,"")</x:f>
      </x:c>
      <x:c r="BH35" s="167" t="str">
        <x:f>IF(AND(BH$6&lt;=$H35,BH$6+6&gt;=$G35),1,"")</x:f>
      </x:c>
      <x:c r="BI35" s="167" t="str">
        <x:f>IF(AND(BI$6&lt;=$H35,BI$6+6&gt;=$G35),1,"")</x:f>
      </x:c>
      <x:c r="BJ35" s="167" t="str">
        <x:f>IF(AND(BJ$6&lt;=$H35,BJ$6+6&gt;=$G35),1,"")</x:f>
      </x:c>
      <x:c r="BK35" s="168" t="str">
        <x:f>IF(AND(BK$6&lt;=$H35,BK$6+6&gt;=$G35),1,"")</x:f>
      </x:c>
    </x:row>
    <x:row r="36" ht="24" customHeight="1">
      <x:c r="A36" s="68" t="str">
        <x:f>'Research Tasks'!A34</x:f>
        <x:v>AI-209</x:v>
      </x:c>
      <x:c r="B36" s="68" t="str">
        <x:f>'Research Tasks'!B34</x:f>
        <x:v>M2</x:v>
      </x:c>
      <x:c r="C36" s="68" t="str">
        <x:f>'Research Tasks'!C34</x:f>
        <x:v>Relational Inference</x:v>
      </x:c>
      <x:c r="D36" s="68" t="str">
        <x:f>'Research Tasks'!D34</x:f>
        <x:v>Replace or demote deterministic relational beliefs</x:v>
      </x:c>
      <x:c r="E36" s="68" t="str">
        <x:f>'Research Tasks'!E34</x:f>
        <x:v>AI-207, AI-208</x:v>
      </x:c>
      <x:c r="F36" s="68" t="str">
        <x:f>'Research Tasks'!F34</x:f>
        <x:v>Blocked</x:v>
      </x:c>
      <x:c r="G36" s="94" t="n">
        <x:f>'Research Tasks'!I34</x:f>
        <x:v>46329</x:v>
      </x:c>
      <x:c r="H36" s="94" t="n">
        <x:f>'Research Tasks'!J34</x:f>
        <x:v>46335</x:v>
      </x:c>
      <x:c r="I36" s="166" t="str">
        <x:f>IF(AND(I$6&lt;=$H36,I$6+6&gt;=$G36),1,"")</x:f>
      </x:c>
      <x:c r="J36" s="167" t="str">
        <x:f>IF(AND(J$6&lt;=$H36,J$6+6&gt;=$G36),1,"")</x:f>
      </x:c>
      <x:c r="K36" s="167" t="str">
        <x:f>IF(AND(K$6&lt;=$H36,K$6+6&gt;=$G36),1,"")</x:f>
      </x:c>
      <x:c r="L36" s="167" t="str">
        <x:f>IF(AND(L$6&lt;=$H36,L$6+6&gt;=$G36),1,"")</x:f>
      </x:c>
      <x:c r="M36" s="167" t="str">
        <x:f>IF(AND(M$6&lt;=$H36,M$6+6&gt;=$G36),1,"")</x:f>
      </x:c>
      <x:c r="N36" s="167" t="str">
        <x:f>IF(AND(N$6&lt;=$H36,N$6+6&gt;=$G36),1,"")</x:f>
      </x:c>
      <x:c r="O36" s="167" t="str">
        <x:f>IF(AND(O$6&lt;=$H36,O$6+6&gt;=$G36),1,"")</x:f>
      </x:c>
      <x:c r="P36" s="167" t="str">
        <x:f>IF(AND(P$6&lt;=$H36,P$6+6&gt;=$G36),1,"")</x:f>
      </x:c>
      <x:c r="Q36" s="167" t="str">
        <x:f>IF(AND(Q$6&lt;=$H36,Q$6+6&gt;=$G36),1,"")</x:f>
      </x:c>
      <x:c r="R36" s="167" t="str">
        <x:f>IF(AND(R$6&lt;=$H36,R$6+6&gt;=$G36),1,"")</x:f>
      </x:c>
      <x:c r="S36" s="167" t="str">
        <x:f>IF(AND(S$6&lt;=$H36,S$6+6&gt;=$G36),1,"")</x:f>
      </x:c>
      <x:c r="T36" s="167" t="str">
        <x:f>IF(AND(T$6&lt;=$H36,T$6+6&gt;=$G36),1,"")</x:f>
      </x:c>
      <x:c r="U36" s="167" t="str">
        <x:f>IF(AND(U$6&lt;=$H36,U$6+6&gt;=$G36),1,"")</x:f>
      </x:c>
      <x:c r="V36" s="167" t="n">
        <x:f>IF(AND(V$6&lt;=$H36,V$6+6&gt;=$G36),1,"")</x:f>
        <x:v>1</x:v>
      </x:c>
      <x:c r="W36" s="167" t="n">
        <x:f>IF(AND(W$6&lt;=$H36,W$6+6&gt;=$G36),1,"")</x:f>
        <x:v>1</x:v>
      </x:c>
      <x:c r="X36" s="167" t="str">
        <x:f>IF(AND(X$6&lt;=$H36,X$6+6&gt;=$G36),1,"")</x:f>
      </x:c>
      <x:c r="Y36" s="167" t="str">
        <x:f>IF(AND(Y$6&lt;=$H36,Y$6+6&gt;=$G36),1,"")</x:f>
      </x:c>
      <x:c r="Z36" s="167" t="str">
        <x:f>IF(AND(Z$6&lt;=$H36,Z$6+6&gt;=$G36),1,"")</x:f>
      </x:c>
      <x:c r="AA36" s="167" t="str">
        <x:f>IF(AND(AA$6&lt;=$H36,AA$6+6&gt;=$G36),1,"")</x:f>
      </x:c>
      <x:c r="AB36" s="167" t="str">
        <x:f>IF(AND(AB$6&lt;=$H36,AB$6+6&gt;=$G36),1,"")</x:f>
      </x:c>
      <x:c r="AC36" s="167" t="str">
        <x:f>IF(AND(AC$6&lt;=$H36,AC$6+6&gt;=$G36),1,"")</x:f>
      </x:c>
      <x:c r="AD36" s="167" t="str">
        <x:f>IF(AND(AD$6&lt;=$H36,AD$6+6&gt;=$G36),1,"")</x:f>
      </x:c>
      <x:c r="AE36" s="167" t="str">
        <x:f>IF(AND(AE$6&lt;=$H36,AE$6+6&gt;=$G36),1,"")</x:f>
      </x:c>
      <x:c r="AF36" s="167" t="str">
        <x:f>IF(AND(AF$6&lt;=$H36,AF$6+6&gt;=$G36),1,"")</x:f>
      </x:c>
      <x:c r="AG36" s="167" t="str">
        <x:f>IF(AND(AG$6&lt;=$H36,AG$6+6&gt;=$G36),1,"")</x:f>
      </x:c>
      <x:c r="AH36" s="167" t="str">
        <x:f>IF(AND(AH$6&lt;=$H36,AH$6+6&gt;=$G36),1,"")</x:f>
      </x:c>
      <x:c r="AI36" s="167" t="str">
        <x:f>IF(AND(AI$6&lt;=$H36,AI$6+6&gt;=$G36),1,"")</x:f>
      </x:c>
      <x:c r="AJ36" s="167" t="str">
        <x:f>IF(AND(AJ$6&lt;=$H36,AJ$6+6&gt;=$G36),1,"")</x:f>
      </x:c>
      <x:c r="AK36" s="167" t="str">
        <x:f>IF(AND(AK$6&lt;=$H36,AK$6+6&gt;=$G36),1,"")</x:f>
      </x:c>
      <x:c r="AL36" s="167" t="str">
        <x:f>IF(AND(AL$6&lt;=$H36,AL$6+6&gt;=$G36),1,"")</x:f>
      </x:c>
      <x:c r="AM36" s="167" t="str">
        <x:f>IF(AND(AM$6&lt;=$H36,AM$6+6&gt;=$G36),1,"")</x:f>
      </x:c>
      <x:c r="AN36" s="167" t="str">
        <x:f>IF(AND(AN$6&lt;=$H36,AN$6+6&gt;=$G36),1,"")</x:f>
      </x:c>
      <x:c r="AO36" s="167" t="str">
        <x:f>IF(AND(AO$6&lt;=$H36,AO$6+6&gt;=$G36),1,"")</x:f>
      </x:c>
      <x:c r="AP36" s="167" t="str">
        <x:f>IF(AND(AP$6&lt;=$H36,AP$6+6&gt;=$G36),1,"")</x:f>
      </x:c>
      <x:c r="AQ36" s="167" t="str">
        <x:f>IF(AND(AQ$6&lt;=$H36,AQ$6+6&gt;=$G36),1,"")</x:f>
      </x:c>
      <x:c r="AR36" s="167" t="str">
        <x:f>IF(AND(AR$6&lt;=$H36,AR$6+6&gt;=$G36),1,"")</x:f>
      </x:c>
      <x:c r="AS36" s="167" t="str">
        <x:f>IF(AND(AS$6&lt;=$H36,AS$6+6&gt;=$G36),1,"")</x:f>
      </x:c>
      <x:c r="AT36" s="167" t="str">
        <x:f>IF(AND(AT$6&lt;=$H36,AT$6+6&gt;=$G36),1,"")</x:f>
      </x:c>
      <x:c r="AU36" s="167" t="str">
        <x:f>IF(AND(AU$6&lt;=$H36,AU$6+6&gt;=$G36),1,"")</x:f>
      </x:c>
      <x:c r="AV36" s="167" t="str">
        <x:f>IF(AND(AV$6&lt;=$H36,AV$6+6&gt;=$G36),1,"")</x:f>
      </x:c>
      <x:c r="AW36" s="167" t="str">
        <x:f>IF(AND(AW$6&lt;=$H36,AW$6+6&gt;=$G36),1,"")</x:f>
      </x:c>
      <x:c r="AX36" s="167" t="str">
        <x:f>IF(AND(AX$6&lt;=$H36,AX$6+6&gt;=$G36),1,"")</x:f>
      </x:c>
      <x:c r="AY36" s="167" t="str">
        <x:f>IF(AND(AY$6&lt;=$H36,AY$6+6&gt;=$G36),1,"")</x:f>
      </x:c>
      <x:c r="AZ36" s="167" t="str">
        <x:f>IF(AND(AZ$6&lt;=$H36,AZ$6+6&gt;=$G36),1,"")</x:f>
      </x:c>
      <x:c r="BA36" s="167" t="str">
        <x:f>IF(AND(BA$6&lt;=$H36,BA$6+6&gt;=$G36),1,"")</x:f>
      </x:c>
      <x:c r="BB36" s="167" t="str">
        <x:f>IF(AND(BB$6&lt;=$H36,BB$6+6&gt;=$G36),1,"")</x:f>
      </x:c>
      <x:c r="BC36" s="167" t="str">
        <x:f>IF(AND(BC$6&lt;=$H36,BC$6+6&gt;=$G36),1,"")</x:f>
      </x:c>
      <x:c r="BD36" s="167" t="str">
        <x:f>IF(AND(BD$6&lt;=$H36,BD$6+6&gt;=$G36),1,"")</x:f>
      </x:c>
      <x:c r="BE36" s="167" t="str">
        <x:f>IF(AND(BE$6&lt;=$H36,BE$6+6&gt;=$G36),1,"")</x:f>
      </x:c>
      <x:c r="BF36" s="167" t="str">
        <x:f>IF(AND(BF$6&lt;=$H36,BF$6+6&gt;=$G36),1,"")</x:f>
      </x:c>
      <x:c r="BG36" s="167" t="str">
        <x:f>IF(AND(BG$6&lt;=$H36,BG$6+6&gt;=$G36),1,"")</x:f>
      </x:c>
      <x:c r="BH36" s="167" t="str">
        <x:f>IF(AND(BH$6&lt;=$H36,BH$6+6&gt;=$G36),1,"")</x:f>
      </x:c>
      <x:c r="BI36" s="167" t="str">
        <x:f>IF(AND(BI$6&lt;=$H36,BI$6+6&gt;=$G36),1,"")</x:f>
      </x:c>
      <x:c r="BJ36" s="167" t="str">
        <x:f>IF(AND(BJ$6&lt;=$H36,BJ$6+6&gt;=$G36),1,"")</x:f>
      </x:c>
      <x:c r="BK36" s="168" t="str">
        <x:f>IF(AND(BK$6&lt;=$H36,BK$6+6&gt;=$G36),1,"")</x:f>
      </x:c>
    </x:row>
    <x:row r="37" ht="24" customHeight="1">
      <x:c r="A37" s="68" t="str">
        <x:f>'Research Tasks'!A35</x:f>
        <x:v>AI-210</x:v>
      </x:c>
      <x:c r="B37" s="68" t="str">
        <x:f>'Research Tasks'!B35</x:f>
        <x:v>M2</x:v>
      </x:c>
      <x:c r="C37" s="68" t="str">
        <x:f>'Research Tasks'!C35</x:f>
        <x:v>Hierarchical Inference/Validation</x:v>
      </x:c>
      <x:c r="D37" s="68" t="str">
        <x:f>'Research Tasks'!D35</x:f>
        <x:v>Validate slow-state temporal persistence</x:v>
      </x:c>
      <x:c r="E37" s="68" t="str">
        <x:f>'Research Tasks'!E35</x:f>
        <x:v>AI-207, AI-208, AI-209</x:v>
      </x:c>
      <x:c r="F37" s="68" t="str">
        <x:f>'Research Tasks'!F35</x:f>
        <x:v>Blocked</x:v>
      </x:c>
      <x:c r="G37" s="94" t="n">
        <x:f>'Research Tasks'!I35</x:f>
        <x:v>46336</x:v>
      </x:c>
      <x:c r="H37" s="94" t="n">
        <x:f>'Research Tasks'!J35</x:f>
        <x:v>46338</x:v>
      </x:c>
      <x:c r="I37" s="166" t="str">
        <x:f>IF(AND(I$6&lt;=$H37,I$6+6&gt;=$G37),1,"")</x:f>
      </x:c>
      <x:c r="J37" s="167" t="str">
        <x:f>IF(AND(J$6&lt;=$H37,J$6+6&gt;=$G37),1,"")</x:f>
      </x:c>
      <x:c r="K37" s="167" t="str">
        <x:f>IF(AND(K$6&lt;=$H37,K$6+6&gt;=$G37),1,"")</x:f>
      </x:c>
      <x:c r="L37" s="167" t="str">
        <x:f>IF(AND(L$6&lt;=$H37,L$6+6&gt;=$G37),1,"")</x:f>
      </x:c>
      <x:c r="M37" s="167" t="str">
        <x:f>IF(AND(M$6&lt;=$H37,M$6+6&gt;=$G37),1,"")</x:f>
      </x:c>
      <x:c r="N37" s="167" t="str">
        <x:f>IF(AND(N$6&lt;=$H37,N$6+6&gt;=$G37),1,"")</x:f>
      </x:c>
      <x:c r="O37" s="167" t="str">
        <x:f>IF(AND(O$6&lt;=$H37,O$6+6&gt;=$G37),1,"")</x:f>
      </x:c>
      <x:c r="P37" s="167" t="str">
        <x:f>IF(AND(P$6&lt;=$H37,P$6+6&gt;=$G37),1,"")</x:f>
      </x:c>
      <x:c r="Q37" s="167" t="str">
        <x:f>IF(AND(Q$6&lt;=$H37,Q$6+6&gt;=$G37),1,"")</x:f>
      </x:c>
      <x:c r="R37" s="167" t="str">
        <x:f>IF(AND(R$6&lt;=$H37,R$6+6&gt;=$G37),1,"")</x:f>
      </x:c>
      <x:c r="S37" s="167" t="str">
        <x:f>IF(AND(S$6&lt;=$H37,S$6+6&gt;=$G37),1,"")</x:f>
      </x:c>
      <x:c r="T37" s="167" t="str">
        <x:f>IF(AND(T$6&lt;=$H37,T$6+6&gt;=$G37),1,"")</x:f>
      </x:c>
      <x:c r="U37" s="167" t="str">
        <x:f>IF(AND(U$6&lt;=$H37,U$6+6&gt;=$G37),1,"")</x:f>
      </x:c>
      <x:c r="V37" s="167" t="str">
        <x:f>IF(AND(V$6&lt;=$H37,V$6+6&gt;=$G37),1,"")</x:f>
      </x:c>
      <x:c r="W37" s="167" t="n">
        <x:f>IF(AND(W$6&lt;=$H37,W$6+6&gt;=$G37),1,"")</x:f>
        <x:v>1</x:v>
      </x:c>
      <x:c r="X37" s="167" t="str">
        <x:f>IF(AND(X$6&lt;=$H37,X$6+6&gt;=$G37),1,"")</x:f>
      </x:c>
      <x:c r="Y37" s="167" t="str">
        <x:f>IF(AND(Y$6&lt;=$H37,Y$6+6&gt;=$G37),1,"")</x:f>
      </x:c>
      <x:c r="Z37" s="167" t="str">
        <x:f>IF(AND(Z$6&lt;=$H37,Z$6+6&gt;=$G37),1,"")</x:f>
      </x:c>
      <x:c r="AA37" s="167" t="str">
        <x:f>IF(AND(AA$6&lt;=$H37,AA$6+6&gt;=$G37),1,"")</x:f>
      </x:c>
      <x:c r="AB37" s="167" t="str">
        <x:f>IF(AND(AB$6&lt;=$H37,AB$6+6&gt;=$G37),1,"")</x:f>
      </x:c>
      <x:c r="AC37" s="167" t="str">
        <x:f>IF(AND(AC$6&lt;=$H37,AC$6+6&gt;=$G37),1,"")</x:f>
      </x:c>
      <x:c r="AD37" s="167" t="str">
        <x:f>IF(AND(AD$6&lt;=$H37,AD$6+6&gt;=$G37),1,"")</x:f>
      </x:c>
      <x:c r="AE37" s="167" t="str">
        <x:f>IF(AND(AE$6&lt;=$H37,AE$6+6&gt;=$G37),1,"")</x:f>
      </x:c>
      <x:c r="AF37" s="167" t="str">
        <x:f>IF(AND(AF$6&lt;=$H37,AF$6+6&gt;=$G37),1,"")</x:f>
      </x:c>
      <x:c r="AG37" s="167" t="str">
        <x:f>IF(AND(AG$6&lt;=$H37,AG$6+6&gt;=$G37),1,"")</x:f>
      </x:c>
      <x:c r="AH37" s="167" t="str">
        <x:f>IF(AND(AH$6&lt;=$H37,AH$6+6&gt;=$G37),1,"")</x:f>
      </x:c>
      <x:c r="AI37" s="167" t="str">
        <x:f>IF(AND(AI$6&lt;=$H37,AI$6+6&gt;=$G37),1,"")</x:f>
      </x:c>
      <x:c r="AJ37" s="167" t="str">
        <x:f>IF(AND(AJ$6&lt;=$H37,AJ$6+6&gt;=$G37),1,"")</x:f>
      </x:c>
      <x:c r="AK37" s="167" t="str">
        <x:f>IF(AND(AK$6&lt;=$H37,AK$6+6&gt;=$G37),1,"")</x:f>
      </x:c>
      <x:c r="AL37" s="167" t="str">
        <x:f>IF(AND(AL$6&lt;=$H37,AL$6+6&gt;=$G37),1,"")</x:f>
      </x:c>
      <x:c r="AM37" s="167" t="str">
        <x:f>IF(AND(AM$6&lt;=$H37,AM$6+6&gt;=$G37),1,"")</x:f>
      </x:c>
      <x:c r="AN37" s="167" t="str">
        <x:f>IF(AND(AN$6&lt;=$H37,AN$6+6&gt;=$G37),1,"")</x:f>
      </x:c>
      <x:c r="AO37" s="167" t="str">
        <x:f>IF(AND(AO$6&lt;=$H37,AO$6+6&gt;=$G37),1,"")</x:f>
      </x:c>
      <x:c r="AP37" s="167" t="str">
        <x:f>IF(AND(AP$6&lt;=$H37,AP$6+6&gt;=$G37),1,"")</x:f>
      </x:c>
      <x:c r="AQ37" s="167" t="str">
        <x:f>IF(AND(AQ$6&lt;=$H37,AQ$6+6&gt;=$G37),1,"")</x:f>
      </x:c>
      <x:c r="AR37" s="167" t="str">
        <x:f>IF(AND(AR$6&lt;=$H37,AR$6+6&gt;=$G37),1,"")</x:f>
      </x:c>
      <x:c r="AS37" s="167" t="str">
        <x:f>IF(AND(AS$6&lt;=$H37,AS$6+6&gt;=$G37),1,"")</x:f>
      </x:c>
      <x:c r="AT37" s="167" t="str">
        <x:f>IF(AND(AT$6&lt;=$H37,AT$6+6&gt;=$G37),1,"")</x:f>
      </x:c>
      <x:c r="AU37" s="167" t="str">
        <x:f>IF(AND(AU$6&lt;=$H37,AU$6+6&gt;=$G37),1,"")</x:f>
      </x:c>
      <x:c r="AV37" s="167" t="str">
        <x:f>IF(AND(AV$6&lt;=$H37,AV$6+6&gt;=$G37),1,"")</x:f>
      </x:c>
      <x:c r="AW37" s="167" t="str">
        <x:f>IF(AND(AW$6&lt;=$H37,AW$6+6&gt;=$G37),1,"")</x:f>
      </x:c>
      <x:c r="AX37" s="167" t="str">
        <x:f>IF(AND(AX$6&lt;=$H37,AX$6+6&gt;=$G37),1,"")</x:f>
      </x:c>
      <x:c r="AY37" s="167" t="str">
        <x:f>IF(AND(AY$6&lt;=$H37,AY$6+6&gt;=$G37),1,"")</x:f>
      </x:c>
      <x:c r="AZ37" s="167" t="str">
        <x:f>IF(AND(AZ$6&lt;=$H37,AZ$6+6&gt;=$G37),1,"")</x:f>
      </x:c>
      <x:c r="BA37" s="167" t="str">
        <x:f>IF(AND(BA$6&lt;=$H37,BA$6+6&gt;=$G37),1,"")</x:f>
      </x:c>
      <x:c r="BB37" s="167" t="str">
        <x:f>IF(AND(BB$6&lt;=$H37,BB$6+6&gt;=$G37),1,"")</x:f>
      </x:c>
      <x:c r="BC37" s="167" t="str">
        <x:f>IF(AND(BC$6&lt;=$H37,BC$6+6&gt;=$G37),1,"")</x:f>
      </x:c>
      <x:c r="BD37" s="167" t="str">
        <x:f>IF(AND(BD$6&lt;=$H37,BD$6+6&gt;=$G37),1,"")</x:f>
      </x:c>
      <x:c r="BE37" s="167" t="str">
        <x:f>IF(AND(BE$6&lt;=$H37,BE$6+6&gt;=$G37),1,"")</x:f>
      </x:c>
      <x:c r="BF37" s="167" t="str">
        <x:f>IF(AND(BF$6&lt;=$H37,BF$6+6&gt;=$G37),1,"")</x:f>
      </x:c>
      <x:c r="BG37" s="167" t="str">
        <x:f>IF(AND(BG$6&lt;=$H37,BG$6+6&gt;=$G37),1,"")</x:f>
      </x:c>
      <x:c r="BH37" s="167" t="str">
        <x:f>IF(AND(BH$6&lt;=$H37,BH$6+6&gt;=$G37),1,"")</x:f>
      </x:c>
      <x:c r="BI37" s="167" t="str">
        <x:f>IF(AND(BI$6&lt;=$H37,BI$6+6&gt;=$G37),1,"")</x:f>
      </x:c>
      <x:c r="BJ37" s="167" t="str">
        <x:f>IF(AND(BJ$6&lt;=$H37,BJ$6+6&gt;=$G37),1,"")</x:f>
      </x:c>
      <x:c r="BK37" s="168" t="str">
        <x:f>IF(AND(BK$6&lt;=$H37,BK$6+6&gt;=$G37),1,"")</x:f>
      </x:c>
    </x:row>
    <x:row r="38" ht="24" customHeight="1">
      <x:c r="A38" s="68" t="str">
        <x:f>'Research Tasks'!A36</x:f>
        <x:v>AI-211</x:v>
      </x:c>
      <x:c r="B38" s="68" t="str">
        <x:f>'Research Tasks'!B36</x:f>
        <x:v>M2</x:v>
      </x:c>
      <x:c r="C38" s="68" t="str">
        <x:f>'Research Tasks'!C36</x:f>
        <x:v>Preferences</x:v>
      </x:c>
      <x:c r="D38" s="68" t="str">
        <x:f>'Research Tasks'!D36</x:f>
        <x:v>Implement the M1 structural-preference decision</x:v>
      </x:c>
      <x:c r="E38" s="68" t="str">
        <x:f>'Research Tasks'!E36</x:f>
        <x:v>AI-110, AI-208, AI-210</x:v>
      </x:c>
      <x:c r="F38" s="68" t="str">
        <x:f>'Research Tasks'!F36</x:f>
        <x:v>Blocked</x:v>
      </x:c>
      <x:c r="G38" s="94" t="n">
        <x:f>'Research Tasks'!I36</x:f>
        <x:v>46339</x:v>
      </x:c>
      <x:c r="H38" s="94" t="n">
        <x:f>'Research Tasks'!J36</x:f>
        <x:v>46343</x:v>
      </x:c>
      <x:c r="I38" s="166" t="str">
        <x:f>IF(AND(I$6&lt;=$H38,I$6+6&gt;=$G38),1,"")</x:f>
      </x:c>
      <x:c r="J38" s="167" t="str">
        <x:f>IF(AND(J$6&lt;=$H38,J$6+6&gt;=$G38),1,"")</x:f>
      </x:c>
      <x:c r="K38" s="167" t="str">
        <x:f>IF(AND(K$6&lt;=$H38,K$6+6&gt;=$G38),1,"")</x:f>
      </x:c>
      <x:c r="L38" s="167" t="str">
        <x:f>IF(AND(L$6&lt;=$H38,L$6+6&gt;=$G38),1,"")</x:f>
      </x:c>
      <x:c r="M38" s="167" t="str">
        <x:f>IF(AND(M$6&lt;=$H38,M$6+6&gt;=$G38),1,"")</x:f>
      </x:c>
      <x:c r="N38" s="167" t="str">
        <x:f>IF(AND(N$6&lt;=$H38,N$6+6&gt;=$G38),1,"")</x:f>
      </x:c>
      <x:c r="O38" s="167" t="str">
        <x:f>IF(AND(O$6&lt;=$H38,O$6+6&gt;=$G38),1,"")</x:f>
      </x:c>
      <x:c r="P38" s="167" t="str">
        <x:f>IF(AND(P$6&lt;=$H38,P$6+6&gt;=$G38),1,"")</x:f>
      </x:c>
      <x:c r="Q38" s="167" t="str">
        <x:f>IF(AND(Q$6&lt;=$H38,Q$6+6&gt;=$G38),1,"")</x:f>
      </x:c>
      <x:c r="R38" s="167" t="str">
        <x:f>IF(AND(R$6&lt;=$H38,R$6+6&gt;=$G38),1,"")</x:f>
      </x:c>
      <x:c r="S38" s="167" t="str">
        <x:f>IF(AND(S$6&lt;=$H38,S$6+6&gt;=$G38),1,"")</x:f>
      </x:c>
      <x:c r="T38" s="167" t="str">
        <x:f>IF(AND(T$6&lt;=$H38,T$6+6&gt;=$G38),1,"")</x:f>
      </x:c>
      <x:c r="U38" s="167" t="str">
        <x:f>IF(AND(U$6&lt;=$H38,U$6+6&gt;=$G38),1,"")</x:f>
      </x:c>
      <x:c r="V38" s="167" t="str">
        <x:f>IF(AND(V$6&lt;=$H38,V$6+6&gt;=$G38),1,"")</x:f>
      </x:c>
      <x:c r="W38" s="167" t="n">
        <x:f>IF(AND(W$6&lt;=$H38,W$6+6&gt;=$G38),1,"")</x:f>
        <x:v>1</x:v>
      </x:c>
      <x:c r="X38" s="167" t="n">
        <x:f>IF(AND(X$6&lt;=$H38,X$6+6&gt;=$G38),1,"")</x:f>
        <x:v>1</x:v>
      </x:c>
      <x:c r="Y38" s="167" t="str">
        <x:f>IF(AND(Y$6&lt;=$H38,Y$6+6&gt;=$G38),1,"")</x:f>
      </x:c>
      <x:c r="Z38" s="167" t="str">
        <x:f>IF(AND(Z$6&lt;=$H38,Z$6+6&gt;=$G38),1,"")</x:f>
      </x:c>
      <x:c r="AA38" s="167" t="str">
        <x:f>IF(AND(AA$6&lt;=$H38,AA$6+6&gt;=$G38),1,"")</x:f>
      </x:c>
      <x:c r="AB38" s="167" t="str">
        <x:f>IF(AND(AB$6&lt;=$H38,AB$6+6&gt;=$G38),1,"")</x:f>
      </x:c>
      <x:c r="AC38" s="167" t="str">
        <x:f>IF(AND(AC$6&lt;=$H38,AC$6+6&gt;=$G38),1,"")</x:f>
      </x:c>
      <x:c r="AD38" s="167" t="str">
        <x:f>IF(AND(AD$6&lt;=$H38,AD$6+6&gt;=$G38),1,"")</x:f>
      </x:c>
      <x:c r="AE38" s="167" t="str">
        <x:f>IF(AND(AE$6&lt;=$H38,AE$6+6&gt;=$G38),1,"")</x:f>
      </x:c>
      <x:c r="AF38" s="167" t="str">
        <x:f>IF(AND(AF$6&lt;=$H38,AF$6+6&gt;=$G38),1,"")</x:f>
      </x:c>
      <x:c r="AG38" s="167" t="str">
        <x:f>IF(AND(AG$6&lt;=$H38,AG$6+6&gt;=$G38),1,"")</x:f>
      </x:c>
      <x:c r="AH38" s="167" t="str">
        <x:f>IF(AND(AH$6&lt;=$H38,AH$6+6&gt;=$G38),1,"")</x:f>
      </x:c>
      <x:c r="AI38" s="167" t="str">
        <x:f>IF(AND(AI$6&lt;=$H38,AI$6+6&gt;=$G38),1,"")</x:f>
      </x:c>
      <x:c r="AJ38" s="167" t="str">
        <x:f>IF(AND(AJ$6&lt;=$H38,AJ$6+6&gt;=$G38),1,"")</x:f>
      </x:c>
      <x:c r="AK38" s="167" t="str">
        <x:f>IF(AND(AK$6&lt;=$H38,AK$6+6&gt;=$G38),1,"")</x:f>
      </x:c>
      <x:c r="AL38" s="167" t="str">
        <x:f>IF(AND(AL$6&lt;=$H38,AL$6+6&gt;=$G38),1,"")</x:f>
      </x:c>
      <x:c r="AM38" s="167" t="str">
        <x:f>IF(AND(AM$6&lt;=$H38,AM$6+6&gt;=$G38),1,"")</x:f>
      </x:c>
      <x:c r="AN38" s="167" t="str">
        <x:f>IF(AND(AN$6&lt;=$H38,AN$6+6&gt;=$G38),1,"")</x:f>
      </x:c>
      <x:c r="AO38" s="167" t="str">
        <x:f>IF(AND(AO$6&lt;=$H38,AO$6+6&gt;=$G38),1,"")</x:f>
      </x:c>
      <x:c r="AP38" s="167" t="str">
        <x:f>IF(AND(AP$6&lt;=$H38,AP$6+6&gt;=$G38),1,"")</x:f>
      </x:c>
      <x:c r="AQ38" s="167" t="str">
        <x:f>IF(AND(AQ$6&lt;=$H38,AQ$6+6&gt;=$G38),1,"")</x:f>
      </x:c>
      <x:c r="AR38" s="167" t="str">
        <x:f>IF(AND(AR$6&lt;=$H38,AR$6+6&gt;=$G38),1,"")</x:f>
      </x:c>
      <x:c r="AS38" s="167" t="str">
        <x:f>IF(AND(AS$6&lt;=$H38,AS$6+6&gt;=$G38),1,"")</x:f>
      </x:c>
      <x:c r="AT38" s="167" t="str">
        <x:f>IF(AND(AT$6&lt;=$H38,AT$6+6&gt;=$G38),1,"")</x:f>
      </x:c>
      <x:c r="AU38" s="167" t="str">
        <x:f>IF(AND(AU$6&lt;=$H38,AU$6+6&gt;=$G38),1,"")</x:f>
      </x:c>
      <x:c r="AV38" s="167" t="str">
        <x:f>IF(AND(AV$6&lt;=$H38,AV$6+6&gt;=$G38),1,"")</x:f>
      </x:c>
      <x:c r="AW38" s="167" t="str">
        <x:f>IF(AND(AW$6&lt;=$H38,AW$6+6&gt;=$G38),1,"")</x:f>
      </x:c>
      <x:c r="AX38" s="167" t="str">
        <x:f>IF(AND(AX$6&lt;=$H38,AX$6+6&gt;=$G38),1,"")</x:f>
      </x:c>
      <x:c r="AY38" s="167" t="str">
        <x:f>IF(AND(AY$6&lt;=$H38,AY$6+6&gt;=$G38),1,"")</x:f>
      </x:c>
      <x:c r="AZ38" s="167" t="str">
        <x:f>IF(AND(AZ$6&lt;=$H38,AZ$6+6&gt;=$G38),1,"")</x:f>
      </x:c>
      <x:c r="BA38" s="167" t="str">
        <x:f>IF(AND(BA$6&lt;=$H38,BA$6+6&gt;=$G38),1,"")</x:f>
      </x:c>
      <x:c r="BB38" s="167" t="str">
        <x:f>IF(AND(BB$6&lt;=$H38,BB$6+6&gt;=$G38),1,"")</x:f>
      </x:c>
      <x:c r="BC38" s="167" t="str">
        <x:f>IF(AND(BC$6&lt;=$H38,BC$6+6&gt;=$G38),1,"")</x:f>
      </x:c>
      <x:c r="BD38" s="167" t="str">
        <x:f>IF(AND(BD$6&lt;=$H38,BD$6+6&gt;=$G38),1,"")</x:f>
      </x:c>
      <x:c r="BE38" s="167" t="str">
        <x:f>IF(AND(BE$6&lt;=$H38,BE$6+6&gt;=$G38),1,"")</x:f>
      </x:c>
      <x:c r="BF38" s="167" t="str">
        <x:f>IF(AND(BF$6&lt;=$H38,BF$6+6&gt;=$G38),1,"")</x:f>
      </x:c>
      <x:c r="BG38" s="167" t="str">
        <x:f>IF(AND(BG$6&lt;=$H38,BG$6+6&gt;=$G38),1,"")</x:f>
      </x:c>
      <x:c r="BH38" s="167" t="str">
        <x:f>IF(AND(BH$6&lt;=$H38,BH$6+6&gt;=$G38),1,"")</x:f>
      </x:c>
      <x:c r="BI38" s="167" t="str">
        <x:f>IF(AND(BI$6&lt;=$H38,BI$6+6&gt;=$G38),1,"")</x:f>
      </x:c>
      <x:c r="BJ38" s="167" t="str">
        <x:f>IF(AND(BJ$6&lt;=$H38,BJ$6+6&gt;=$G38),1,"")</x:f>
      </x:c>
      <x:c r="BK38" s="168" t="str">
        <x:f>IF(AND(BK$6&lt;=$H38,BK$6+6&gt;=$G38),1,"")</x:f>
      </x:c>
    </x:row>
    <x:row r="39" ht="24" customHeight="1">
      <x:c r="A39" s="68" t="str">
        <x:f>'Research Tasks'!A37</x:f>
        <x:v>AI-212</x:v>
      </x:c>
      <x:c r="B39" s="68" t="str">
        <x:f>'Research Tasks'!B37</x:f>
        <x:v>M2</x:v>
      </x:c>
      <x:c r="C39" s="68" t="str">
        <x:f>'Research Tasks'!C37</x:f>
        <x:v>Continual Learning</x:v>
      </x:c>
      <x:c r="D39" s="68" t="str">
        <x:f>'Research Tasks'!D37</x:f>
        <x:v>Separate shared pretraining from individual development</x:v>
      </x:c>
      <x:c r="E39" s="68" t="str">
        <x:f>'Research Tasks'!E37</x:f>
        <x:v>AI-112, AI-205, AI-210</x:v>
      </x:c>
      <x:c r="F39" s="68" t="str">
        <x:f>'Research Tasks'!F37</x:f>
        <x:v>Blocked</x:v>
      </x:c>
      <x:c r="G39" s="94" t="n">
        <x:f>'Research Tasks'!I37</x:f>
        <x:v>46344</x:v>
      </x:c>
      <x:c r="H39" s="94" t="n">
        <x:f>'Research Tasks'!J37</x:f>
        <x:v>46346</x:v>
      </x:c>
      <x:c r="I39" s="166" t="str">
        <x:f>IF(AND(I$6&lt;=$H39,I$6+6&gt;=$G39),1,"")</x:f>
      </x:c>
      <x:c r="J39" s="167" t="str">
        <x:f>IF(AND(J$6&lt;=$H39,J$6+6&gt;=$G39),1,"")</x:f>
      </x:c>
      <x:c r="K39" s="167" t="str">
        <x:f>IF(AND(K$6&lt;=$H39,K$6+6&gt;=$G39),1,"")</x:f>
      </x:c>
      <x:c r="L39" s="167" t="str">
        <x:f>IF(AND(L$6&lt;=$H39,L$6+6&gt;=$G39),1,"")</x:f>
      </x:c>
      <x:c r="M39" s="167" t="str">
        <x:f>IF(AND(M$6&lt;=$H39,M$6+6&gt;=$G39),1,"")</x:f>
      </x:c>
      <x:c r="N39" s="167" t="str">
        <x:f>IF(AND(N$6&lt;=$H39,N$6+6&gt;=$G39),1,"")</x:f>
      </x:c>
      <x:c r="O39" s="167" t="str">
        <x:f>IF(AND(O$6&lt;=$H39,O$6+6&gt;=$G39),1,"")</x:f>
      </x:c>
      <x:c r="P39" s="167" t="str">
        <x:f>IF(AND(P$6&lt;=$H39,P$6+6&gt;=$G39),1,"")</x:f>
      </x:c>
      <x:c r="Q39" s="167" t="str">
        <x:f>IF(AND(Q$6&lt;=$H39,Q$6+6&gt;=$G39),1,"")</x:f>
      </x:c>
      <x:c r="R39" s="167" t="str">
        <x:f>IF(AND(R$6&lt;=$H39,R$6+6&gt;=$G39),1,"")</x:f>
      </x:c>
      <x:c r="S39" s="167" t="str">
        <x:f>IF(AND(S$6&lt;=$H39,S$6+6&gt;=$G39),1,"")</x:f>
      </x:c>
      <x:c r="T39" s="167" t="str">
        <x:f>IF(AND(T$6&lt;=$H39,T$6+6&gt;=$G39),1,"")</x:f>
      </x:c>
      <x:c r="U39" s="167" t="str">
        <x:f>IF(AND(U$6&lt;=$H39,U$6+6&gt;=$G39),1,"")</x:f>
      </x:c>
      <x:c r="V39" s="167" t="str">
        <x:f>IF(AND(V$6&lt;=$H39,V$6+6&gt;=$G39),1,"")</x:f>
      </x:c>
      <x:c r="W39" s="167" t="str">
        <x:f>IF(AND(W$6&lt;=$H39,W$6+6&gt;=$G39),1,"")</x:f>
      </x:c>
      <x:c r="X39" s="167" t="n">
        <x:f>IF(AND(X$6&lt;=$H39,X$6+6&gt;=$G39),1,"")</x:f>
        <x:v>1</x:v>
      </x:c>
      <x:c r="Y39" s="167" t="str">
        <x:f>IF(AND(Y$6&lt;=$H39,Y$6+6&gt;=$G39),1,"")</x:f>
      </x:c>
      <x:c r="Z39" s="167" t="str">
        <x:f>IF(AND(Z$6&lt;=$H39,Z$6+6&gt;=$G39),1,"")</x:f>
      </x:c>
      <x:c r="AA39" s="167" t="str">
        <x:f>IF(AND(AA$6&lt;=$H39,AA$6+6&gt;=$G39),1,"")</x:f>
      </x:c>
      <x:c r="AB39" s="167" t="str">
        <x:f>IF(AND(AB$6&lt;=$H39,AB$6+6&gt;=$G39),1,"")</x:f>
      </x:c>
      <x:c r="AC39" s="167" t="str">
        <x:f>IF(AND(AC$6&lt;=$H39,AC$6+6&gt;=$G39),1,"")</x:f>
      </x:c>
      <x:c r="AD39" s="167" t="str">
        <x:f>IF(AND(AD$6&lt;=$H39,AD$6+6&gt;=$G39),1,"")</x:f>
      </x:c>
      <x:c r="AE39" s="167" t="str">
        <x:f>IF(AND(AE$6&lt;=$H39,AE$6+6&gt;=$G39),1,"")</x:f>
      </x:c>
      <x:c r="AF39" s="167" t="str">
        <x:f>IF(AND(AF$6&lt;=$H39,AF$6+6&gt;=$G39),1,"")</x:f>
      </x:c>
      <x:c r="AG39" s="167" t="str">
        <x:f>IF(AND(AG$6&lt;=$H39,AG$6+6&gt;=$G39),1,"")</x:f>
      </x:c>
      <x:c r="AH39" s="167" t="str">
        <x:f>IF(AND(AH$6&lt;=$H39,AH$6+6&gt;=$G39),1,"")</x:f>
      </x:c>
      <x:c r="AI39" s="167" t="str">
        <x:f>IF(AND(AI$6&lt;=$H39,AI$6+6&gt;=$G39),1,"")</x:f>
      </x:c>
      <x:c r="AJ39" s="167" t="str">
        <x:f>IF(AND(AJ$6&lt;=$H39,AJ$6+6&gt;=$G39),1,"")</x:f>
      </x:c>
      <x:c r="AK39" s="167" t="str">
        <x:f>IF(AND(AK$6&lt;=$H39,AK$6+6&gt;=$G39),1,"")</x:f>
      </x:c>
      <x:c r="AL39" s="167" t="str">
        <x:f>IF(AND(AL$6&lt;=$H39,AL$6+6&gt;=$G39),1,"")</x:f>
      </x:c>
      <x:c r="AM39" s="167" t="str">
        <x:f>IF(AND(AM$6&lt;=$H39,AM$6+6&gt;=$G39),1,"")</x:f>
      </x:c>
      <x:c r="AN39" s="167" t="str">
        <x:f>IF(AND(AN$6&lt;=$H39,AN$6+6&gt;=$G39),1,"")</x:f>
      </x:c>
      <x:c r="AO39" s="167" t="str">
        <x:f>IF(AND(AO$6&lt;=$H39,AO$6+6&gt;=$G39),1,"")</x:f>
      </x:c>
      <x:c r="AP39" s="167" t="str">
        <x:f>IF(AND(AP$6&lt;=$H39,AP$6+6&gt;=$G39),1,"")</x:f>
      </x:c>
      <x:c r="AQ39" s="167" t="str">
        <x:f>IF(AND(AQ$6&lt;=$H39,AQ$6+6&gt;=$G39),1,"")</x:f>
      </x:c>
      <x:c r="AR39" s="167" t="str">
        <x:f>IF(AND(AR$6&lt;=$H39,AR$6+6&gt;=$G39),1,"")</x:f>
      </x:c>
      <x:c r="AS39" s="167" t="str">
        <x:f>IF(AND(AS$6&lt;=$H39,AS$6+6&gt;=$G39),1,"")</x:f>
      </x:c>
      <x:c r="AT39" s="167" t="str">
        <x:f>IF(AND(AT$6&lt;=$H39,AT$6+6&gt;=$G39),1,"")</x:f>
      </x:c>
      <x:c r="AU39" s="167" t="str">
        <x:f>IF(AND(AU$6&lt;=$H39,AU$6+6&gt;=$G39),1,"")</x:f>
      </x:c>
      <x:c r="AV39" s="167" t="str">
        <x:f>IF(AND(AV$6&lt;=$H39,AV$6+6&gt;=$G39),1,"")</x:f>
      </x:c>
      <x:c r="AW39" s="167" t="str">
        <x:f>IF(AND(AW$6&lt;=$H39,AW$6+6&gt;=$G39),1,"")</x:f>
      </x:c>
      <x:c r="AX39" s="167" t="str">
        <x:f>IF(AND(AX$6&lt;=$H39,AX$6+6&gt;=$G39),1,"")</x:f>
      </x:c>
      <x:c r="AY39" s="167" t="str">
        <x:f>IF(AND(AY$6&lt;=$H39,AY$6+6&gt;=$G39),1,"")</x:f>
      </x:c>
      <x:c r="AZ39" s="167" t="str">
        <x:f>IF(AND(AZ$6&lt;=$H39,AZ$6+6&gt;=$G39),1,"")</x:f>
      </x:c>
      <x:c r="BA39" s="167" t="str">
        <x:f>IF(AND(BA$6&lt;=$H39,BA$6+6&gt;=$G39),1,"")</x:f>
      </x:c>
      <x:c r="BB39" s="167" t="str">
        <x:f>IF(AND(BB$6&lt;=$H39,BB$6+6&gt;=$G39),1,"")</x:f>
      </x:c>
      <x:c r="BC39" s="167" t="str">
        <x:f>IF(AND(BC$6&lt;=$H39,BC$6+6&gt;=$G39),1,"")</x:f>
      </x:c>
      <x:c r="BD39" s="167" t="str">
        <x:f>IF(AND(BD$6&lt;=$H39,BD$6+6&gt;=$G39),1,"")</x:f>
      </x:c>
      <x:c r="BE39" s="167" t="str">
        <x:f>IF(AND(BE$6&lt;=$H39,BE$6+6&gt;=$G39),1,"")</x:f>
      </x:c>
      <x:c r="BF39" s="167" t="str">
        <x:f>IF(AND(BF$6&lt;=$H39,BF$6+6&gt;=$G39),1,"")</x:f>
      </x:c>
      <x:c r="BG39" s="167" t="str">
        <x:f>IF(AND(BG$6&lt;=$H39,BG$6+6&gt;=$G39),1,"")</x:f>
      </x:c>
      <x:c r="BH39" s="167" t="str">
        <x:f>IF(AND(BH$6&lt;=$H39,BH$6+6&gt;=$G39),1,"")</x:f>
      </x:c>
      <x:c r="BI39" s="167" t="str">
        <x:f>IF(AND(BI$6&lt;=$H39,BI$6+6&gt;=$G39),1,"")</x:f>
      </x:c>
      <x:c r="BJ39" s="167" t="str">
        <x:f>IF(AND(BJ$6&lt;=$H39,BJ$6+6&gt;=$G39),1,"")</x:f>
      </x:c>
      <x:c r="BK39" s="168" t="str">
        <x:f>IF(AND(BK$6&lt;=$H39,BK$6+6&gt;=$G39),1,"")</x:f>
      </x:c>
    </x:row>
    <x:row r="40" ht="24" customHeight="1">
      <x:c r="A40" s="68" t="str">
        <x:f>'Research Tasks'!A38</x:f>
        <x:v>AI-213</x:v>
      </x:c>
      <x:c r="B40" s="68" t="str">
        <x:f>'Research Tasks'!B38</x:f>
        <x:v>M2</x:v>
      </x:c>
      <x:c r="C40" s="68" t="str">
        <x:f>'Research Tasks'!C38</x:f>
        <x:v>Performance/Data</x:v>
      </x:c>
      <x:c r="D40" s="68" t="str">
        <x:f>'Research Tasks'!D38</x:f>
        <x:v>Build the affordable parallel data and training path</x:v>
      </x:c>
      <x:c r="E40" s="68" t="str">
        <x:f>'Research Tasks'!E38</x:f>
        <x:v>AI-113, AI-205, AI-212</x:v>
      </x:c>
      <x:c r="F40" s="68" t="str">
        <x:f>'Research Tasks'!F38</x:f>
        <x:v>Blocked</x:v>
      </x:c>
      <x:c r="G40" s="94" t="n">
        <x:f>'Research Tasks'!I38</x:f>
        <x:v>46349</x:v>
      </x:c>
      <x:c r="H40" s="94" t="n">
        <x:f>'Research Tasks'!J38</x:f>
        <x:v>46352</x:v>
      </x:c>
      <x:c r="I40" s="166" t="str">
        <x:f>IF(AND(I$6&lt;=$H40,I$6+6&gt;=$G40),1,"")</x:f>
      </x:c>
      <x:c r="J40" s="167" t="str">
        <x:f>IF(AND(J$6&lt;=$H40,J$6+6&gt;=$G40),1,"")</x:f>
      </x:c>
      <x:c r="K40" s="167" t="str">
        <x:f>IF(AND(K$6&lt;=$H40,K$6+6&gt;=$G40),1,"")</x:f>
      </x:c>
      <x:c r="L40" s="167" t="str">
        <x:f>IF(AND(L$6&lt;=$H40,L$6+6&gt;=$G40),1,"")</x:f>
      </x:c>
      <x:c r="M40" s="167" t="str">
        <x:f>IF(AND(M$6&lt;=$H40,M$6+6&gt;=$G40),1,"")</x:f>
      </x:c>
      <x:c r="N40" s="167" t="str">
        <x:f>IF(AND(N$6&lt;=$H40,N$6+6&gt;=$G40),1,"")</x:f>
      </x:c>
      <x:c r="O40" s="167" t="str">
        <x:f>IF(AND(O$6&lt;=$H40,O$6+6&gt;=$G40),1,"")</x:f>
      </x:c>
      <x:c r="P40" s="167" t="str">
        <x:f>IF(AND(P$6&lt;=$H40,P$6+6&gt;=$G40),1,"")</x:f>
      </x:c>
      <x:c r="Q40" s="167" t="str">
        <x:f>IF(AND(Q$6&lt;=$H40,Q$6+6&gt;=$G40),1,"")</x:f>
      </x:c>
      <x:c r="R40" s="167" t="str">
        <x:f>IF(AND(R$6&lt;=$H40,R$6+6&gt;=$G40),1,"")</x:f>
      </x:c>
      <x:c r="S40" s="167" t="str">
        <x:f>IF(AND(S$6&lt;=$H40,S$6+6&gt;=$G40),1,"")</x:f>
      </x:c>
      <x:c r="T40" s="167" t="str">
        <x:f>IF(AND(T$6&lt;=$H40,T$6+6&gt;=$G40),1,"")</x:f>
      </x:c>
      <x:c r="U40" s="167" t="str">
        <x:f>IF(AND(U$6&lt;=$H40,U$6+6&gt;=$G40),1,"")</x:f>
      </x:c>
      <x:c r="V40" s="167" t="str">
        <x:f>IF(AND(V$6&lt;=$H40,V$6+6&gt;=$G40),1,"")</x:f>
      </x:c>
      <x:c r="W40" s="167" t="str">
        <x:f>IF(AND(W$6&lt;=$H40,W$6+6&gt;=$G40),1,"")</x:f>
      </x:c>
      <x:c r="X40" s="167" t="str">
        <x:f>IF(AND(X$6&lt;=$H40,X$6+6&gt;=$G40),1,"")</x:f>
      </x:c>
      <x:c r="Y40" s="167" t="n">
        <x:f>IF(AND(Y$6&lt;=$H40,Y$6+6&gt;=$G40),1,"")</x:f>
        <x:v>1</x:v>
      </x:c>
      <x:c r="Z40" s="167" t="str">
        <x:f>IF(AND(Z$6&lt;=$H40,Z$6+6&gt;=$G40),1,"")</x:f>
      </x:c>
      <x:c r="AA40" s="167" t="str">
        <x:f>IF(AND(AA$6&lt;=$H40,AA$6+6&gt;=$G40),1,"")</x:f>
      </x:c>
      <x:c r="AB40" s="167" t="str">
        <x:f>IF(AND(AB$6&lt;=$H40,AB$6+6&gt;=$G40),1,"")</x:f>
      </x:c>
      <x:c r="AC40" s="167" t="str">
        <x:f>IF(AND(AC$6&lt;=$H40,AC$6+6&gt;=$G40),1,"")</x:f>
      </x:c>
      <x:c r="AD40" s="167" t="str">
        <x:f>IF(AND(AD$6&lt;=$H40,AD$6+6&gt;=$G40),1,"")</x:f>
      </x:c>
      <x:c r="AE40" s="167" t="str">
        <x:f>IF(AND(AE$6&lt;=$H40,AE$6+6&gt;=$G40),1,"")</x:f>
      </x:c>
      <x:c r="AF40" s="167" t="str">
        <x:f>IF(AND(AF$6&lt;=$H40,AF$6+6&gt;=$G40),1,"")</x:f>
      </x:c>
      <x:c r="AG40" s="167" t="str">
        <x:f>IF(AND(AG$6&lt;=$H40,AG$6+6&gt;=$G40),1,"")</x:f>
      </x:c>
      <x:c r="AH40" s="167" t="str">
        <x:f>IF(AND(AH$6&lt;=$H40,AH$6+6&gt;=$G40),1,"")</x:f>
      </x:c>
      <x:c r="AI40" s="167" t="str">
        <x:f>IF(AND(AI$6&lt;=$H40,AI$6+6&gt;=$G40),1,"")</x:f>
      </x:c>
      <x:c r="AJ40" s="167" t="str">
        <x:f>IF(AND(AJ$6&lt;=$H40,AJ$6+6&gt;=$G40),1,"")</x:f>
      </x:c>
      <x:c r="AK40" s="167" t="str">
        <x:f>IF(AND(AK$6&lt;=$H40,AK$6+6&gt;=$G40),1,"")</x:f>
      </x:c>
      <x:c r="AL40" s="167" t="str">
        <x:f>IF(AND(AL$6&lt;=$H40,AL$6+6&gt;=$G40),1,"")</x:f>
      </x:c>
      <x:c r="AM40" s="167" t="str">
        <x:f>IF(AND(AM$6&lt;=$H40,AM$6+6&gt;=$G40),1,"")</x:f>
      </x:c>
      <x:c r="AN40" s="167" t="str">
        <x:f>IF(AND(AN$6&lt;=$H40,AN$6+6&gt;=$G40),1,"")</x:f>
      </x:c>
      <x:c r="AO40" s="167" t="str">
        <x:f>IF(AND(AO$6&lt;=$H40,AO$6+6&gt;=$G40),1,"")</x:f>
      </x:c>
      <x:c r="AP40" s="167" t="str">
        <x:f>IF(AND(AP$6&lt;=$H40,AP$6+6&gt;=$G40),1,"")</x:f>
      </x:c>
      <x:c r="AQ40" s="167" t="str">
        <x:f>IF(AND(AQ$6&lt;=$H40,AQ$6+6&gt;=$G40),1,"")</x:f>
      </x:c>
      <x:c r="AR40" s="167" t="str">
        <x:f>IF(AND(AR$6&lt;=$H40,AR$6+6&gt;=$G40),1,"")</x:f>
      </x:c>
      <x:c r="AS40" s="167" t="str">
        <x:f>IF(AND(AS$6&lt;=$H40,AS$6+6&gt;=$G40),1,"")</x:f>
      </x:c>
      <x:c r="AT40" s="167" t="str">
        <x:f>IF(AND(AT$6&lt;=$H40,AT$6+6&gt;=$G40),1,"")</x:f>
      </x:c>
      <x:c r="AU40" s="167" t="str">
        <x:f>IF(AND(AU$6&lt;=$H40,AU$6+6&gt;=$G40),1,"")</x:f>
      </x:c>
      <x:c r="AV40" s="167" t="str">
        <x:f>IF(AND(AV$6&lt;=$H40,AV$6+6&gt;=$G40),1,"")</x:f>
      </x:c>
      <x:c r="AW40" s="167" t="str">
        <x:f>IF(AND(AW$6&lt;=$H40,AW$6+6&gt;=$G40),1,"")</x:f>
      </x:c>
      <x:c r="AX40" s="167" t="str">
        <x:f>IF(AND(AX$6&lt;=$H40,AX$6+6&gt;=$G40),1,"")</x:f>
      </x:c>
      <x:c r="AY40" s="167" t="str">
        <x:f>IF(AND(AY$6&lt;=$H40,AY$6+6&gt;=$G40),1,"")</x:f>
      </x:c>
      <x:c r="AZ40" s="167" t="str">
        <x:f>IF(AND(AZ$6&lt;=$H40,AZ$6+6&gt;=$G40),1,"")</x:f>
      </x:c>
      <x:c r="BA40" s="167" t="str">
        <x:f>IF(AND(BA$6&lt;=$H40,BA$6+6&gt;=$G40),1,"")</x:f>
      </x:c>
      <x:c r="BB40" s="167" t="str">
        <x:f>IF(AND(BB$6&lt;=$H40,BB$6+6&gt;=$G40),1,"")</x:f>
      </x:c>
      <x:c r="BC40" s="167" t="str">
        <x:f>IF(AND(BC$6&lt;=$H40,BC$6+6&gt;=$G40),1,"")</x:f>
      </x:c>
      <x:c r="BD40" s="167" t="str">
        <x:f>IF(AND(BD$6&lt;=$H40,BD$6+6&gt;=$G40),1,"")</x:f>
      </x:c>
      <x:c r="BE40" s="167" t="str">
        <x:f>IF(AND(BE$6&lt;=$H40,BE$6+6&gt;=$G40),1,"")</x:f>
      </x:c>
      <x:c r="BF40" s="167" t="str">
        <x:f>IF(AND(BF$6&lt;=$H40,BF$6+6&gt;=$G40),1,"")</x:f>
      </x:c>
      <x:c r="BG40" s="167" t="str">
        <x:f>IF(AND(BG$6&lt;=$H40,BG$6+6&gt;=$G40),1,"")</x:f>
      </x:c>
      <x:c r="BH40" s="167" t="str">
        <x:f>IF(AND(BH$6&lt;=$H40,BH$6+6&gt;=$G40),1,"")</x:f>
      </x:c>
      <x:c r="BI40" s="167" t="str">
        <x:f>IF(AND(BI$6&lt;=$H40,BI$6+6&gt;=$G40),1,"")</x:f>
      </x:c>
      <x:c r="BJ40" s="167" t="str">
        <x:f>IF(AND(BJ$6&lt;=$H40,BJ$6+6&gt;=$G40),1,"")</x:f>
      </x:c>
      <x:c r="BK40" s="168" t="str">
        <x:f>IF(AND(BK$6&lt;=$H40,BK$6+6&gt;=$G40),1,"")</x:f>
      </x:c>
    </x:row>
    <x:row r="41" ht="24" customHeight="1">
      <x:c r="A41" s="68" t="str">
        <x:f>'Research Tasks'!A39</x:f>
        <x:v>AI-214</x:v>
      </x:c>
      <x:c r="B41" s="68" t="str">
        <x:f>'Research Tasks'!B39</x:f>
        <x:v>M2</x:v>
      </x:c>
      <x:c r="C41" s="68" t="str">
        <x:f>'Research Tasks'!C39</x:f>
        <x:v>Feasibility/Modeling</x:v>
      </x:c>
      <x:c r="D41" s="68" t="str">
        <x:f>'Research Tasks'!D39</x:f>
        <x:v>Evaluate model size and pretrained readiness</x:v>
      </x:c>
      <x:c r="E41" s="68" t="str">
        <x:f>'Research Tasks'!E39</x:f>
        <x:v>AI-109, AI-204, AI-208, AI-213</x:v>
      </x:c>
      <x:c r="F41" s="68" t="str">
        <x:f>'Research Tasks'!F39</x:f>
        <x:v>Blocked</x:v>
      </x:c>
      <x:c r="G41" s="94" t="n">
        <x:f>'Research Tasks'!I39</x:f>
        <x:v>46353</x:v>
      </x:c>
      <x:c r="H41" s="94" t="n">
        <x:f>'Research Tasks'!J39</x:f>
        <x:v>46357</x:v>
      </x:c>
      <x:c r="I41" s="166" t="str">
        <x:f>IF(AND(I$6&lt;=$H41,I$6+6&gt;=$G41),1,"")</x:f>
      </x:c>
      <x:c r="J41" s="167" t="str">
        <x:f>IF(AND(J$6&lt;=$H41,J$6+6&gt;=$G41),1,"")</x:f>
      </x:c>
      <x:c r="K41" s="167" t="str">
        <x:f>IF(AND(K$6&lt;=$H41,K$6+6&gt;=$G41),1,"")</x:f>
      </x:c>
      <x:c r="L41" s="167" t="str">
        <x:f>IF(AND(L$6&lt;=$H41,L$6+6&gt;=$G41),1,"")</x:f>
      </x:c>
      <x:c r="M41" s="167" t="str">
        <x:f>IF(AND(M$6&lt;=$H41,M$6+6&gt;=$G41),1,"")</x:f>
      </x:c>
      <x:c r="N41" s="167" t="str">
        <x:f>IF(AND(N$6&lt;=$H41,N$6+6&gt;=$G41),1,"")</x:f>
      </x:c>
      <x:c r="O41" s="167" t="str">
        <x:f>IF(AND(O$6&lt;=$H41,O$6+6&gt;=$G41),1,"")</x:f>
      </x:c>
      <x:c r="P41" s="167" t="str">
        <x:f>IF(AND(P$6&lt;=$H41,P$6+6&gt;=$G41),1,"")</x:f>
      </x:c>
      <x:c r="Q41" s="167" t="str">
        <x:f>IF(AND(Q$6&lt;=$H41,Q$6+6&gt;=$G41),1,"")</x:f>
      </x:c>
      <x:c r="R41" s="167" t="str">
        <x:f>IF(AND(R$6&lt;=$H41,R$6+6&gt;=$G41),1,"")</x:f>
      </x:c>
      <x:c r="S41" s="167" t="str">
        <x:f>IF(AND(S$6&lt;=$H41,S$6+6&gt;=$G41),1,"")</x:f>
      </x:c>
      <x:c r="T41" s="167" t="str">
        <x:f>IF(AND(T$6&lt;=$H41,T$6+6&gt;=$G41),1,"")</x:f>
      </x:c>
      <x:c r="U41" s="167" t="str">
        <x:f>IF(AND(U$6&lt;=$H41,U$6+6&gt;=$G41),1,"")</x:f>
      </x:c>
      <x:c r="V41" s="167" t="str">
        <x:f>IF(AND(V$6&lt;=$H41,V$6+6&gt;=$G41),1,"")</x:f>
      </x:c>
      <x:c r="W41" s="167" t="str">
        <x:f>IF(AND(W$6&lt;=$H41,W$6+6&gt;=$G41),1,"")</x:f>
      </x:c>
      <x:c r="X41" s="167" t="str">
        <x:f>IF(AND(X$6&lt;=$H41,X$6+6&gt;=$G41),1,"")</x:f>
      </x:c>
      <x:c r="Y41" s="167" t="n">
        <x:f>IF(AND(Y$6&lt;=$H41,Y$6+6&gt;=$G41),1,"")</x:f>
        <x:v>1</x:v>
      </x:c>
      <x:c r="Z41" s="167" t="n">
        <x:f>IF(AND(Z$6&lt;=$H41,Z$6+6&gt;=$G41),1,"")</x:f>
        <x:v>1</x:v>
      </x:c>
      <x:c r="AA41" s="167" t="str">
        <x:f>IF(AND(AA$6&lt;=$H41,AA$6+6&gt;=$G41),1,"")</x:f>
      </x:c>
      <x:c r="AB41" s="167" t="str">
        <x:f>IF(AND(AB$6&lt;=$H41,AB$6+6&gt;=$G41),1,"")</x:f>
      </x:c>
      <x:c r="AC41" s="167" t="str">
        <x:f>IF(AND(AC$6&lt;=$H41,AC$6+6&gt;=$G41),1,"")</x:f>
      </x:c>
      <x:c r="AD41" s="167" t="str">
        <x:f>IF(AND(AD$6&lt;=$H41,AD$6+6&gt;=$G41),1,"")</x:f>
      </x:c>
      <x:c r="AE41" s="167" t="str">
        <x:f>IF(AND(AE$6&lt;=$H41,AE$6+6&gt;=$G41),1,"")</x:f>
      </x:c>
      <x:c r="AF41" s="167" t="str">
        <x:f>IF(AND(AF$6&lt;=$H41,AF$6+6&gt;=$G41),1,"")</x:f>
      </x:c>
      <x:c r="AG41" s="167" t="str">
        <x:f>IF(AND(AG$6&lt;=$H41,AG$6+6&gt;=$G41),1,"")</x:f>
      </x:c>
      <x:c r="AH41" s="167" t="str">
        <x:f>IF(AND(AH$6&lt;=$H41,AH$6+6&gt;=$G41),1,"")</x:f>
      </x:c>
      <x:c r="AI41" s="167" t="str">
        <x:f>IF(AND(AI$6&lt;=$H41,AI$6+6&gt;=$G41),1,"")</x:f>
      </x:c>
      <x:c r="AJ41" s="167" t="str">
        <x:f>IF(AND(AJ$6&lt;=$H41,AJ$6+6&gt;=$G41),1,"")</x:f>
      </x:c>
      <x:c r="AK41" s="167" t="str">
        <x:f>IF(AND(AK$6&lt;=$H41,AK$6+6&gt;=$G41),1,"")</x:f>
      </x:c>
      <x:c r="AL41" s="167" t="str">
        <x:f>IF(AND(AL$6&lt;=$H41,AL$6+6&gt;=$G41),1,"")</x:f>
      </x:c>
      <x:c r="AM41" s="167" t="str">
        <x:f>IF(AND(AM$6&lt;=$H41,AM$6+6&gt;=$G41),1,"")</x:f>
      </x:c>
      <x:c r="AN41" s="167" t="str">
        <x:f>IF(AND(AN$6&lt;=$H41,AN$6+6&gt;=$G41),1,"")</x:f>
      </x:c>
      <x:c r="AO41" s="167" t="str">
        <x:f>IF(AND(AO$6&lt;=$H41,AO$6+6&gt;=$G41),1,"")</x:f>
      </x:c>
      <x:c r="AP41" s="167" t="str">
        <x:f>IF(AND(AP$6&lt;=$H41,AP$6+6&gt;=$G41),1,"")</x:f>
      </x:c>
      <x:c r="AQ41" s="167" t="str">
        <x:f>IF(AND(AQ$6&lt;=$H41,AQ$6+6&gt;=$G41),1,"")</x:f>
      </x:c>
      <x:c r="AR41" s="167" t="str">
        <x:f>IF(AND(AR$6&lt;=$H41,AR$6+6&gt;=$G41),1,"")</x:f>
      </x:c>
      <x:c r="AS41" s="167" t="str">
        <x:f>IF(AND(AS$6&lt;=$H41,AS$6+6&gt;=$G41),1,"")</x:f>
      </x:c>
      <x:c r="AT41" s="167" t="str">
        <x:f>IF(AND(AT$6&lt;=$H41,AT$6+6&gt;=$G41),1,"")</x:f>
      </x:c>
      <x:c r="AU41" s="167" t="str">
        <x:f>IF(AND(AU$6&lt;=$H41,AU$6+6&gt;=$G41),1,"")</x:f>
      </x:c>
      <x:c r="AV41" s="167" t="str">
        <x:f>IF(AND(AV$6&lt;=$H41,AV$6+6&gt;=$G41),1,"")</x:f>
      </x:c>
      <x:c r="AW41" s="167" t="str">
        <x:f>IF(AND(AW$6&lt;=$H41,AW$6+6&gt;=$G41),1,"")</x:f>
      </x:c>
      <x:c r="AX41" s="167" t="str">
        <x:f>IF(AND(AX$6&lt;=$H41,AX$6+6&gt;=$G41),1,"")</x:f>
      </x:c>
      <x:c r="AY41" s="167" t="str">
        <x:f>IF(AND(AY$6&lt;=$H41,AY$6+6&gt;=$G41),1,"")</x:f>
      </x:c>
      <x:c r="AZ41" s="167" t="str">
        <x:f>IF(AND(AZ$6&lt;=$H41,AZ$6+6&gt;=$G41),1,"")</x:f>
      </x:c>
      <x:c r="BA41" s="167" t="str">
        <x:f>IF(AND(BA$6&lt;=$H41,BA$6+6&gt;=$G41),1,"")</x:f>
      </x:c>
      <x:c r="BB41" s="167" t="str">
        <x:f>IF(AND(BB$6&lt;=$H41,BB$6+6&gt;=$G41),1,"")</x:f>
      </x:c>
      <x:c r="BC41" s="167" t="str">
        <x:f>IF(AND(BC$6&lt;=$H41,BC$6+6&gt;=$G41),1,"")</x:f>
      </x:c>
      <x:c r="BD41" s="167" t="str">
        <x:f>IF(AND(BD$6&lt;=$H41,BD$6+6&gt;=$G41),1,"")</x:f>
      </x:c>
      <x:c r="BE41" s="167" t="str">
        <x:f>IF(AND(BE$6&lt;=$H41,BE$6+6&gt;=$G41),1,"")</x:f>
      </x:c>
      <x:c r="BF41" s="167" t="str">
        <x:f>IF(AND(BF$6&lt;=$H41,BF$6+6&gt;=$G41),1,"")</x:f>
      </x:c>
      <x:c r="BG41" s="167" t="str">
        <x:f>IF(AND(BG$6&lt;=$H41,BG$6+6&gt;=$G41),1,"")</x:f>
      </x:c>
      <x:c r="BH41" s="167" t="str">
        <x:f>IF(AND(BH$6&lt;=$H41,BH$6+6&gt;=$G41),1,"")</x:f>
      </x:c>
      <x:c r="BI41" s="167" t="str">
        <x:f>IF(AND(BI$6&lt;=$H41,BI$6+6&gt;=$G41),1,"")</x:f>
      </x:c>
      <x:c r="BJ41" s="167" t="str">
        <x:f>IF(AND(BJ$6&lt;=$H41,BJ$6+6&gt;=$G41),1,"")</x:f>
      </x:c>
      <x:c r="BK41" s="168" t="str">
        <x:f>IF(AND(BK$6&lt;=$H41,BK$6+6&gt;=$G41),1,"")</x:f>
      </x:c>
    </x:row>
    <x:row r="42" ht="24" customHeight="1">
      <x:c r="A42" s="68" t="str">
        <x:f>'Research Tasks'!A40</x:f>
        <x:v>AI-215</x:v>
      </x:c>
      <x:c r="B42" s="68" t="str">
        <x:f>'Research Tasks'!B40</x:f>
        <x:v>M2</x:v>
      </x:c>
      <x:c r="C42" s="68" t="str">
        <x:f>'Research Tasks'!C40</x:f>
        <x:v>Validation</x:v>
      </x:c>
      <x:c r="D42" s="68" t="str">
        <x:f>'Research Tasks'!D40</x:f>
        <x:v>Run the M2 capability-gate suite</x:v>
      </x:c>
      <x:c r="E42" s="68" t="str">
        <x:f>'Research Tasks'!E40</x:f>
        <x:v>AI-203, AI-204, AI-206, AI-208, AI-209, AI-210, AI-211, AI-212</x:v>
      </x:c>
      <x:c r="F42" s="68" t="str">
        <x:f>'Research Tasks'!F40</x:f>
        <x:v>Blocked</x:v>
      </x:c>
      <x:c r="G42" s="94" t="n">
        <x:f>'Research Tasks'!I40</x:f>
        <x:v>46358</x:v>
      </x:c>
      <x:c r="H42" s="94" t="n">
        <x:f>'Research Tasks'!J40</x:f>
        <x:v>46360</x:v>
      </x:c>
      <x:c r="I42" s="166" t="str">
        <x:f>IF(AND(I$6&lt;=$H42,I$6+6&gt;=$G42),1,"")</x:f>
      </x:c>
      <x:c r="J42" s="167" t="str">
        <x:f>IF(AND(J$6&lt;=$H42,J$6+6&gt;=$G42),1,"")</x:f>
      </x:c>
      <x:c r="K42" s="167" t="str">
        <x:f>IF(AND(K$6&lt;=$H42,K$6+6&gt;=$G42),1,"")</x:f>
      </x:c>
      <x:c r="L42" s="167" t="str">
        <x:f>IF(AND(L$6&lt;=$H42,L$6+6&gt;=$G42),1,"")</x:f>
      </x:c>
      <x:c r="M42" s="167" t="str">
        <x:f>IF(AND(M$6&lt;=$H42,M$6+6&gt;=$G42),1,"")</x:f>
      </x:c>
      <x:c r="N42" s="167" t="str">
        <x:f>IF(AND(N$6&lt;=$H42,N$6+6&gt;=$G42),1,"")</x:f>
      </x:c>
      <x:c r="O42" s="167" t="str">
        <x:f>IF(AND(O$6&lt;=$H42,O$6+6&gt;=$G42),1,"")</x:f>
      </x:c>
      <x:c r="P42" s="167" t="str">
        <x:f>IF(AND(P$6&lt;=$H42,P$6+6&gt;=$G42),1,"")</x:f>
      </x:c>
      <x:c r="Q42" s="167" t="str">
        <x:f>IF(AND(Q$6&lt;=$H42,Q$6+6&gt;=$G42),1,"")</x:f>
      </x:c>
      <x:c r="R42" s="167" t="str">
        <x:f>IF(AND(R$6&lt;=$H42,R$6+6&gt;=$G42),1,"")</x:f>
      </x:c>
      <x:c r="S42" s="167" t="str">
        <x:f>IF(AND(S$6&lt;=$H42,S$6+6&gt;=$G42),1,"")</x:f>
      </x:c>
      <x:c r="T42" s="167" t="str">
        <x:f>IF(AND(T$6&lt;=$H42,T$6+6&gt;=$G42),1,"")</x:f>
      </x:c>
      <x:c r="U42" s="167" t="str">
        <x:f>IF(AND(U$6&lt;=$H42,U$6+6&gt;=$G42),1,"")</x:f>
      </x:c>
      <x:c r="V42" s="167" t="str">
        <x:f>IF(AND(V$6&lt;=$H42,V$6+6&gt;=$G42),1,"")</x:f>
      </x:c>
      <x:c r="W42" s="167" t="str">
        <x:f>IF(AND(W$6&lt;=$H42,W$6+6&gt;=$G42),1,"")</x:f>
      </x:c>
      <x:c r="X42" s="167" t="str">
        <x:f>IF(AND(X$6&lt;=$H42,X$6+6&gt;=$G42),1,"")</x:f>
      </x:c>
      <x:c r="Y42" s="167" t="str">
        <x:f>IF(AND(Y$6&lt;=$H42,Y$6+6&gt;=$G42),1,"")</x:f>
      </x:c>
      <x:c r="Z42" s="167" t="n">
        <x:f>IF(AND(Z$6&lt;=$H42,Z$6+6&gt;=$G42),1,"")</x:f>
        <x:v>1</x:v>
      </x:c>
      <x:c r="AA42" s="167" t="str">
        <x:f>IF(AND(AA$6&lt;=$H42,AA$6+6&gt;=$G42),1,"")</x:f>
      </x:c>
      <x:c r="AB42" s="167" t="str">
        <x:f>IF(AND(AB$6&lt;=$H42,AB$6+6&gt;=$G42),1,"")</x:f>
      </x:c>
      <x:c r="AC42" s="167" t="str">
        <x:f>IF(AND(AC$6&lt;=$H42,AC$6+6&gt;=$G42),1,"")</x:f>
      </x:c>
      <x:c r="AD42" s="167" t="str">
        <x:f>IF(AND(AD$6&lt;=$H42,AD$6+6&gt;=$G42),1,"")</x:f>
      </x:c>
      <x:c r="AE42" s="167" t="str">
        <x:f>IF(AND(AE$6&lt;=$H42,AE$6+6&gt;=$G42),1,"")</x:f>
      </x:c>
      <x:c r="AF42" s="167" t="str">
        <x:f>IF(AND(AF$6&lt;=$H42,AF$6+6&gt;=$G42),1,"")</x:f>
      </x:c>
      <x:c r="AG42" s="167" t="str">
        <x:f>IF(AND(AG$6&lt;=$H42,AG$6+6&gt;=$G42),1,"")</x:f>
      </x:c>
      <x:c r="AH42" s="167" t="str">
        <x:f>IF(AND(AH$6&lt;=$H42,AH$6+6&gt;=$G42),1,"")</x:f>
      </x:c>
      <x:c r="AI42" s="167" t="str">
        <x:f>IF(AND(AI$6&lt;=$H42,AI$6+6&gt;=$G42),1,"")</x:f>
      </x:c>
      <x:c r="AJ42" s="167" t="str">
        <x:f>IF(AND(AJ$6&lt;=$H42,AJ$6+6&gt;=$G42),1,"")</x:f>
      </x:c>
      <x:c r="AK42" s="167" t="str">
        <x:f>IF(AND(AK$6&lt;=$H42,AK$6+6&gt;=$G42),1,"")</x:f>
      </x:c>
      <x:c r="AL42" s="167" t="str">
        <x:f>IF(AND(AL$6&lt;=$H42,AL$6+6&gt;=$G42),1,"")</x:f>
      </x:c>
      <x:c r="AM42" s="167" t="str">
        <x:f>IF(AND(AM$6&lt;=$H42,AM$6+6&gt;=$G42),1,"")</x:f>
      </x:c>
      <x:c r="AN42" s="167" t="str">
        <x:f>IF(AND(AN$6&lt;=$H42,AN$6+6&gt;=$G42),1,"")</x:f>
      </x:c>
      <x:c r="AO42" s="167" t="str">
        <x:f>IF(AND(AO$6&lt;=$H42,AO$6+6&gt;=$G42),1,"")</x:f>
      </x:c>
      <x:c r="AP42" s="167" t="str">
        <x:f>IF(AND(AP$6&lt;=$H42,AP$6+6&gt;=$G42),1,"")</x:f>
      </x:c>
      <x:c r="AQ42" s="167" t="str">
        <x:f>IF(AND(AQ$6&lt;=$H42,AQ$6+6&gt;=$G42),1,"")</x:f>
      </x:c>
      <x:c r="AR42" s="167" t="str">
        <x:f>IF(AND(AR$6&lt;=$H42,AR$6+6&gt;=$G42),1,"")</x:f>
      </x:c>
      <x:c r="AS42" s="167" t="str">
        <x:f>IF(AND(AS$6&lt;=$H42,AS$6+6&gt;=$G42),1,"")</x:f>
      </x:c>
      <x:c r="AT42" s="167" t="str">
        <x:f>IF(AND(AT$6&lt;=$H42,AT$6+6&gt;=$G42),1,"")</x:f>
      </x:c>
      <x:c r="AU42" s="167" t="str">
        <x:f>IF(AND(AU$6&lt;=$H42,AU$6+6&gt;=$G42),1,"")</x:f>
      </x:c>
      <x:c r="AV42" s="167" t="str">
        <x:f>IF(AND(AV$6&lt;=$H42,AV$6+6&gt;=$G42),1,"")</x:f>
      </x:c>
      <x:c r="AW42" s="167" t="str">
        <x:f>IF(AND(AW$6&lt;=$H42,AW$6+6&gt;=$G42),1,"")</x:f>
      </x:c>
      <x:c r="AX42" s="167" t="str">
        <x:f>IF(AND(AX$6&lt;=$H42,AX$6+6&gt;=$G42),1,"")</x:f>
      </x:c>
      <x:c r="AY42" s="167" t="str">
        <x:f>IF(AND(AY$6&lt;=$H42,AY$6+6&gt;=$G42),1,"")</x:f>
      </x:c>
      <x:c r="AZ42" s="167" t="str">
        <x:f>IF(AND(AZ$6&lt;=$H42,AZ$6+6&gt;=$G42),1,"")</x:f>
      </x:c>
      <x:c r="BA42" s="167" t="str">
        <x:f>IF(AND(BA$6&lt;=$H42,BA$6+6&gt;=$G42),1,"")</x:f>
      </x:c>
      <x:c r="BB42" s="167" t="str">
        <x:f>IF(AND(BB$6&lt;=$H42,BB$6+6&gt;=$G42),1,"")</x:f>
      </x:c>
      <x:c r="BC42" s="167" t="str">
        <x:f>IF(AND(BC$6&lt;=$H42,BC$6+6&gt;=$G42),1,"")</x:f>
      </x:c>
      <x:c r="BD42" s="167" t="str">
        <x:f>IF(AND(BD$6&lt;=$H42,BD$6+6&gt;=$G42),1,"")</x:f>
      </x:c>
      <x:c r="BE42" s="167" t="str">
        <x:f>IF(AND(BE$6&lt;=$H42,BE$6+6&gt;=$G42),1,"")</x:f>
      </x:c>
      <x:c r="BF42" s="167" t="str">
        <x:f>IF(AND(BF$6&lt;=$H42,BF$6+6&gt;=$G42),1,"")</x:f>
      </x:c>
      <x:c r="BG42" s="167" t="str">
        <x:f>IF(AND(BG$6&lt;=$H42,BG$6+6&gt;=$G42),1,"")</x:f>
      </x:c>
      <x:c r="BH42" s="167" t="str">
        <x:f>IF(AND(BH$6&lt;=$H42,BH$6+6&gt;=$G42),1,"")</x:f>
      </x:c>
      <x:c r="BI42" s="167" t="str">
        <x:f>IF(AND(BI$6&lt;=$H42,BI$6+6&gt;=$G42),1,"")</x:f>
      </x:c>
      <x:c r="BJ42" s="167" t="str">
        <x:f>IF(AND(BJ$6&lt;=$H42,BJ$6+6&gt;=$G42),1,"")</x:f>
      </x:c>
      <x:c r="BK42" s="168" t="str">
        <x:f>IF(AND(BK$6&lt;=$H42,BK$6+6&gt;=$G42),1,"")</x:f>
      </x:c>
    </x:row>
    <x:row r="43" ht="24" customHeight="1">
      <x:c r="A43" s="68" t="str">
        <x:f>'Research Tasks'!A41</x:f>
        <x:v>AI-216</x:v>
      </x:c>
      <x:c r="B43" s="68" t="str">
        <x:f>'Research Tasks'!B41</x:f>
        <x:v>M2</x:v>
      </x:c>
      <x:c r="C43" s="68" t="str">
        <x:f>'Research Tasks'!C41</x:f>
        <x:v>Validation</x:v>
      </x:c>
      <x:c r="D43" s="68" t="str">
        <x:f>'Research Tasks'!D41</x:f>
        <x:v>M2 lock decision</x:v>
      </x:c>
      <x:c r="E43" s="68" t="str">
        <x:f>'Research Tasks'!E41</x:f>
        <x:v>AI-215</x:v>
      </x:c>
      <x:c r="F43" s="68" t="str">
        <x:f>'Research Tasks'!F41</x:f>
        <x:v>Blocked</x:v>
      </x:c>
      <x:c r="G43" s="94" t="n">
        <x:f>'Research Tasks'!I41</x:f>
        <x:v>46363</x:v>
      </x:c>
      <x:c r="H43" s="94" t="n">
        <x:f>'Research Tasks'!J41</x:f>
        <x:v>46363</x:v>
      </x:c>
      <x:c r="I43" s="166" t="str">
        <x:f>IF(AND(I$6&lt;=$H43,I$6+6&gt;=$G43),1,"")</x:f>
      </x:c>
      <x:c r="J43" s="167" t="str">
        <x:f>IF(AND(J$6&lt;=$H43,J$6+6&gt;=$G43),1,"")</x:f>
      </x:c>
      <x:c r="K43" s="167" t="str">
        <x:f>IF(AND(K$6&lt;=$H43,K$6+6&gt;=$G43),1,"")</x:f>
      </x:c>
      <x:c r="L43" s="167" t="str">
        <x:f>IF(AND(L$6&lt;=$H43,L$6+6&gt;=$G43),1,"")</x:f>
      </x:c>
      <x:c r="M43" s="167" t="str">
        <x:f>IF(AND(M$6&lt;=$H43,M$6+6&gt;=$G43),1,"")</x:f>
      </x:c>
      <x:c r="N43" s="167" t="str">
        <x:f>IF(AND(N$6&lt;=$H43,N$6+6&gt;=$G43),1,"")</x:f>
      </x:c>
      <x:c r="O43" s="167" t="str">
        <x:f>IF(AND(O$6&lt;=$H43,O$6+6&gt;=$G43),1,"")</x:f>
      </x:c>
      <x:c r="P43" s="167" t="str">
        <x:f>IF(AND(P$6&lt;=$H43,P$6+6&gt;=$G43),1,"")</x:f>
      </x:c>
      <x:c r="Q43" s="167" t="str">
        <x:f>IF(AND(Q$6&lt;=$H43,Q$6+6&gt;=$G43),1,"")</x:f>
      </x:c>
      <x:c r="R43" s="167" t="str">
        <x:f>IF(AND(R$6&lt;=$H43,R$6+6&gt;=$G43),1,"")</x:f>
      </x:c>
      <x:c r="S43" s="167" t="str">
        <x:f>IF(AND(S$6&lt;=$H43,S$6+6&gt;=$G43),1,"")</x:f>
      </x:c>
      <x:c r="T43" s="167" t="str">
        <x:f>IF(AND(T$6&lt;=$H43,T$6+6&gt;=$G43),1,"")</x:f>
      </x:c>
      <x:c r="U43" s="167" t="str">
        <x:f>IF(AND(U$6&lt;=$H43,U$6+6&gt;=$G43),1,"")</x:f>
      </x:c>
      <x:c r="V43" s="167" t="str">
        <x:f>IF(AND(V$6&lt;=$H43,V$6+6&gt;=$G43),1,"")</x:f>
      </x:c>
      <x:c r="W43" s="167" t="str">
        <x:f>IF(AND(W$6&lt;=$H43,W$6+6&gt;=$G43),1,"")</x:f>
      </x:c>
      <x:c r="X43" s="167" t="str">
        <x:f>IF(AND(X$6&lt;=$H43,X$6+6&gt;=$G43),1,"")</x:f>
      </x:c>
      <x:c r="Y43" s="167" t="str">
        <x:f>IF(AND(Y$6&lt;=$H43,Y$6+6&gt;=$G43),1,"")</x:f>
      </x:c>
      <x:c r="Z43" s="167" t="str">
        <x:f>IF(AND(Z$6&lt;=$H43,Z$6+6&gt;=$G43),1,"")</x:f>
      </x:c>
      <x:c r="AA43" s="167" t="n">
        <x:f>IF(AND(AA$6&lt;=$H43,AA$6+6&gt;=$G43),1,"")</x:f>
        <x:v>1</x:v>
      </x:c>
      <x:c r="AB43" s="167" t="str">
        <x:f>IF(AND(AB$6&lt;=$H43,AB$6+6&gt;=$G43),1,"")</x:f>
      </x:c>
      <x:c r="AC43" s="167" t="str">
        <x:f>IF(AND(AC$6&lt;=$H43,AC$6+6&gt;=$G43),1,"")</x:f>
      </x:c>
      <x:c r="AD43" s="167" t="str">
        <x:f>IF(AND(AD$6&lt;=$H43,AD$6+6&gt;=$G43),1,"")</x:f>
      </x:c>
      <x:c r="AE43" s="167" t="str">
        <x:f>IF(AND(AE$6&lt;=$H43,AE$6+6&gt;=$G43),1,"")</x:f>
      </x:c>
      <x:c r="AF43" s="167" t="str">
        <x:f>IF(AND(AF$6&lt;=$H43,AF$6+6&gt;=$G43),1,"")</x:f>
      </x:c>
      <x:c r="AG43" s="167" t="str">
        <x:f>IF(AND(AG$6&lt;=$H43,AG$6+6&gt;=$G43),1,"")</x:f>
      </x:c>
      <x:c r="AH43" s="167" t="str">
        <x:f>IF(AND(AH$6&lt;=$H43,AH$6+6&gt;=$G43),1,"")</x:f>
      </x:c>
      <x:c r="AI43" s="167" t="str">
        <x:f>IF(AND(AI$6&lt;=$H43,AI$6+6&gt;=$G43),1,"")</x:f>
      </x:c>
      <x:c r="AJ43" s="167" t="str">
        <x:f>IF(AND(AJ$6&lt;=$H43,AJ$6+6&gt;=$G43),1,"")</x:f>
      </x:c>
      <x:c r="AK43" s="167" t="str">
        <x:f>IF(AND(AK$6&lt;=$H43,AK$6+6&gt;=$G43),1,"")</x:f>
      </x:c>
      <x:c r="AL43" s="167" t="str">
        <x:f>IF(AND(AL$6&lt;=$H43,AL$6+6&gt;=$G43),1,"")</x:f>
      </x:c>
      <x:c r="AM43" s="167" t="str">
        <x:f>IF(AND(AM$6&lt;=$H43,AM$6+6&gt;=$G43),1,"")</x:f>
      </x:c>
      <x:c r="AN43" s="167" t="str">
        <x:f>IF(AND(AN$6&lt;=$H43,AN$6+6&gt;=$G43),1,"")</x:f>
      </x:c>
      <x:c r="AO43" s="167" t="str">
        <x:f>IF(AND(AO$6&lt;=$H43,AO$6+6&gt;=$G43),1,"")</x:f>
      </x:c>
      <x:c r="AP43" s="167" t="str">
        <x:f>IF(AND(AP$6&lt;=$H43,AP$6+6&gt;=$G43),1,"")</x:f>
      </x:c>
      <x:c r="AQ43" s="167" t="str">
        <x:f>IF(AND(AQ$6&lt;=$H43,AQ$6+6&gt;=$G43),1,"")</x:f>
      </x:c>
      <x:c r="AR43" s="167" t="str">
        <x:f>IF(AND(AR$6&lt;=$H43,AR$6+6&gt;=$G43),1,"")</x:f>
      </x:c>
      <x:c r="AS43" s="167" t="str">
        <x:f>IF(AND(AS$6&lt;=$H43,AS$6+6&gt;=$G43),1,"")</x:f>
      </x:c>
      <x:c r="AT43" s="167" t="str">
        <x:f>IF(AND(AT$6&lt;=$H43,AT$6+6&gt;=$G43),1,"")</x:f>
      </x:c>
      <x:c r="AU43" s="167" t="str">
        <x:f>IF(AND(AU$6&lt;=$H43,AU$6+6&gt;=$G43),1,"")</x:f>
      </x:c>
      <x:c r="AV43" s="167" t="str">
        <x:f>IF(AND(AV$6&lt;=$H43,AV$6+6&gt;=$G43),1,"")</x:f>
      </x:c>
      <x:c r="AW43" s="167" t="str">
        <x:f>IF(AND(AW$6&lt;=$H43,AW$6+6&gt;=$G43),1,"")</x:f>
      </x:c>
      <x:c r="AX43" s="167" t="str">
        <x:f>IF(AND(AX$6&lt;=$H43,AX$6+6&gt;=$G43),1,"")</x:f>
      </x:c>
      <x:c r="AY43" s="167" t="str">
        <x:f>IF(AND(AY$6&lt;=$H43,AY$6+6&gt;=$G43),1,"")</x:f>
      </x:c>
      <x:c r="AZ43" s="167" t="str">
        <x:f>IF(AND(AZ$6&lt;=$H43,AZ$6+6&gt;=$G43),1,"")</x:f>
      </x:c>
      <x:c r="BA43" s="167" t="str">
        <x:f>IF(AND(BA$6&lt;=$H43,BA$6+6&gt;=$G43),1,"")</x:f>
      </x:c>
      <x:c r="BB43" s="167" t="str">
        <x:f>IF(AND(BB$6&lt;=$H43,BB$6+6&gt;=$G43),1,"")</x:f>
      </x:c>
      <x:c r="BC43" s="167" t="str">
        <x:f>IF(AND(BC$6&lt;=$H43,BC$6+6&gt;=$G43),1,"")</x:f>
      </x:c>
      <x:c r="BD43" s="167" t="str">
        <x:f>IF(AND(BD$6&lt;=$H43,BD$6+6&gt;=$G43),1,"")</x:f>
      </x:c>
      <x:c r="BE43" s="167" t="str">
        <x:f>IF(AND(BE$6&lt;=$H43,BE$6+6&gt;=$G43),1,"")</x:f>
      </x:c>
      <x:c r="BF43" s="167" t="str">
        <x:f>IF(AND(BF$6&lt;=$H43,BF$6+6&gt;=$G43),1,"")</x:f>
      </x:c>
      <x:c r="BG43" s="167" t="str">
        <x:f>IF(AND(BG$6&lt;=$H43,BG$6+6&gt;=$G43),1,"")</x:f>
      </x:c>
      <x:c r="BH43" s="167" t="str">
        <x:f>IF(AND(BH$6&lt;=$H43,BH$6+6&gt;=$G43),1,"")</x:f>
      </x:c>
      <x:c r="BI43" s="167" t="str">
        <x:f>IF(AND(BI$6&lt;=$H43,BI$6+6&gt;=$G43),1,"")</x:f>
      </x:c>
      <x:c r="BJ43" s="167" t="str">
        <x:f>IF(AND(BJ$6&lt;=$H43,BJ$6+6&gt;=$G43),1,"")</x:f>
      </x:c>
      <x:c r="BK43" s="168" t="str">
        <x:f>IF(AND(BK$6&lt;=$H43,BK$6+6&gt;=$G43),1,"")</x:f>
      </x:c>
    </x:row>
    <x:row r="44" ht="24" customHeight="1">
      <x:c r="A44" s="68" t="str">
        <x:f>'Research Tasks'!A42</x:f>
        <x:v>AI-301</x:v>
      </x:c>
      <x:c r="B44" s="68" t="str">
        <x:f>'Research Tasks'!B42</x:f>
        <x:v>M3</x:v>
      </x:c>
      <x:c r="C44" s="68" t="str">
        <x:f>'Research Tasks'!C42</x:f>
        <x:v>Active Vision/Generative Process</x:v>
      </x:c>
      <x:c r="D44" s="68" t="str">
        <x:f>'Research Tasks'!D42</x:f>
        <x:v>Specify the foveated generative process</x:v>
      </x:c>
      <x:c r="E44" s="68" t="str">
        <x:f>'Research Tasks'!E42</x:f>
        <x:v>M2</x:v>
      </x:c>
      <x:c r="F44" s="68" t="str">
        <x:f>'Research Tasks'!F42</x:f>
        <x:v>Blocked</x:v>
      </x:c>
      <x:c r="G44" s="94" t="n">
        <x:f>'Research Tasks'!I42</x:f>
        <x:v>46370</x:v>
      </x:c>
      <x:c r="H44" s="94" t="n">
        <x:f>'Research Tasks'!J42</x:f>
        <x:v>46372</x:v>
      </x:c>
      <x:c r="I44" s="166" t="str">
        <x:f>IF(AND(I$6&lt;=$H44,I$6+6&gt;=$G44),1,"")</x:f>
      </x:c>
      <x:c r="J44" s="167" t="str">
        <x:f>IF(AND(J$6&lt;=$H44,J$6+6&gt;=$G44),1,"")</x:f>
      </x:c>
      <x:c r="K44" s="167" t="str">
        <x:f>IF(AND(K$6&lt;=$H44,K$6+6&gt;=$G44),1,"")</x:f>
      </x:c>
      <x:c r="L44" s="167" t="str">
        <x:f>IF(AND(L$6&lt;=$H44,L$6+6&gt;=$G44),1,"")</x:f>
      </x:c>
      <x:c r="M44" s="167" t="str">
        <x:f>IF(AND(M$6&lt;=$H44,M$6+6&gt;=$G44),1,"")</x:f>
      </x:c>
      <x:c r="N44" s="167" t="str">
        <x:f>IF(AND(N$6&lt;=$H44,N$6+6&gt;=$G44),1,"")</x:f>
      </x:c>
      <x:c r="O44" s="167" t="str">
        <x:f>IF(AND(O$6&lt;=$H44,O$6+6&gt;=$G44),1,"")</x:f>
      </x:c>
      <x:c r="P44" s="167" t="str">
        <x:f>IF(AND(P$6&lt;=$H44,P$6+6&gt;=$G44),1,"")</x:f>
      </x:c>
      <x:c r="Q44" s="167" t="str">
        <x:f>IF(AND(Q$6&lt;=$H44,Q$6+6&gt;=$G44),1,"")</x:f>
      </x:c>
      <x:c r="R44" s="167" t="str">
        <x:f>IF(AND(R$6&lt;=$H44,R$6+6&gt;=$G44),1,"")</x:f>
      </x:c>
      <x:c r="S44" s="167" t="str">
        <x:f>IF(AND(S$6&lt;=$H44,S$6+6&gt;=$G44),1,"")</x:f>
      </x:c>
      <x:c r="T44" s="167" t="str">
        <x:f>IF(AND(T$6&lt;=$H44,T$6+6&gt;=$G44),1,"")</x:f>
      </x:c>
      <x:c r="U44" s="167" t="str">
        <x:f>IF(AND(U$6&lt;=$H44,U$6+6&gt;=$G44),1,"")</x:f>
      </x:c>
      <x:c r="V44" s="167" t="str">
        <x:f>IF(AND(V$6&lt;=$H44,V$6+6&gt;=$G44),1,"")</x:f>
      </x:c>
      <x:c r="W44" s="167" t="str">
        <x:f>IF(AND(W$6&lt;=$H44,W$6+6&gt;=$G44),1,"")</x:f>
      </x:c>
      <x:c r="X44" s="167" t="str">
        <x:f>IF(AND(X$6&lt;=$H44,X$6+6&gt;=$G44),1,"")</x:f>
      </x:c>
      <x:c r="Y44" s="167" t="str">
        <x:f>IF(AND(Y$6&lt;=$H44,Y$6+6&gt;=$G44),1,"")</x:f>
      </x:c>
      <x:c r="Z44" s="167" t="str">
        <x:f>IF(AND(Z$6&lt;=$H44,Z$6+6&gt;=$G44),1,"")</x:f>
      </x:c>
      <x:c r="AA44" s="167" t="str">
        <x:f>IF(AND(AA$6&lt;=$H44,AA$6+6&gt;=$G44),1,"")</x:f>
      </x:c>
      <x:c r="AB44" s="167" t="n">
        <x:f>IF(AND(AB$6&lt;=$H44,AB$6+6&gt;=$G44),1,"")</x:f>
        <x:v>1</x:v>
      </x:c>
      <x:c r="AC44" s="167" t="str">
        <x:f>IF(AND(AC$6&lt;=$H44,AC$6+6&gt;=$G44),1,"")</x:f>
      </x:c>
      <x:c r="AD44" s="167" t="str">
        <x:f>IF(AND(AD$6&lt;=$H44,AD$6+6&gt;=$G44),1,"")</x:f>
      </x:c>
      <x:c r="AE44" s="167" t="str">
        <x:f>IF(AND(AE$6&lt;=$H44,AE$6+6&gt;=$G44),1,"")</x:f>
      </x:c>
      <x:c r="AF44" s="167" t="str">
        <x:f>IF(AND(AF$6&lt;=$H44,AF$6+6&gt;=$G44),1,"")</x:f>
      </x:c>
      <x:c r="AG44" s="167" t="str">
        <x:f>IF(AND(AG$6&lt;=$H44,AG$6+6&gt;=$G44),1,"")</x:f>
      </x:c>
      <x:c r="AH44" s="167" t="str">
        <x:f>IF(AND(AH$6&lt;=$H44,AH$6+6&gt;=$G44),1,"")</x:f>
      </x:c>
      <x:c r="AI44" s="167" t="str">
        <x:f>IF(AND(AI$6&lt;=$H44,AI$6+6&gt;=$G44),1,"")</x:f>
      </x:c>
      <x:c r="AJ44" s="167" t="str">
        <x:f>IF(AND(AJ$6&lt;=$H44,AJ$6+6&gt;=$G44),1,"")</x:f>
      </x:c>
      <x:c r="AK44" s="167" t="str">
        <x:f>IF(AND(AK$6&lt;=$H44,AK$6+6&gt;=$G44),1,"")</x:f>
      </x:c>
      <x:c r="AL44" s="167" t="str">
        <x:f>IF(AND(AL$6&lt;=$H44,AL$6+6&gt;=$G44),1,"")</x:f>
      </x:c>
      <x:c r="AM44" s="167" t="str">
        <x:f>IF(AND(AM$6&lt;=$H44,AM$6+6&gt;=$G44),1,"")</x:f>
      </x:c>
      <x:c r="AN44" s="167" t="str">
        <x:f>IF(AND(AN$6&lt;=$H44,AN$6+6&gt;=$G44),1,"")</x:f>
      </x:c>
      <x:c r="AO44" s="167" t="str">
        <x:f>IF(AND(AO$6&lt;=$H44,AO$6+6&gt;=$G44),1,"")</x:f>
      </x:c>
      <x:c r="AP44" s="167" t="str">
        <x:f>IF(AND(AP$6&lt;=$H44,AP$6+6&gt;=$G44),1,"")</x:f>
      </x:c>
      <x:c r="AQ44" s="167" t="str">
        <x:f>IF(AND(AQ$6&lt;=$H44,AQ$6+6&gt;=$G44),1,"")</x:f>
      </x:c>
      <x:c r="AR44" s="167" t="str">
        <x:f>IF(AND(AR$6&lt;=$H44,AR$6+6&gt;=$G44),1,"")</x:f>
      </x:c>
      <x:c r="AS44" s="167" t="str">
        <x:f>IF(AND(AS$6&lt;=$H44,AS$6+6&gt;=$G44),1,"")</x:f>
      </x:c>
      <x:c r="AT44" s="167" t="str">
        <x:f>IF(AND(AT$6&lt;=$H44,AT$6+6&gt;=$G44),1,"")</x:f>
      </x:c>
      <x:c r="AU44" s="167" t="str">
        <x:f>IF(AND(AU$6&lt;=$H44,AU$6+6&gt;=$G44),1,"")</x:f>
      </x:c>
      <x:c r="AV44" s="167" t="str">
        <x:f>IF(AND(AV$6&lt;=$H44,AV$6+6&gt;=$G44),1,"")</x:f>
      </x:c>
      <x:c r="AW44" s="167" t="str">
        <x:f>IF(AND(AW$6&lt;=$H44,AW$6+6&gt;=$G44),1,"")</x:f>
      </x:c>
      <x:c r="AX44" s="167" t="str">
        <x:f>IF(AND(AX$6&lt;=$H44,AX$6+6&gt;=$G44),1,"")</x:f>
      </x:c>
      <x:c r="AY44" s="167" t="str">
        <x:f>IF(AND(AY$6&lt;=$H44,AY$6+6&gt;=$G44),1,"")</x:f>
      </x:c>
      <x:c r="AZ44" s="167" t="str">
        <x:f>IF(AND(AZ$6&lt;=$H44,AZ$6+6&gt;=$G44),1,"")</x:f>
      </x:c>
      <x:c r="BA44" s="167" t="str">
        <x:f>IF(AND(BA$6&lt;=$H44,BA$6+6&gt;=$G44),1,"")</x:f>
      </x:c>
      <x:c r="BB44" s="167" t="str">
        <x:f>IF(AND(BB$6&lt;=$H44,BB$6+6&gt;=$G44),1,"")</x:f>
      </x:c>
      <x:c r="BC44" s="167" t="str">
        <x:f>IF(AND(BC$6&lt;=$H44,BC$6+6&gt;=$G44),1,"")</x:f>
      </x:c>
      <x:c r="BD44" s="167" t="str">
        <x:f>IF(AND(BD$6&lt;=$H44,BD$6+6&gt;=$G44),1,"")</x:f>
      </x:c>
      <x:c r="BE44" s="167" t="str">
        <x:f>IF(AND(BE$6&lt;=$H44,BE$6+6&gt;=$G44),1,"")</x:f>
      </x:c>
      <x:c r="BF44" s="167" t="str">
        <x:f>IF(AND(BF$6&lt;=$H44,BF$6+6&gt;=$G44),1,"")</x:f>
      </x:c>
      <x:c r="BG44" s="167" t="str">
        <x:f>IF(AND(BG$6&lt;=$H44,BG$6+6&gt;=$G44),1,"")</x:f>
      </x:c>
      <x:c r="BH44" s="167" t="str">
        <x:f>IF(AND(BH$6&lt;=$H44,BH$6+6&gt;=$G44),1,"")</x:f>
      </x:c>
      <x:c r="BI44" s="167" t="str">
        <x:f>IF(AND(BI$6&lt;=$H44,BI$6+6&gt;=$G44),1,"")</x:f>
      </x:c>
      <x:c r="BJ44" s="167" t="str">
        <x:f>IF(AND(BJ$6&lt;=$H44,BJ$6+6&gt;=$G44),1,"")</x:f>
      </x:c>
      <x:c r="BK44" s="168" t="str">
        <x:f>IF(AND(BK$6&lt;=$H44,BK$6+6&gt;=$G44),1,"")</x:f>
      </x:c>
    </x:row>
    <x:row r="45" ht="24" customHeight="1">
      <x:c r="A45" s="68" t="str">
        <x:f>'Research Tasks'!A43</x:f>
        <x:v>AI-302</x:v>
      </x:c>
      <x:c r="B45" s="68" t="str">
        <x:f>'Research Tasks'!B43</x:f>
        <x:v>M3</x:v>
      </x:c>
      <x:c r="C45" s="68" t="str">
        <x:f>'Research Tasks'!C43</x:f>
        <x:v>Active Vision/Sensors</x:v>
      </x:c>
      <x:c r="D45" s="68" t="str">
        <x:f>'Research Tasks'!D43</x:f>
        <x:v>Implement foveal and peripheral observations</x:v>
      </x:c>
      <x:c r="E45" s="68" t="str">
        <x:f>'Research Tasks'!E43</x:f>
        <x:v>AI-301, AI-202</x:v>
      </x:c>
      <x:c r="F45" s="68" t="str">
        <x:f>'Research Tasks'!F43</x:f>
        <x:v>Blocked</x:v>
      </x:c>
      <x:c r="G45" s="94" t="n">
        <x:f>'Research Tasks'!I43</x:f>
        <x:v>46373</x:v>
      </x:c>
      <x:c r="H45" s="94" t="n">
        <x:f>'Research Tasks'!J43</x:f>
        <x:v>46378</x:v>
      </x:c>
      <x:c r="I45" s="166" t="str">
        <x:f>IF(AND(I$6&lt;=$H45,I$6+6&gt;=$G45),1,"")</x:f>
      </x:c>
      <x:c r="J45" s="167" t="str">
        <x:f>IF(AND(J$6&lt;=$H45,J$6+6&gt;=$G45),1,"")</x:f>
      </x:c>
      <x:c r="K45" s="167" t="str">
        <x:f>IF(AND(K$6&lt;=$H45,K$6+6&gt;=$G45),1,"")</x:f>
      </x:c>
      <x:c r="L45" s="167" t="str">
        <x:f>IF(AND(L$6&lt;=$H45,L$6+6&gt;=$G45),1,"")</x:f>
      </x:c>
      <x:c r="M45" s="167" t="str">
        <x:f>IF(AND(M$6&lt;=$H45,M$6+6&gt;=$G45),1,"")</x:f>
      </x:c>
      <x:c r="N45" s="167" t="str">
        <x:f>IF(AND(N$6&lt;=$H45,N$6+6&gt;=$G45),1,"")</x:f>
      </x:c>
      <x:c r="O45" s="167" t="str">
        <x:f>IF(AND(O$6&lt;=$H45,O$6+6&gt;=$G45),1,"")</x:f>
      </x:c>
      <x:c r="P45" s="167" t="str">
        <x:f>IF(AND(P$6&lt;=$H45,P$6+6&gt;=$G45),1,"")</x:f>
      </x:c>
      <x:c r="Q45" s="167" t="str">
        <x:f>IF(AND(Q$6&lt;=$H45,Q$6+6&gt;=$G45),1,"")</x:f>
      </x:c>
      <x:c r="R45" s="167" t="str">
        <x:f>IF(AND(R$6&lt;=$H45,R$6+6&gt;=$G45),1,"")</x:f>
      </x:c>
      <x:c r="S45" s="167" t="str">
        <x:f>IF(AND(S$6&lt;=$H45,S$6+6&gt;=$G45),1,"")</x:f>
      </x:c>
      <x:c r="T45" s="167" t="str">
        <x:f>IF(AND(T$6&lt;=$H45,T$6+6&gt;=$G45),1,"")</x:f>
      </x:c>
      <x:c r="U45" s="167" t="str">
        <x:f>IF(AND(U$6&lt;=$H45,U$6+6&gt;=$G45),1,"")</x:f>
      </x:c>
      <x:c r="V45" s="167" t="str">
        <x:f>IF(AND(V$6&lt;=$H45,V$6+6&gt;=$G45),1,"")</x:f>
      </x:c>
      <x:c r="W45" s="167" t="str">
        <x:f>IF(AND(W$6&lt;=$H45,W$6+6&gt;=$G45),1,"")</x:f>
      </x:c>
      <x:c r="X45" s="167" t="str">
        <x:f>IF(AND(X$6&lt;=$H45,X$6+6&gt;=$G45),1,"")</x:f>
      </x:c>
      <x:c r="Y45" s="167" t="str">
        <x:f>IF(AND(Y$6&lt;=$H45,Y$6+6&gt;=$G45),1,"")</x:f>
      </x:c>
      <x:c r="Z45" s="167" t="str">
        <x:f>IF(AND(Z$6&lt;=$H45,Z$6+6&gt;=$G45),1,"")</x:f>
      </x:c>
      <x:c r="AA45" s="167" t="str">
        <x:f>IF(AND(AA$6&lt;=$H45,AA$6+6&gt;=$G45),1,"")</x:f>
      </x:c>
      <x:c r="AB45" s="167" t="n">
        <x:f>IF(AND(AB$6&lt;=$H45,AB$6+6&gt;=$G45),1,"")</x:f>
        <x:v>1</x:v>
      </x:c>
      <x:c r="AC45" s="167" t="n">
        <x:f>IF(AND(AC$6&lt;=$H45,AC$6+6&gt;=$G45),1,"")</x:f>
        <x:v>1</x:v>
      </x:c>
      <x:c r="AD45" s="167" t="str">
        <x:f>IF(AND(AD$6&lt;=$H45,AD$6+6&gt;=$G45),1,"")</x:f>
      </x:c>
      <x:c r="AE45" s="167" t="str">
        <x:f>IF(AND(AE$6&lt;=$H45,AE$6+6&gt;=$G45),1,"")</x:f>
      </x:c>
      <x:c r="AF45" s="167" t="str">
        <x:f>IF(AND(AF$6&lt;=$H45,AF$6+6&gt;=$G45),1,"")</x:f>
      </x:c>
      <x:c r="AG45" s="167" t="str">
        <x:f>IF(AND(AG$6&lt;=$H45,AG$6+6&gt;=$G45),1,"")</x:f>
      </x:c>
      <x:c r="AH45" s="167" t="str">
        <x:f>IF(AND(AH$6&lt;=$H45,AH$6+6&gt;=$G45),1,"")</x:f>
      </x:c>
      <x:c r="AI45" s="167" t="str">
        <x:f>IF(AND(AI$6&lt;=$H45,AI$6+6&gt;=$G45),1,"")</x:f>
      </x:c>
      <x:c r="AJ45" s="167" t="str">
        <x:f>IF(AND(AJ$6&lt;=$H45,AJ$6+6&gt;=$G45),1,"")</x:f>
      </x:c>
      <x:c r="AK45" s="167" t="str">
        <x:f>IF(AND(AK$6&lt;=$H45,AK$6+6&gt;=$G45),1,"")</x:f>
      </x:c>
      <x:c r="AL45" s="167" t="str">
        <x:f>IF(AND(AL$6&lt;=$H45,AL$6+6&gt;=$G45),1,"")</x:f>
      </x:c>
      <x:c r="AM45" s="167" t="str">
        <x:f>IF(AND(AM$6&lt;=$H45,AM$6+6&gt;=$G45),1,"")</x:f>
      </x:c>
      <x:c r="AN45" s="167" t="str">
        <x:f>IF(AND(AN$6&lt;=$H45,AN$6+6&gt;=$G45),1,"")</x:f>
      </x:c>
      <x:c r="AO45" s="167" t="str">
        <x:f>IF(AND(AO$6&lt;=$H45,AO$6+6&gt;=$G45),1,"")</x:f>
      </x:c>
      <x:c r="AP45" s="167" t="str">
        <x:f>IF(AND(AP$6&lt;=$H45,AP$6+6&gt;=$G45),1,"")</x:f>
      </x:c>
      <x:c r="AQ45" s="167" t="str">
        <x:f>IF(AND(AQ$6&lt;=$H45,AQ$6+6&gt;=$G45),1,"")</x:f>
      </x:c>
      <x:c r="AR45" s="167" t="str">
        <x:f>IF(AND(AR$6&lt;=$H45,AR$6+6&gt;=$G45),1,"")</x:f>
      </x:c>
      <x:c r="AS45" s="167" t="str">
        <x:f>IF(AND(AS$6&lt;=$H45,AS$6+6&gt;=$G45),1,"")</x:f>
      </x:c>
      <x:c r="AT45" s="167" t="str">
        <x:f>IF(AND(AT$6&lt;=$H45,AT$6+6&gt;=$G45),1,"")</x:f>
      </x:c>
      <x:c r="AU45" s="167" t="str">
        <x:f>IF(AND(AU$6&lt;=$H45,AU$6+6&gt;=$G45),1,"")</x:f>
      </x:c>
      <x:c r="AV45" s="167" t="str">
        <x:f>IF(AND(AV$6&lt;=$H45,AV$6+6&gt;=$G45),1,"")</x:f>
      </x:c>
      <x:c r="AW45" s="167" t="str">
        <x:f>IF(AND(AW$6&lt;=$H45,AW$6+6&gt;=$G45),1,"")</x:f>
      </x:c>
      <x:c r="AX45" s="167" t="str">
        <x:f>IF(AND(AX$6&lt;=$H45,AX$6+6&gt;=$G45),1,"")</x:f>
      </x:c>
      <x:c r="AY45" s="167" t="str">
        <x:f>IF(AND(AY$6&lt;=$H45,AY$6+6&gt;=$G45),1,"")</x:f>
      </x:c>
      <x:c r="AZ45" s="167" t="str">
        <x:f>IF(AND(AZ$6&lt;=$H45,AZ$6+6&gt;=$G45),1,"")</x:f>
      </x:c>
      <x:c r="BA45" s="167" t="str">
        <x:f>IF(AND(BA$6&lt;=$H45,BA$6+6&gt;=$G45),1,"")</x:f>
      </x:c>
      <x:c r="BB45" s="167" t="str">
        <x:f>IF(AND(BB$6&lt;=$H45,BB$6+6&gt;=$G45),1,"")</x:f>
      </x:c>
      <x:c r="BC45" s="167" t="str">
        <x:f>IF(AND(BC$6&lt;=$H45,BC$6+6&gt;=$G45),1,"")</x:f>
      </x:c>
      <x:c r="BD45" s="167" t="str">
        <x:f>IF(AND(BD$6&lt;=$H45,BD$6+6&gt;=$G45),1,"")</x:f>
      </x:c>
      <x:c r="BE45" s="167" t="str">
        <x:f>IF(AND(BE$6&lt;=$H45,BE$6+6&gt;=$G45),1,"")</x:f>
      </x:c>
      <x:c r="BF45" s="167" t="str">
        <x:f>IF(AND(BF$6&lt;=$H45,BF$6+6&gt;=$G45),1,"")</x:f>
      </x:c>
      <x:c r="BG45" s="167" t="str">
        <x:f>IF(AND(BG$6&lt;=$H45,BG$6+6&gt;=$G45),1,"")</x:f>
      </x:c>
      <x:c r="BH45" s="167" t="str">
        <x:f>IF(AND(BH$6&lt;=$H45,BH$6+6&gt;=$G45),1,"")</x:f>
      </x:c>
      <x:c r="BI45" s="167" t="str">
        <x:f>IF(AND(BI$6&lt;=$H45,BI$6+6&gt;=$G45),1,"")</x:f>
      </x:c>
      <x:c r="BJ45" s="167" t="str">
        <x:f>IF(AND(BJ$6&lt;=$H45,BJ$6+6&gt;=$G45),1,"")</x:f>
      </x:c>
      <x:c r="BK45" s="168" t="str">
        <x:f>IF(AND(BK$6&lt;=$H45,BK$6+6&gt;=$G45),1,"")</x:f>
      </x:c>
    </x:row>
    <x:row r="46" ht="24" customHeight="1">
      <x:c r="A46" s="68" t="str">
        <x:f>'Research Tasks'!A44</x:f>
        <x:v>AI-303</x:v>
      </x:c>
      <x:c r="B46" s="68" t="str">
        <x:f>'Research Tasks'!B44</x:f>
        <x:v>M3</x:v>
      </x:c>
      <x:c r="C46" s="68" t="str">
        <x:f>'Research Tasks'!C44</x:f>
        <x:v>Variational Inference</x:v>
      </x:c>
      <x:c r="D46" s="68" t="str">
        <x:f>'Research Tasks'!D44</x:f>
        <x:v>Maintain beliefs under partial observation</x:v>
      </x:c>
      <x:c r="E46" s="68" t="str">
        <x:f>'Research Tasks'!E44</x:f>
        <x:v>AI-204, AI-302</x:v>
      </x:c>
      <x:c r="F46" s="68" t="str">
        <x:f>'Research Tasks'!F44</x:f>
        <x:v>Blocked</x:v>
      </x:c>
      <x:c r="G46" s="94" t="n">
        <x:f>'Research Tasks'!I44</x:f>
        <x:v>46379</x:v>
      </x:c>
      <x:c r="H46" s="94" t="n">
        <x:f>'Research Tasks'!J44</x:f>
        <x:v>46385</x:v>
      </x:c>
      <x:c r="I46" s="166" t="str">
        <x:f>IF(AND(I$6&lt;=$H46,I$6+6&gt;=$G46),1,"")</x:f>
      </x:c>
      <x:c r="J46" s="167" t="str">
        <x:f>IF(AND(J$6&lt;=$H46,J$6+6&gt;=$G46),1,"")</x:f>
      </x:c>
      <x:c r="K46" s="167" t="str">
        <x:f>IF(AND(K$6&lt;=$H46,K$6+6&gt;=$G46),1,"")</x:f>
      </x:c>
      <x:c r="L46" s="167" t="str">
        <x:f>IF(AND(L$6&lt;=$H46,L$6+6&gt;=$G46),1,"")</x:f>
      </x:c>
      <x:c r="M46" s="167" t="str">
        <x:f>IF(AND(M$6&lt;=$H46,M$6+6&gt;=$G46),1,"")</x:f>
      </x:c>
      <x:c r="N46" s="167" t="str">
        <x:f>IF(AND(N$6&lt;=$H46,N$6+6&gt;=$G46),1,"")</x:f>
      </x:c>
      <x:c r="O46" s="167" t="str">
        <x:f>IF(AND(O$6&lt;=$H46,O$6+6&gt;=$G46),1,"")</x:f>
      </x:c>
      <x:c r="P46" s="167" t="str">
        <x:f>IF(AND(P$6&lt;=$H46,P$6+6&gt;=$G46),1,"")</x:f>
      </x:c>
      <x:c r="Q46" s="167" t="str">
        <x:f>IF(AND(Q$6&lt;=$H46,Q$6+6&gt;=$G46),1,"")</x:f>
      </x:c>
      <x:c r="R46" s="167" t="str">
        <x:f>IF(AND(R$6&lt;=$H46,R$6+6&gt;=$G46),1,"")</x:f>
      </x:c>
      <x:c r="S46" s="167" t="str">
        <x:f>IF(AND(S$6&lt;=$H46,S$6+6&gt;=$G46),1,"")</x:f>
      </x:c>
      <x:c r="T46" s="167" t="str">
        <x:f>IF(AND(T$6&lt;=$H46,T$6+6&gt;=$G46),1,"")</x:f>
      </x:c>
      <x:c r="U46" s="167" t="str">
        <x:f>IF(AND(U$6&lt;=$H46,U$6+6&gt;=$G46),1,"")</x:f>
      </x:c>
      <x:c r="V46" s="167" t="str">
        <x:f>IF(AND(V$6&lt;=$H46,V$6+6&gt;=$G46),1,"")</x:f>
      </x:c>
      <x:c r="W46" s="167" t="str">
        <x:f>IF(AND(W$6&lt;=$H46,W$6+6&gt;=$G46),1,"")</x:f>
      </x:c>
      <x:c r="X46" s="167" t="str">
        <x:f>IF(AND(X$6&lt;=$H46,X$6+6&gt;=$G46),1,"")</x:f>
      </x:c>
      <x:c r="Y46" s="167" t="str">
        <x:f>IF(AND(Y$6&lt;=$H46,Y$6+6&gt;=$G46),1,"")</x:f>
      </x:c>
      <x:c r="Z46" s="167" t="str">
        <x:f>IF(AND(Z$6&lt;=$H46,Z$6+6&gt;=$G46),1,"")</x:f>
      </x:c>
      <x:c r="AA46" s="167" t="str">
        <x:f>IF(AND(AA$6&lt;=$H46,AA$6+6&gt;=$G46),1,"")</x:f>
      </x:c>
      <x:c r="AB46" s="167" t="str">
        <x:f>IF(AND(AB$6&lt;=$H46,AB$6+6&gt;=$G46),1,"")</x:f>
      </x:c>
      <x:c r="AC46" s="167" t="n">
        <x:f>IF(AND(AC$6&lt;=$H46,AC$6+6&gt;=$G46),1,"")</x:f>
        <x:v>1</x:v>
      </x:c>
      <x:c r="AD46" s="167" t="n">
        <x:f>IF(AND(AD$6&lt;=$H46,AD$6+6&gt;=$G46),1,"")</x:f>
        <x:v>1</x:v>
      </x:c>
      <x:c r="AE46" s="167" t="str">
        <x:f>IF(AND(AE$6&lt;=$H46,AE$6+6&gt;=$G46),1,"")</x:f>
      </x:c>
      <x:c r="AF46" s="167" t="str">
        <x:f>IF(AND(AF$6&lt;=$H46,AF$6+6&gt;=$G46),1,"")</x:f>
      </x:c>
      <x:c r="AG46" s="167" t="str">
        <x:f>IF(AND(AG$6&lt;=$H46,AG$6+6&gt;=$G46),1,"")</x:f>
      </x:c>
      <x:c r="AH46" s="167" t="str">
        <x:f>IF(AND(AH$6&lt;=$H46,AH$6+6&gt;=$G46),1,"")</x:f>
      </x:c>
      <x:c r="AI46" s="167" t="str">
        <x:f>IF(AND(AI$6&lt;=$H46,AI$6+6&gt;=$G46),1,"")</x:f>
      </x:c>
      <x:c r="AJ46" s="167" t="str">
        <x:f>IF(AND(AJ$6&lt;=$H46,AJ$6+6&gt;=$G46),1,"")</x:f>
      </x:c>
      <x:c r="AK46" s="167" t="str">
        <x:f>IF(AND(AK$6&lt;=$H46,AK$6+6&gt;=$G46),1,"")</x:f>
      </x:c>
      <x:c r="AL46" s="167" t="str">
        <x:f>IF(AND(AL$6&lt;=$H46,AL$6+6&gt;=$G46),1,"")</x:f>
      </x:c>
      <x:c r="AM46" s="167" t="str">
        <x:f>IF(AND(AM$6&lt;=$H46,AM$6+6&gt;=$G46),1,"")</x:f>
      </x:c>
      <x:c r="AN46" s="167" t="str">
        <x:f>IF(AND(AN$6&lt;=$H46,AN$6+6&gt;=$G46),1,"")</x:f>
      </x:c>
      <x:c r="AO46" s="167" t="str">
        <x:f>IF(AND(AO$6&lt;=$H46,AO$6+6&gt;=$G46),1,"")</x:f>
      </x:c>
      <x:c r="AP46" s="167" t="str">
        <x:f>IF(AND(AP$6&lt;=$H46,AP$6+6&gt;=$G46),1,"")</x:f>
      </x:c>
      <x:c r="AQ46" s="167" t="str">
        <x:f>IF(AND(AQ$6&lt;=$H46,AQ$6+6&gt;=$G46),1,"")</x:f>
      </x:c>
      <x:c r="AR46" s="167" t="str">
        <x:f>IF(AND(AR$6&lt;=$H46,AR$6+6&gt;=$G46),1,"")</x:f>
      </x:c>
      <x:c r="AS46" s="167" t="str">
        <x:f>IF(AND(AS$6&lt;=$H46,AS$6+6&gt;=$G46),1,"")</x:f>
      </x:c>
      <x:c r="AT46" s="167" t="str">
        <x:f>IF(AND(AT$6&lt;=$H46,AT$6+6&gt;=$G46),1,"")</x:f>
      </x:c>
      <x:c r="AU46" s="167" t="str">
        <x:f>IF(AND(AU$6&lt;=$H46,AU$6+6&gt;=$G46),1,"")</x:f>
      </x:c>
      <x:c r="AV46" s="167" t="str">
        <x:f>IF(AND(AV$6&lt;=$H46,AV$6+6&gt;=$G46),1,"")</x:f>
      </x:c>
      <x:c r="AW46" s="167" t="str">
        <x:f>IF(AND(AW$6&lt;=$H46,AW$6+6&gt;=$G46),1,"")</x:f>
      </x:c>
      <x:c r="AX46" s="167" t="str">
        <x:f>IF(AND(AX$6&lt;=$H46,AX$6+6&gt;=$G46),1,"")</x:f>
      </x:c>
      <x:c r="AY46" s="167" t="str">
        <x:f>IF(AND(AY$6&lt;=$H46,AY$6+6&gt;=$G46),1,"")</x:f>
      </x:c>
      <x:c r="AZ46" s="167" t="str">
        <x:f>IF(AND(AZ$6&lt;=$H46,AZ$6+6&gt;=$G46),1,"")</x:f>
      </x:c>
      <x:c r="BA46" s="167" t="str">
        <x:f>IF(AND(BA$6&lt;=$H46,BA$6+6&gt;=$G46),1,"")</x:f>
      </x:c>
      <x:c r="BB46" s="167" t="str">
        <x:f>IF(AND(BB$6&lt;=$H46,BB$6+6&gt;=$G46),1,"")</x:f>
      </x:c>
      <x:c r="BC46" s="167" t="str">
        <x:f>IF(AND(BC$6&lt;=$H46,BC$6+6&gt;=$G46),1,"")</x:f>
      </x:c>
      <x:c r="BD46" s="167" t="str">
        <x:f>IF(AND(BD$6&lt;=$H46,BD$6+6&gt;=$G46),1,"")</x:f>
      </x:c>
      <x:c r="BE46" s="167" t="str">
        <x:f>IF(AND(BE$6&lt;=$H46,BE$6+6&gt;=$G46),1,"")</x:f>
      </x:c>
      <x:c r="BF46" s="167" t="str">
        <x:f>IF(AND(BF$6&lt;=$H46,BF$6+6&gt;=$G46),1,"")</x:f>
      </x:c>
      <x:c r="BG46" s="167" t="str">
        <x:f>IF(AND(BG$6&lt;=$H46,BG$6+6&gt;=$G46),1,"")</x:f>
      </x:c>
      <x:c r="BH46" s="167" t="str">
        <x:f>IF(AND(BH$6&lt;=$H46,BH$6+6&gt;=$G46),1,"")</x:f>
      </x:c>
      <x:c r="BI46" s="167" t="str">
        <x:f>IF(AND(BI$6&lt;=$H46,BI$6+6&gt;=$G46),1,"")</x:f>
      </x:c>
      <x:c r="BJ46" s="167" t="str">
        <x:f>IF(AND(BJ$6&lt;=$H46,BJ$6+6&gt;=$G46),1,"")</x:f>
      </x:c>
      <x:c r="BK46" s="168" t="str">
        <x:f>IF(AND(BK$6&lt;=$H46,BK$6+6&gt;=$G46),1,"")</x:f>
      </x:c>
    </x:row>
    <x:row r="47" ht="24" customHeight="1">
      <x:c r="A47" s="68" t="str">
        <x:f>'Research Tasks'!A45</x:f>
        <x:v>AI-304</x:v>
      </x:c>
      <x:c r="B47" s="68" t="str">
        <x:f>'Research Tasks'!B45</x:f>
        <x:v>M3</x:v>
      </x:c>
      <x:c r="C47" s="68" t="str">
        <x:f>'Research Tasks'!C45</x:f>
        <x:v>Active Inference/Policy</x:v>
      </x:c>
      <x:c r="D47" s="68" t="str">
        <x:f>'Research Tasks'!D45</x:f>
        <x:v>Define gaze policies and their EFE</x:v>
      </x:c>
      <x:c r="E47" s="68" t="str">
        <x:f>'Research Tasks'!E45</x:f>
        <x:v>AI-105, AI-303</x:v>
      </x:c>
      <x:c r="F47" s="68" t="str">
        <x:f>'Research Tasks'!F45</x:f>
        <x:v>Blocked</x:v>
      </x:c>
      <x:c r="G47" s="94" t="n">
        <x:f>'Research Tasks'!I45</x:f>
        <x:v>46386</x:v>
      </x:c>
      <x:c r="H47" s="94" t="n">
        <x:f>'Research Tasks'!J45</x:f>
        <x:v>46391</x:v>
      </x:c>
      <x:c r="I47" s="166" t="str">
        <x:f>IF(AND(I$6&lt;=$H47,I$6+6&gt;=$G47),1,"")</x:f>
      </x:c>
      <x:c r="J47" s="167" t="str">
        <x:f>IF(AND(J$6&lt;=$H47,J$6+6&gt;=$G47),1,"")</x:f>
      </x:c>
      <x:c r="K47" s="167" t="str">
        <x:f>IF(AND(K$6&lt;=$H47,K$6+6&gt;=$G47),1,"")</x:f>
      </x:c>
      <x:c r="L47" s="167" t="str">
        <x:f>IF(AND(L$6&lt;=$H47,L$6+6&gt;=$G47),1,"")</x:f>
      </x:c>
      <x:c r="M47" s="167" t="str">
        <x:f>IF(AND(M$6&lt;=$H47,M$6+6&gt;=$G47),1,"")</x:f>
      </x:c>
      <x:c r="N47" s="167" t="str">
        <x:f>IF(AND(N$6&lt;=$H47,N$6+6&gt;=$G47),1,"")</x:f>
      </x:c>
      <x:c r="O47" s="167" t="str">
        <x:f>IF(AND(O$6&lt;=$H47,O$6+6&gt;=$G47),1,"")</x:f>
      </x:c>
      <x:c r="P47" s="167" t="str">
        <x:f>IF(AND(P$6&lt;=$H47,P$6+6&gt;=$G47),1,"")</x:f>
      </x:c>
      <x:c r="Q47" s="167" t="str">
        <x:f>IF(AND(Q$6&lt;=$H47,Q$6+6&gt;=$G47),1,"")</x:f>
      </x:c>
      <x:c r="R47" s="167" t="str">
        <x:f>IF(AND(R$6&lt;=$H47,R$6+6&gt;=$G47),1,"")</x:f>
      </x:c>
      <x:c r="S47" s="167" t="str">
        <x:f>IF(AND(S$6&lt;=$H47,S$6+6&gt;=$G47),1,"")</x:f>
      </x:c>
      <x:c r="T47" s="167" t="str">
        <x:f>IF(AND(T$6&lt;=$H47,T$6+6&gt;=$G47),1,"")</x:f>
      </x:c>
      <x:c r="U47" s="167" t="str">
        <x:f>IF(AND(U$6&lt;=$H47,U$6+6&gt;=$G47),1,"")</x:f>
      </x:c>
      <x:c r="V47" s="167" t="str">
        <x:f>IF(AND(V$6&lt;=$H47,V$6+6&gt;=$G47),1,"")</x:f>
      </x:c>
      <x:c r="W47" s="167" t="str">
        <x:f>IF(AND(W$6&lt;=$H47,W$6+6&gt;=$G47),1,"")</x:f>
      </x:c>
      <x:c r="X47" s="167" t="str">
        <x:f>IF(AND(X$6&lt;=$H47,X$6+6&gt;=$G47),1,"")</x:f>
      </x:c>
      <x:c r="Y47" s="167" t="str">
        <x:f>IF(AND(Y$6&lt;=$H47,Y$6+6&gt;=$G47),1,"")</x:f>
      </x:c>
      <x:c r="Z47" s="167" t="str">
        <x:f>IF(AND(Z$6&lt;=$H47,Z$6+6&gt;=$G47),1,"")</x:f>
      </x:c>
      <x:c r="AA47" s="167" t="str">
        <x:f>IF(AND(AA$6&lt;=$H47,AA$6+6&gt;=$G47),1,"")</x:f>
      </x:c>
      <x:c r="AB47" s="167" t="str">
        <x:f>IF(AND(AB$6&lt;=$H47,AB$6+6&gt;=$G47),1,"")</x:f>
      </x:c>
      <x:c r="AC47" s="167" t="str">
        <x:f>IF(AND(AC$6&lt;=$H47,AC$6+6&gt;=$G47),1,"")</x:f>
      </x:c>
      <x:c r="AD47" s="167" t="n">
        <x:f>IF(AND(AD$6&lt;=$H47,AD$6+6&gt;=$G47),1,"")</x:f>
        <x:v>1</x:v>
      </x:c>
      <x:c r="AE47" s="167" t="n">
        <x:f>IF(AND(AE$6&lt;=$H47,AE$6+6&gt;=$G47),1,"")</x:f>
        <x:v>1</x:v>
      </x:c>
      <x:c r="AF47" s="167" t="str">
        <x:f>IF(AND(AF$6&lt;=$H47,AF$6+6&gt;=$G47),1,"")</x:f>
      </x:c>
      <x:c r="AG47" s="167" t="str">
        <x:f>IF(AND(AG$6&lt;=$H47,AG$6+6&gt;=$G47),1,"")</x:f>
      </x:c>
      <x:c r="AH47" s="167" t="str">
        <x:f>IF(AND(AH$6&lt;=$H47,AH$6+6&gt;=$G47),1,"")</x:f>
      </x:c>
      <x:c r="AI47" s="167" t="str">
        <x:f>IF(AND(AI$6&lt;=$H47,AI$6+6&gt;=$G47),1,"")</x:f>
      </x:c>
      <x:c r="AJ47" s="167" t="str">
        <x:f>IF(AND(AJ$6&lt;=$H47,AJ$6+6&gt;=$G47),1,"")</x:f>
      </x:c>
      <x:c r="AK47" s="167" t="str">
        <x:f>IF(AND(AK$6&lt;=$H47,AK$6+6&gt;=$G47),1,"")</x:f>
      </x:c>
      <x:c r="AL47" s="167" t="str">
        <x:f>IF(AND(AL$6&lt;=$H47,AL$6+6&gt;=$G47),1,"")</x:f>
      </x:c>
      <x:c r="AM47" s="167" t="str">
        <x:f>IF(AND(AM$6&lt;=$H47,AM$6+6&gt;=$G47),1,"")</x:f>
      </x:c>
      <x:c r="AN47" s="167" t="str">
        <x:f>IF(AND(AN$6&lt;=$H47,AN$6+6&gt;=$G47),1,"")</x:f>
      </x:c>
      <x:c r="AO47" s="167" t="str">
        <x:f>IF(AND(AO$6&lt;=$H47,AO$6+6&gt;=$G47),1,"")</x:f>
      </x:c>
      <x:c r="AP47" s="167" t="str">
        <x:f>IF(AND(AP$6&lt;=$H47,AP$6+6&gt;=$G47),1,"")</x:f>
      </x:c>
      <x:c r="AQ47" s="167" t="str">
        <x:f>IF(AND(AQ$6&lt;=$H47,AQ$6+6&gt;=$G47),1,"")</x:f>
      </x:c>
      <x:c r="AR47" s="167" t="str">
        <x:f>IF(AND(AR$6&lt;=$H47,AR$6+6&gt;=$G47),1,"")</x:f>
      </x:c>
      <x:c r="AS47" s="167" t="str">
        <x:f>IF(AND(AS$6&lt;=$H47,AS$6+6&gt;=$G47),1,"")</x:f>
      </x:c>
      <x:c r="AT47" s="167" t="str">
        <x:f>IF(AND(AT$6&lt;=$H47,AT$6+6&gt;=$G47),1,"")</x:f>
      </x:c>
      <x:c r="AU47" s="167" t="str">
        <x:f>IF(AND(AU$6&lt;=$H47,AU$6+6&gt;=$G47),1,"")</x:f>
      </x:c>
      <x:c r="AV47" s="167" t="str">
        <x:f>IF(AND(AV$6&lt;=$H47,AV$6+6&gt;=$G47),1,"")</x:f>
      </x:c>
      <x:c r="AW47" s="167" t="str">
        <x:f>IF(AND(AW$6&lt;=$H47,AW$6+6&gt;=$G47),1,"")</x:f>
      </x:c>
      <x:c r="AX47" s="167" t="str">
        <x:f>IF(AND(AX$6&lt;=$H47,AX$6+6&gt;=$G47),1,"")</x:f>
      </x:c>
      <x:c r="AY47" s="167" t="str">
        <x:f>IF(AND(AY$6&lt;=$H47,AY$6+6&gt;=$G47),1,"")</x:f>
      </x:c>
      <x:c r="AZ47" s="167" t="str">
        <x:f>IF(AND(AZ$6&lt;=$H47,AZ$6+6&gt;=$G47),1,"")</x:f>
      </x:c>
      <x:c r="BA47" s="167" t="str">
        <x:f>IF(AND(BA$6&lt;=$H47,BA$6+6&gt;=$G47),1,"")</x:f>
      </x:c>
      <x:c r="BB47" s="167" t="str">
        <x:f>IF(AND(BB$6&lt;=$H47,BB$6+6&gt;=$G47),1,"")</x:f>
      </x:c>
      <x:c r="BC47" s="167" t="str">
        <x:f>IF(AND(BC$6&lt;=$H47,BC$6+6&gt;=$G47),1,"")</x:f>
      </x:c>
      <x:c r="BD47" s="167" t="str">
        <x:f>IF(AND(BD$6&lt;=$H47,BD$6+6&gt;=$G47),1,"")</x:f>
      </x:c>
      <x:c r="BE47" s="167" t="str">
        <x:f>IF(AND(BE$6&lt;=$H47,BE$6+6&gt;=$G47),1,"")</x:f>
      </x:c>
      <x:c r="BF47" s="167" t="str">
        <x:f>IF(AND(BF$6&lt;=$H47,BF$6+6&gt;=$G47),1,"")</x:f>
      </x:c>
      <x:c r="BG47" s="167" t="str">
        <x:f>IF(AND(BG$6&lt;=$H47,BG$6+6&gt;=$G47),1,"")</x:f>
      </x:c>
      <x:c r="BH47" s="167" t="str">
        <x:f>IF(AND(BH$6&lt;=$H47,BH$6+6&gt;=$G47),1,"")</x:f>
      </x:c>
      <x:c r="BI47" s="167" t="str">
        <x:f>IF(AND(BI$6&lt;=$H47,BI$6+6&gt;=$G47),1,"")</x:f>
      </x:c>
      <x:c r="BJ47" s="167" t="str">
        <x:f>IF(AND(BJ$6&lt;=$H47,BJ$6+6&gt;=$G47),1,"")</x:f>
      </x:c>
      <x:c r="BK47" s="168" t="str">
        <x:f>IF(AND(BK$6&lt;=$H47,BK$6+6&gt;=$G47),1,"")</x:f>
      </x:c>
    </x:row>
    <x:row r="48" ht="24" customHeight="1">
      <x:c r="A48" s="68" t="str">
        <x:f>'Research Tasks'!A46</x:f>
        <x:v>AI-305</x:v>
      </x:c>
      <x:c r="B48" s="68" t="str">
        <x:f>'Research Tasks'!B46</x:f>
        <x:v>M3</x:v>
      </x:c>
      <x:c r="C48" s="68" t="str">
        <x:f>'Research Tasks'!C46</x:f>
        <x:v>Hierarchical Active Inference</x:v>
      </x:c>
      <x:c r="D48" s="68" t="str">
        <x:f>'Research Tasks'!D46</x:f>
        <x:v>Factor gaze, mark, passage, and motor policies</x:v>
      </x:c>
      <x:c r="E48" s="68" t="str">
        <x:f>'Research Tasks'!E46</x:f>
        <x:v>AI-207, AI-304</x:v>
      </x:c>
      <x:c r="F48" s="68" t="str">
        <x:f>'Research Tasks'!F46</x:f>
        <x:v>Blocked</x:v>
      </x:c>
      <x:c r="G48" s="94" t="n">
        <x:f>'Research Tasks'!I46</x:f>
        <x:v>46392</x:v>
      </x:c>
      <x:c r="H48" s="94" t="n">
        <x:f>'Research Tasks'!J46</x:f>
        <x:v>46398</x:v>
      </x:c>
      <x:c r="I48" s="166" t="str">
        <x:f>IF(AND(I$6&lt;=$H48,I$6+6&gt;=$G48),1,"")</x:f>
      </x:c>
      <x:c r="J48" s="167" t="str">
        <x:f>IF(AND(J$6&lt;=$H48,J$6+6&gt;=$G48),1,"")</x:f>
      </x:c>
      <x:c r="K48" s="167" t="str">
        <x:f>IF(AND(K$6&lt;=$H48,K$6+6&gt;=$G48),1,"")</x:f>
      </x:c>
      <x:c r="L48" s="167" t="str">
        <x:f>IF(AND(L$6&lt;=$H48,L$6+6&gt;=$G48),1,"")</x:f>
      </x:c>
      <x:c r="M48" s="167" t="str">
        <x:f>IF(AND(M$6&lt;=$H48,M$6+6&gt;=$G48),1,"")</x:f>
      </x:c>
      <x:c r="N48" s="167" t="str">
        <x:f>IF(AND(N$6&lt;=$H48,N$6+6&gt;=$G48),1,"")</x:f>
      </x:c>
      <x:c r="O48" s="167" t="str">
        <x:f>IF(AND(O$6&lt;=$H48,O$6+6&gt;=$G48),1,"")</x:f>
      </x:c>
      <x:c r="P48" s="167" t="str">
        <x:f>IF(AND(P$6&lt;=$H48,P$6+6&gt;=$G48),1,"")</x:f>
      </x:c>
      <x:c r="Q48" s="167" t="str">
        <x:f>IF(AND(Q$6&lt;=$H48,Q$6+6&gt;=$G48),1,"")</x:f>
      </x:c>
      <x:c r="R48" s="167" t="str">
        <x:f>IF(AND(R$6&lt;=$H48,R$6+6&gt;=$G48),1,"")</x:f>
      </x:c>
      <x:c r="S48" s="167" t="str">
        <x:f>IF(AND(S$6&lt;=$H48,S$6+6&gt;=$G48),1,"")</x:f>
      </x:c>
      <x:c r="T48" s="167" t="str">
        <x:f>IF(AND(T$6&lt;=$H48,T$6+6&gt;=$G48),1,"")</x:f>
      </x:c>
      <x:c r="U48" s="167" t="str">
        <x:f>IF(AND(U$6&lt;=$H48,U$6+6&gt;=$G48),1,"")</x:f>
      </x:c>
      <x:c r="V48" s="167" t="str">
        <x:f>IF(AND(V$6&lt;=$H48,V$6+6&gt;=$G48),1,"")</x:f>
      </x:c>
      <x:c r="W48" s="167" t="str">
        <x:f>IF(AND(W$6&lt;=$H48,W$6+6&gt;=$G48),1,"")</x:f>
      </x:c>
      <x:c r="X48" s="167" t="str">
        <x:f>IF(AND(X$6&lt;=$H48,X$6+6&gt;=$G48),1,"")</x:f>
      </x:c>
      <x:c r="Y48" s="167" t="str">
        <x:f>IF(AND(Y$6&lt;=$H48,Y$6+6&gt;=$G48),1,"")</x:f>
      </x:c>
      <x:c r="Z48" s="167" t="str">
        <x:f>IF(AND(Z$6&lt;=$H48,Z$6+6&gt;=$G48),1,"")</x:f>
      </x:c>
      <x:c r="AA48" s="167" t="str">
        <x:f>IF(AND(AA$6&lt;=$H48,AA$6+6&gt;=$G48),1,"")</x:f>
      </x:c>
      <x:c r="AB48" s="167" t="str">
        <x:f>IF(AND(AB$6&lt;=$H48,AB$6+6&gt;=$G48),1,"")</x:f>
      </x:c>
      <x:c r="AC48" s="167" t="str">
        <x:f>IF(AND(AC$6&lt;=$H48,AC$6+6&gt;=$G48),1,"")</x:f>
      </x:c>
      <x:c r="AD48" s="167" t="str">
        <x:f>IF(AND(AD$6&lt;=$H48,AD$6+6&gt;=$G48),1,"")</x:f>
      </x:c>
      <x:c r="AE48" s="167" t="n">
        <x:f>IF(AND(AE$6&lt;=$H48,AE$6+6&gt;=$G48),1,"")</x:f>
        <x:v>1</x:v>
      </x:c>
      <x:c r="AF48" s="167" t="n">
        <x:f>IF(AND(AF$6&lt;=$H48,AF$6+6&gt;=$G48),1,"")</x:f>
        <x:v>1</x:v>
      </x:c>
      <x:c r="AG48" s="167" t="str">
        <x:f>IF(AND(AG$6&lt;=$H48,AG$6+6&gt;=$G48),1,"")</x:f>
      </x:c>
      <x:c r="AH48" s="167" t="str">
        <x:f>IF(AND(AH$6&lt;=$H48,AH$6+6&gt;=$G48),1,"")</x:f>
      </x:c>
      <x:c r="AI48" s="167" t="str">
        <x:f>IF(AND(AI$6&lt;=$H48,AI$6+6&gt;=$G48),1,"")</x:f>
      </x:c>
      <x:c r="AJ48" s="167" t="str">
        <x:f>IF(AND(AJ$6&lt;=$H48,AJ$6+6&gt;=$G48),1,"")</x:f>
      </x:c>
      <x:c r="AK48" s="167" t="str">
        <x:f>IF(AND(AK$6&lt;=$H48,AK$6+6&gt;=$G48),1,"")</x:f>
      </x:c>
      <x:c r="AL48" s="167" t="str">
        <x:f>IF(AND(AL$6&lt;=$H48,AL$6+6&gt;=$G48),1,"")</x:f>
      </x:c>
      <x:c r="AM48" s="167" t="str">
        <x:f>IF(AND(AM$6&lt;=$H48,AM$6+6&gt;=$G48),1,"")</x:f>
      </x:c>
      <x:c r="AN48" s="167" t="str">
        <x:f>IF(AND(AN$6&lt;=$H48,AN$6+6&gt;=$G48),1,"")</x:f>
      </x:c>
      <x:c r="AO48" s="167" t="str">
        <x:f>IF(AND(AO$6&lt;=$H48,AO$6+6&gt;=$G48),1,"")</x:f>
      </x:c>
      <x:c r="AP48" s="167" t="str">
        <x:f>IF(AND(AP$6&lt;=$H48,AP$6+6&gt;=$G48),1,"")</x:f>
      </x:c>
      <x:c r="AQ48" s="167" t="str">
        <x:f>IF(AND(AQ$6&lt;=$H48,AQ$6+6&gt;=$G48),1,"")</x:f>
      </x:c>
      <x:c r="AR48" s="167" t="str">
        <x:f>IF(AND(AR$6&lt;=$H48,AR$6+6&gt;=$G48),1,"")</x:f>
      </x:c>
      <x:c r="AS48" s="167" t="str">
        <x:f>IF(AND(AS$6&lt;=$H48,AS$6+6&gt;=$G48),1,"")</x:f>
      </x:c>
      <x:c r="AT48" s="167" t="str">
        <x:f>IF(AND(AT$6&lt;=$H48,AT$6+6&gt;=$G48),1,"")</x:f>
      </x:c>
      <x:c r="AU48" s="167" t="str">
        <x:f>IF(AND(AU$6&lt;=$H48,AU$6+6&gt;=$G48),1,"")</x:f>
      </x:c>
      <x:c r="AV48" s="167" t="str">
        <x:f>IF(AND(AV$6&lt;=$H48,AV$6+6&gt;=$G48),1,"")</x:f>
      </x:c>
      <x:c r="AW48" s="167" t="str">
        <x:f>IF(AND(AW$6&lt;=$H48,AW$6+6&gt;=$G48),1,"")</x:f>
      </x:c>
      <x:c r="AX48" s="167" t="str">
        <x:f>IF(AND(AX$6&lt;=$H48,AX$6+6&gt;=$G48),1,"")</x:f>
      </x:c>
      <x:c r="AY48" s="167" t="str">
        <x:f>IF(AND(AY$6&lt;=$H48,AY$6+6&gt;=$G48),1,"")</x:f>
      </x:c>
      <x:c r="AZ48" s="167" t="str">
        <x:f>IF(AND(AZ$6&lt;=$H48,AZ$6+6&gt;=$G48),1,"")</x:f>
      </x:c>
      <x:c r="BA48" s="167" t="str">
        <x:f>IF(AND(BA$6&lt;=$H48,BA$6+6&gt;=$G48),1,"")</x:f>
      </x:c>
      <x:c r="BB48" s="167" t="str">
        <x:f>IF(AND(BB$6&lt;=$H48,BB$6+6&gt;=$G48),1,"")</x:f>
      </x:c>
      <x:c r="BC48" s="167" t="str">
        <x:f>IF(AND(BC$6&lt;=$H48,BC$6+6&gt;=$G48),1,"")</x:f>
      </x:c>
      <x:c r="BD48" s="167" t="str">
        <x:f>IF(AND(BD$6&lt;=$H48,BD$6+6&gt;=$G48),1,"")</x:f>
      </x:c>
      <x:c r="BE48" s="167" t="str">
        <x:f>IF(AND(BE$6&lt;=$H48,BE$6+6&gt;=$G48),1,"")</x:f>
      </x:c>
      <x:c r="BF48" s="167" t="str">
        <x:f>IF(AND(BF$6&lt;=$H48,BF$6+6&gt;=$G48),1,"")</x:f>
      </x:c>
      <x:c r="BG48" s="167" t="str">
        <x:f>IF(AND(BG$6&lt;=$H48,BG$6+6&gt;=$G48),1,"")</x:f>
      </x:c>
      <x:c r="BH48" s="167" t="str">
        <x:f>IF(AND(BH$6&lt;=$H48,BH$6+6&gt;=$G48),1,"")</x:f>
      </x:c>
      <x:c r="BI48" s="167" t="str">
        <x:f>IF(AND(BI$6&lt;=$H48,BI$6+6&gt;=$G48),1,"")</x:f>
      </x:c>
      <x:c r="BJ48" s="167" t="str">
        <x:f>IF(AND(BJ$6&lt;=$H48,BJ$6+6&gt;=$G48),1,"")</x:f>
      </x:c>
      <x:c r="BK48" s="168" t="str">
        <x:f>IF(AND(BK$6&lt;=$H48,BK$6+6&gt;=$G48),1,"")</x:f>
      </x:c>
    </x:row>
    <x:row r="49" ht="24" customHeight="1">
      <x:c r="A49" s="68" t="str">
        <x:f>'Research Tasks'!A47</x:f>
        <x:v>AI-306</x:v>
      </x:c>
      <x:c r="B49" s="68" t="str">
        <x:f>'Research Tasks'!B47</x:f>
        <x:v>M3</x:v>
      </x:c>
      <x:c r="C49" s="68" t="str">
        <x:f>'Research Tasks'!C47</x:f>
        <x:v>Policy Inference/Approximation</x:v>
      </x:c>
      <x:c r="D49" s="68" t="str">
        <x:f>'Research Tasks'!D47</x:f>
        <x:v>Correct finite-proposal policy inference</x:v>
      </x:c>
      <x:c r="E49" s="68" t="str">
        <x:f>'Research Tasks'!E47</x:f>
        <x:v>AI-111, AI-305</x:v>
      </x:c>
      <x:c r="F49" s="68" t="str">
        <x:f>'Research Tasks'!F47</x:f>
        <x:v>Blocked</x:v>
      </x:c>
      <x:c r="G49" s="94" t="n">
        <x:f>'Research Tasks'!I47</x:f>
        <x:v>46399</x:v>
      </x:c>
      <x:c r="H49" s="94" t="n">
        <x:f>'Research Tasks'!J47</x:f>
        <x:v>46402</x:v>
      </x:c>
      <x:c r="I49" s="166" t="str">
        <x:f>IF(AND(I$6&lt;=$H49,I$6+6&gt;=$G49),1,"")</x:f>
      </x:c>
      <x:c r="J49" s="167" t="str">
        <x:f>IF(AND(J$6&lt;=$H49,J$6+6&gt;=$G49),1,"")</x:f>
      </x:c>
      <x:c r="K49" s="167" t="str">
        <x:f>IF(AND(K$6&lt;=$H49,K$6+6&gt;=$G49),1,"")</x:f>
      </x:c>
      <x:c r="L49" s="167" t="str">
        <x:f>IF(AND(L$6&lt;=$H49,L$6+6&gt;=$G49),1,"")</x:f>
      </x:c>
      <x:c r="M49" s="167" t="str">
        <x:f>IF(AND(M$6&lt;=$H49,M$6+6&gt;=$G49),1,"")</x:f>
      </x:c>
      <x:c r="N49" s="167" t="str">
        <x:f>IF(AND(N$6&lt;=$H49,N$6+6&gt;=$G49),1,"")</x:f>
      </x:c>
      <x:c r="O49" s="167" t="str">
        <x:f>IF(AND(O$6&lt;=$H49,O$6+6&gt;=$G49),1,"")</x:f>
      </x:c>
      <x:c r="P49" s="167" t="str">
        <x:f>IF(AND(P$6&lt;=$H49,P$6+6&gt;=$G49),1,"")</x:f>
      </x:c>
      <x:c r="Q49" s="167" t="str">
        <x:f>IF(AND(Q$6&lt;=$H49,Q$6+6&gt;=$G49),1,"")</x:f>
      </x:c>
      <x:c r="R49" s="167" t="str">
        <x:f>IF(AND(R$6&lt;=$H49,R$6+6&gt;=$G49),1,"")</x:f>
      </x:c>
      <x:c r="S49" s="167" t="str">
        <x:f>IF(AND(S$6&lt;=$H49,S$6+6&gt;=$G49),1,"")</x:f>
      </x:c>
      <x:c r="T49" s="167" t="str">
        <x:f>IF(AND(T$6&lt;=$H49,T$6+6&gt;=$G49),1,"")</x:f>
      </x:c>
      <x:c r="U49" s="167" t="str">
        <x:f>IF(AND(U$6&lt;=$H49,U$6+6&gt;=$G49),1,"")</x:f>
      </x:c>
      <x:c r="V49" s="167" t="str">
        <x:f>IF(AND(V$6&lt;=$H49,V$6+6&gt;=$G49),1,"")</x:f>
      </x:c>
      <x:c r="W49" s="167" t="str">
        <x:f>IF(AND(W$6&lt;=$H49,W$6+6&gt;=$G49),1,"")</x:f>
      </x:c>
      <x:c r="X49" s="167" t="str">
        <x:f>IF(AND(X$6&lt;=$H49,X$6+6&gt;=$G49),1,"")</x:f>
      </x:c>
      <x:c r="Y49" s="167" t="str">
        <x:f>IF(AND(Y$6&lt;=$H49,Y$6+6&gt;=$G49),1,"")</x:f>
      </x:c>
      <x:c r="Z49" s="167" t="str">
        <x:f>IF(AND(Z$6&lt;=$H49,Z$6+6&gt;=$G49),1,"")</x:f>
      </x:c>
      <x:c r="AA49" s="167" t="str">
        <x:f>IF(AND(AA$6&lt;=$H49,AA$6+6&gt;=$G49),1,"")</x:f>
      </x:c>
      <x:c r="AB49" s="167" t="str">
        <x:f>IF(AND(AB$6&lt;=$H49,AB$6+6&gt;=$G49),1,"")</x:f>
      </x:c>
      <x:c r="AC49" s="167" t="str">
        <x:f>IF(AND(AC$6&lt;=$H49,AC$6+6&gt;=$G49),1,"")</x:f>
      </x:c>
      <x:c r="AD49" s="167" t="str">
        <x:f>IF(AND(AD$6&lt;=$H49,AD$6+6&gt;=$G49),1,"")</x:f>
      </x:c>
      <x:c r="AE49" s="167" t="str">
        <x:f>IF(AND(AE$6&lt;=$H49,AE$6+6&gt;=$G49),1,"")</x:f>
      </x:c>
      <x:c r="AF49" s="167" t="n">
        <x:f>IF(AND(AF$6&lt;=$H49,AF$6+6&gt;=$G49),1,"")</x:f>
        <x:v>1</x:v>
      </x:c>
      <x:c r="AG49" s="167" t="str">
        <x:f>IF(AND(AG$6&lt;=$H49,AG$6+6&gt;=$G49),1,"")</x:f>
      </x:c>
      <x:c r="AH49" s="167" t="str">
        <x:f>IF(AND(AH$6&lt;=$H49,AH$6+6&gt;=$G49),1,"")</x:f>
      </x:c>
      <x:c r="AI49" s="167" t="str">
        <x:f>IF(AND(AI$6&lt;=$H49,AI$6+6&gt;=$G49),1,"")</x:f>
      </x:c>
      <x:c r="AJ49" s="167" t="str">
        <x:f>IF(AND(AJ$6&lt;=$H49,AJ$6+6&gt;=$G49),1,"")</x:f>
      </x:c>
      <x:c r="AK49" s="167" t="str">
        <x:f>IF(AND(AK$6&lt;=$H49,AK$6+6&gt;=$G49),1,"")</x:f>
      </x:c>
      <x:c r="AL49" s="167" t="str">
        <x:f>IF(AND(AL$6&lt;=$H49,AL$6+6&gt;=$G49),1,"")</x:f>
      </x:c>
      <x:c r="AM49" s="167" t="str">
        <x:f>IF(AND(AM$6&lt;=$H49,AM$6+6&gt;=$G49),1,"")</x:f>
      </x:c>
      <x:c r="AN49" s="167" t="str">
        <x:f>IF(AND(AN$6&lt;=$H49,AN$6+6&gt;=$G49),1,"")</x:f>
      </x:c>
      <x:c r="AO49" s="167" t="str">
        <x:f>IF(AND(AO$6&lt;=$H49,AO$6+6&gt;=$G49),1,"")</x:f>
      </x:c>
      <x:c r="AP49" s="167" t="str">
        <x:f>IF(AND(AP$6&lt;=$H49,AP$6+6&gt;=$G49),1,"")</x:f>
      </x:c>
      <x:c r="AQ49" s="167" t="str">
        <x:f>IF(AND(AQ$6&lt;=$H49,AQ$6+6&gt;=$G49),1,"")</x:f>
      </x:c>
      <x:c r="AR49" s="167" t="str">
        <x:f>IF(AND(AR$6&lt;=$H49,AR$6+6&gt;=$G49),1,"")</x:f>
      </x:c>
      <x:c r="AS49" s="167" t="str">
        <x:f>IF(AND(AS$6&lt;=$H49,AS$6+6&gt;=$G49),1,"")</x:f>
      </x:c>
      <x:c r="AT49" s="167" t="str">
        <x:f>IF(AND(AT$6&lt;=$H49,AT$6+6&gt;=$G49),1,"")</x:f>
      </x:c>
      <x:c r="AU49" s="167" t="str">
        <x:f>IF(AND(AU$6&lt;=$H49,AU$6+6&gt;=$G49),1,"")</x:f>
      </x:c>
      <x:c r="AV49" s="167" t="str">
        <x:f>IF(AND(AV$6&lt;=$H49,AV$6+6&gt;=$G49),1,"")</x:f>
      </x:c>
      <x:c r="AW49" s="167" t="str">
        <x:f>IF(AND(AW$6&lt;=$H49,AW$6+6&gt;=$G49),1,"")</x:f>
      </x:c>
      <x:c r="AX49" s="167" t="str">
        <x:f>IF(AND(AX$6&lt;=$H49,AX$6+6&gt;=$G49),1,"")</x:f>
      </x:c>
      <x:c r="AY49" s="167" t="str">
        <x:f>IF(AND(AY$6&lt;=$H49,AY$6+6&gt;=$G49),1,"")</x:f>
      </x:c>
      <x:c r="AZ49" s="167" t="str">
        <x:f>IF(AND(AZ$6&lt;=$H49,AZ$6+6&gt;=$G49),1,"")</x:f>
      </x:c>
      <x:c r="BA49" s="167" t="str">
        <x:f>IF(AND(BA$6&lt;=$H49,BA$6+6&gt;=$G49),1,"")</x:f>
      </x:c>
      <x:c r="BB49" s="167" t="str">
        <x:f>IF(AND(BB$6&lt;=$H49,BB$6+6&gt;=$G49),1,"")</x:f>
      </x:c>
      <x:c r="BC49" s="167" t="str">
        <x:f>IF(AND(BC$6&lt;=$H49,BC$6+6&gt;=$G49),1,"")</x:f>
      </x:c>
      <x:c r="BD49" s="167" t="str">
        <x:f>IF(AND(BD$6&lt;=$H49,BD$6+6&gt;=$G49),1,"")</x:f>
      </x:c>
      <x:c r="BE49" s="167" t="str">
        <x:f>IF(AND(BE$6&lt;=$H49,BE$6+6&gt;=$G49),1,"")</x:f>
      </x:c>
      <x:c r="BF49" s="167" t="str">
        <x:f>IF(AND(BF$6&lt;=$H49,BF$6+6&gt;=$G49),1,"")</x:f>
      </x:c>
      <x:c r="BG49" s="167" t="str">
        <x:f>IF(AND(BG$6&lt;=$H49,BG$6+6&gt;=$G49),1,"")</x:f>
      </x:c>
      <x:c r="BH49" s="167" t="str">
        <x:f>IF(AND(BH$6&lt;=$H49,BH$6+6&gt;=$G49),1,"")</x:f>
      </x:c>
      <x:c r="BI49" s="167" t="str">
        <x:f>IF(AND(BI$6&lt;=$H49,BI$6+6&gt;=$G49),1,"")</x:f>
      </x:c>
      <x:c r="BJ49" s="167" t="str">
        <x:f>IF(AND(BJ$6&lt;=$H49,BJ$6+6&gt;=$G49),1,"")</x:f>
      </x:c>
      <x:c r="BK49" s="168" t="str">
        <x:f>IF(AND(BK$6&lt;=$H49,BK$6+6&gt;=$G49),1,"")</x:f>
      </x:c>
    </x:row>
    <x:row r="50" ht="24" customHeight="1">
      <x:c r="A50" s="68" t="str">
        <x:f>'Research Tasks'!A48</x:f>
        <x:v>AI-307</x:v>
      </x:c>
      <x:c r="B50" s="68" t="str">
        <x:f>'Research Tasks'!B48</x:f>
        <x:v>M3</x:v>
      </x:c>
      <x:c r="C50" s="68" t="str">
        <x:f>'Research Tasks'!C48</x:f>
        <x:v>Priors/Embodiment</x:v>
      </x:c>
      <x:c r="D50" s="68" t="str">
        <x:f>'Research Tasks'!D48</x:f>
        <x:v>Replace hand-shaped continuity scores with transition priors</x:v>
      </x:c>
      <x:c r="E50" s="68" t="str">
        <x:f>'Research Tasks'!E48</x:f>
        <x:v>AI-101, AI-305</x:v>
      </x:c>
      <x:c r="F50" s="68" t="str">
        <x:f>'Research Tasks'!F48</x:f>
        <x:v>Blocked</x:v>
      </x:c>
      <x:c r="G50" s="94" t="n">
        <x:f>'Research Tasks'!I48</x:f>
        <x:v>46405</x:v>
      </x:c>
      <x:c r="H50" s="94" t="n">
        <x:f>'Research Tasks'!J48</x:f>
        <x:v>46407</x:v>
      </x:c>
      <x:c r="I50" s="166" t="str">
        <x:f>IF(AND(I$6&lt;=$H50,I$6+6&gt;=$G50),1,"")</x:f>
      </x:c>
      <x:c r="J50" s="167" t="str">
        <x:f>IF(AND(J$6&lt;=$H50,J$6+6&gt;=$G50),1,"")</x:f>
      </x:c>
      <x:c r="K50" s="167" t="str">
        <x:f>IF(AND(K$6&lt;=$H50,K$6+6&gt;=$G50),1,"")</x:f>
      </x:c>
      <x:c r="L50" s="167" t="str">
        <x:f>IF(AND(L$6&lt;=$H50,L$6+6&gt;=$G50),1,"")</x:f>
      </x:c>
      <x:c r="M50" s="167" t="str">
        <x:f>IF(AND(M$6&lt;=$H50,M$6+6&gt;=$G50),1,"")</x:f>
      </x:c>
      <x:c r="N50" s="167" t="str">
        <x:f>IF(AND(N$6&lt;=$H50,N$6+6&gt;=$G50),1,"")</x:f>
      </x:c>
      <x:c r="O50" s="167" t="str">
        <x:f>IF(AND(O$6&lt;=$H50,O$6+6&gt;=$G50),1,"")</x:f>
      </x:c>
      <x:c r="P50" s="167" t="str">
        <x:f>IF(AND(P$6&lt;=$H50,P$6+6&gt;=$G50),1,"")</x:f>
      </x:c>
      <x:c r="Q50" s="167" t="str">
        <x:f>IF(AND(Q$6&lt;=$H50,Q$6+6&gt;=$G50),1,"")</x:f>
      </x:c>
      <x:c r="R50" s="167" t="str">
        <x:f>IF(AND(R$6&lt;=$H50,R$6+6&gt;=$G50),1,"")</x:f>
      </x:c>
      <x:c r="S50" s="167" t="str">
        <x:f>IF(AND(S$6&lt;=$H50,S$6+6&gt;=$G50),1,"")</x:f>
      </x:c>
      <x:c r="T50" s="167" t="str">
        <x:f>IF(AND(T$6&lt;=$H50,T$6+6&gt;=$G50),1,"")</x:f>
      </x:c>
      <x:c r="U50" s="167" t="str">
        <x:f>IF(AND(U$6&lt;=$H50,U$6+6&gt;=$G50),1,"")</x:f>
      </x:c>
      <x:c r="V50" s="167" t="str">
        <x:f>IF(AND(V$6&lt;=$H50,V$6+6&gt;=$G50),1,"")</x:f>
      </x:c>
      <x:c r="W50" s="167" t="str">
        <x:f>IF(AND(W$6&lt;=$H50,W$6+6&gt;=$G50),1,"")</x:f>
      </x:c>
      <x:c r="X50" s="167" t="str">
        <x:f>IF(AND(X$6&lt;=$H50,X$6+6&gt;=$G50),1,"")</x:f>
      </x:c>
      <x:c r="Y50" s="167" t="str">
        <x:f>IF(AND(Y$6&lt;=$H50,Y$6+6&gt;=$G50),1,"")</x:f>
      </x:c>
      <x:c r="Z50" s="167" t="str">
        <x:f>IF(AND(Z$6&lt;=$H50,Z$6+6&gt;=$G50),1,"")</x:f>
      </x:c>
      <x:c r="AA50" s="167" t="str">
        <x:f>IF(AND(AA$6&lt;=$H50,AA$6+6&gt;=$G50),1,"")</x:f>
      </x:c>
      <x:c r="AB50" s="167" t="str">
        <x:f>IF(AND(AB$6&lt;=$H50,AB$6+6&gt;=$G50),1,"")</x:f>
      </x:c>
      <x:c r="AC50" s="167" t="str">
        <x:f>IF(AND(AC$6&lt;=$H50,AC$6+6&gt;=$G50),1,"")</x:f>
      </x:c>
      <x:c r="AD50" s="167" t="str">
        <x:f>IF(AND(AD$6&lt;=$H50,AD$6+6&gt;=$G50),1,"")</x:f>
      </x:c>
      <x:c r="AE50" s="167" t="str">
        <x:f>IF(AND(AE$6&lt;=$H50,AE$6+6&gt;=$G50),1,"")</x:f>
      </x:c>
      <x:c r="AF50" s="167" t="str">
        <x:f>IF(AND(AF$6&lt;=$H50,AF$6+6&gt;=$G50),1,"")</x:f>
      </x:c>
      <x:c r="AG50" s="167" t="n">
        <x:f>IF(AND(AG$6&lt;=$H50,AG$6+6&gt;=$G50),1,"")</x:f>
        <x:v>1</x:v>
      </x:c>
      <x:c r="AH50" s="167" t="str">
        <x:f>IF(AND(AH$6&lt;=$H50,AH$6+6&gt;=$G50),1,"")</x:f>
      </x:c>
      <x:c r="AI50" s="167" t="str">
        <x:f>IF(AND(AI$6&lt;=$H50,AI$6+6&gt;=$G50),1,"")</x:f>
      </x:c>
      <x:c r="AJ50" s="167" t="str">
        <x:f>IF(AND(AJ$6&lt;=$H50,AJ$6+6&gt;=$G50),1,"")</x:f>
      </x:c>
      <x:c r="AK50" s="167" t="str">
        <x:f>IF(AND(AK$6&lt;=$H50,AK$6+6&gt;=$G50),1,"")</x:f>
      </x:c>
      <x:c r="AL50" s="167" t="str">
        <x:f>IF(AND(AL$6&lt;=$H50,AL$6+6&gt;=$G50),1,"")</x:f>
      </x:c>
      <x:c r="AM50" s="167" t="str">
        <x:f>IF(AND(AM$6&lt;=$H50,AM$6+6&gt;=$G50),1,"")</x:f>
      </x:c>
      <x:c r="AN50" s="167" t="str">
        <x:f>IF(AND(AN$6&lt;=$H50,AN$6+6&gt;=$G50),1,"")</x:f>
      </x:c>
      <x:c r="AO50" s="167" t="str">
        <x:f>IF(AND(AO$6&lt;=$H50,AO$6+6&gt;=$G50),1,"")</x:f>
      </x:c>
      <x:c r="AP50" s="167" t="str">
        <x:f>IF(AND(AP$6&lt;=$H50,AP$6+6&gt;=$G50),1,"")</x:f>
      </x:c>
      <x:c r="AQ50" s="167" t="str">
        <x:f>IF(AND(AQ$6&lt;=$H50,AQ$6+6&gt;=$G50),1,"")</x:f>
      </x:c>
      <x:c r="AR50" s="167" t="str">
        <x:f>IF(AND(AR$6&lt;=$H50,AR$6+6&gt;=$G50),1,"")</x:f>
      </x:c>
      <x:c r="AS50" s="167" t="str">
        <x:f>IF(AND(AS$6&lt;=$H50,AS$6+6&gt;=$G50),1,"")</x:f>
      </x:c>
      <x:c r="AT50" s="167" t="str">
        <x:f>IF(AND(AT$6&lt;=$H50,AT$6+6&gt;=$G50),1,"")</x:f>
      </x:c>
      <x:c r="AU50" s="167" t="str">
        <x:f>IF(AND(AU$6&lt;=$H50,AU$6+6&gt;=$G50),1,"")</x:f>
      </x:c>
      <x:c r="AV50" s="167" t="str">
        <x:f>IF(AND(AV$6&lt;=$H50,AV$6+6&gt;=$G50),1,"")</x:f>
      </x:c>
      <x:c r="AW50" s="167" t="str">
        <x:f>IF(AND(AW$6&lt;=$H50,AW$6+6&gt;=$G50),1,"")</x:f>
      </x:c>
      <x:c r="AX50" s="167" t="str">
        <x:f>IF(AND(AX$6&lt;=$H50,AX$6+6&gt;=$G50),1,"")</x:f>
      </x:c>
      <x:c r="AY50" s="167" t="str">
        <x:f>IF(AND(AY$6&lt;=$H50,AY$6+6&gt;=$G50),1,"")</x:f>
      </x:c>
      <x:c r="AZ50" s="167" t="str">
        <x:f>IF(AND(AZ$6&lt;=$H50,AZ$6+6&gt;=$G50),1,"")</x:f>
      </x:c>
      <x:c r="BA50" s="167" t="str">
        <x:f>IF(AND(BA$6&lt;=$H50,BA$6+6&gt;=$G50),1,"")</x:f>
      </x:c>
      <x:c r="BB50" s="167" t="str">
        <x:f>IF(AND(BB$6&lt;=$H50,BB$6+6&gt;=$G50),1,"")</x:f>
      </x:c>
      <x:c r="BC50" s="167" t="str">
        <x:f>IF(AND(BC$6&lt;=$H50,BC$6+6&gt;=$G50),1,"")</x:f>
      </x:c>
      <x:c r="BD50" s="167" t="str">
        <x:f>IF(AND(BD$6&lt;=$H50,BD$6+6&gt;=$G50),1,"")</x:f>
      </x:c>
      <x:c r="BE50" s="167" t="str">
        <x:f>IF(AND(BE$6&lt;=$H50,BE$6+6&gt;=$G50),1,"")</x:f>
      </x:c>
      <x:c r="BF50" s="167" t="str">
        <x:f>IF(AND(BF$6&lt;=$H50,BF$6+6&gt;=$G50),1,"")</x:f>
      </x:c>
      <x:c r="BG50" s="167" t="str">
        <x:f>IF(AND(BG$6&lt;=$H50,BG$6+6&gt;=$G50),1,"")</x:f>
      </x:c>
      <x:c r="BH50" s="167" t="str">
        <x:f>IF(AND(BH$6&lt;=$H50,BH$6+6&gt;=$G50),1,"")</x:f>
      </x:c>
      <x:c r="BI50" s="167" t="str">
        <x:f>IF(AND(BI$6&lt;=$H50,BI$6+6&gt;=$G50),1,"")</x:f>
      </x:c>
      <x:c r="BJ50" s="167" t="str">
        <x:f>IF(AND(BJ$6&lt;=$H50,BJ$6+6&gt;=$G50),1,"")</x:f>
      </x:c>
      <x:c r="BK50" s="168" t="str">
        <x:f>IF(AND(BK$6&lt;=$H50,BK$6+6&gt;=$G50),1,"")</x:f>
      </x:c>
    </x:row>
    <x:row r="51" ht="24" customHeight="1">
      <x:c r="A51" s="68" t="str">
        <x:f>'Research Tasks'!A49</x:f>
        <x:v>AI-308</x:v>
      </x:c>
      <x:c r="B51" s="68" t="str">
        <x:f>'Research Tasks'!B49</x:f>
        <x:v>M3</x:v>
      </x:c>
      <x:c r="C51" s="68" t="str">
        <x:f>'Research Tasks'!C49</x:f>
        <x:v>Embodied Active Inference</x:v>
      </x:c>
      <x:c r="D51" s="68" t="str">
        <x:f>'Research Tasks'!D49</x:f>
        <x:v>Formalize bodily viability and energy preferences</x:v>
      </x:c>
      <x:c r="E51" s="68" t="str">
        <x:f>'Research Tasks'!E49</x:f>
        <x:v>AI-105, AI-205, AI-305</x:v>
      </x:c>
      <x:c r="F51" s="68" t="str">
        <x:f>'Research Tasks'!F49</x:f>
        <x:v>Blocked</x:v>
      </x:c>
      <x:c r="G51" s="94" t="n">
        <x:f>'Research Tasks'!I49</x:f>
        <x:v>46408</x:v>
      </x:c>
      <x:c r="H51" s="94" t="n">
        <x:f>'Research Tasks'!J49</x:f>
        <x:v>46413</x:v>
      </x:c>
      <x:c r="I51" s="166" t="str">
        <x:f>IF(AND(I$6&lt;=$H51,I$6+6&gt;=$G51),1,"")</x:f>
      </x:c>
      <x:c r="J51" s="167" t="str">
        <x:f>IF(AND(J$6&lt;=$H51,J$6+6&gt;=$G51),1,"")</x:f>
      </x:c>
      <x:c r="K51" s="167" t="str">
        <x:f>IF(AND(K$6&lt;=$H51,K$6+6&gt;=$G51),1,"")</x:f>
      </x:c>
      <x:c r="L51" s="167" t="str">
        <x:f>IF(AND(L$6&lt;=$H51,L$6+6&gt;=$G51),1,"")</x:f>
      </x:c>
      <x:c r="M51" s="167" t="str">
        <x:f>IF(AND(M$6&lt;=$H51,M$6+6&gt;=$G51),1,"")</x:f>
      </x:c>
      <x:c r="N51" s="167" t="str">
        <x:f>IF(AND(N$6&lt;=$H51,N$6+6&gt;=$G51),1,"")</x:f>
      </x:c>
      <x:c r="O51" s="167" t="str">
        <x:f>IF(AND(O$6&lt;=$H51,O$6+6&gt;=$G51),1,"")</x:f>
      </x:c>
      <x:c r="P51" s="167" t="str">
        <x:f>IF(AND(P$6&lt;=$H51,P$6+6&gt;=$G51),1,"")</x:f>
      </x:c>
      <x:c r="Q51" s="167" t="str">
        <x:f>IF(AND(Q$6&lt;=$H51,Q$6+6&gt;=$G51),1,"")</x:f>
      </x:c>
      <x:c r="R51" s="167" t="str">
        <x:f>IF(AND(R$6&lt;=$H51,R$6+6&gt;=$G51),1,"")</x:f>
      </x:c>
      <x:c r="S51" s="167" t="str">
        <x:f>IF(AND(S$6&lt;=$H51,S$6+6&gt;=$G51),1,"")</x:f>
      </x:c>
      <x:c r="T51" s="167" t="str">
        <x:f>IF(AND(T$6&lt;=$H51,T$6+6&gt;=$G51),1,"")</x:f>
      </x:c>
      <x:c r="U51" s="167" t="str">
        <x:f>IF(AND(U$6&lt;=$H51,U$6+6&gt;=$G51),1,"")</x:f>
      </x:c>
      <x:c r="V51" s="167" t="str">
        <x:f>IF(AND(V$6&lt;=$H51,V$6+6&gt;=$G51),1,"")</x:f>
      </x:c>
      <x:c r="W51" s="167" t="str">
        <x:f>IF(AND(W$6&lt;=$H51,W$6+6&gt;=$G51),1,"")</x:f>
      </x:c>
      <x:c r="X51" s="167" t="str">
        <x:f>IF(AND(X$6&lt;=$H51,X$6+6&gt;=$G51),1,"")</x:f>
      </x:c>
      <x:c r="Y51" s="167" t="str">
        <x:f>IF(AND(Y$6&lt;=$H51,Y$6+6&gt;=$G51),1,"")</x:f>
      </x:c>
      <x:c r="Z51" s="167" t="str">
        <x:f>IF(AND(Z$6&lt;=$H51,Z$6+6&gt;=$G51),1,"")</x:f>
      </x:c>
      <x:c r="AA51" s="167" t="str">
        <x:f>IF(AND(AA$6&lt;=$H51,AA$6+6&gt;=$G51),1,"")</x:f>
      </x:c>
      <x:c r="AB51" s="167" t="str">
        <x:f>IF(AND(AB$6&lt;=$H51,AB$6+6&gt;=$G51),1,"")</x:f>
      </x:c>
      <x:c r="AC51" s="167" t="str">
        <x:f>IF(AND(AC$6&lt;=$H51,AC$6+6&gt;=$G51),1,"")</x:f>
      </x:c>
      <x:c r="AD51" s="167" t="str">
        <x:f>IF(AND(AD$6&lt;=$H51,AD$6+6&gt;=$G51),1,"")</x:f>
      </x:c>
      <x:c r="AE51" s="167" t="str">
        <x:f>IF(AND(AE$6&lt;=$H51,AE$6+6&gt;=$G51),1,"")</x:f>
      </x:c>
      <x:c r="AF51" s="167" t="str">
        <x:f>IF(AND(AF$6&lt;=$H51,AF$6+6&gt;=$G51),1,"")</x:f>
      </x:c>
      <x:c r="AG51" s="167" t="n">
        <x:f>IF(AND(AG$6&lt;=$H51,AG$6+6&gt;=$G51),1,"")</x:f>
        <x:v>1</x:v>
      </x:c>
      <x:c r="AH51" s="167" t="n">
        <x:f>IF(AND(AH$6&lt;=$H51,AH$6+6&gt;=$G51),1,"")</x:f>
        <x:v>1</x:v>
      </x:c>
      <x:c r="AI51" s="167" t="str">
        <x:f>IF(AND(AI$6&lt;=$H51,AI$6+6&gt;=$G51),1,"")</x:f>
      </x:c>
      <x:c r="AJ51" s="167" t="str">
        <x:f>IF(AND(AJ$6&lt;=$H51,AJ$6+6&gt;=$G51),1,"")</x:f>
      </x:c>
      <x:c r="AK51" s="167" t="str">
        <x:f>IF(AND(AK$6&lt;=$H51,AK$6+6&gt;=$G51),1,"")</x:f>
      </x:c>
      <x:c r="AL51" s="167" t="str">
        <x:f>IF(AND(AL$6&lt;=$H51,AL$6+6&gt;=$G51),1,"")</x:f>
      </x:c>
      <x:c r="AM51" s="167" t="str">
        <x:f>IF(AND(AM$6&lt;=$H51,AM$6+6&gt;=$G51),1,"")</x:f>
      </x:c>
      <x:c r="AN51" s="167" t="str">
        <x:f>IF(AND(AN$6&lt;=$H51,AN$6+6&gt;=$G51),1,"")</x:f>
      </x:c>
      <x:c r="AO51" s="167" t="str">
        <x:f>IF(AND(AO$6&lt;=$H51,AO$6+6&gt;=$G51),1,"")</x:f>
      </x:c>
      <x:c r="AP51" s="167" t="str">
        <x:f>IF(AND(AP$6&lt;=$H51,AP$6+6&gt;=$G51),1,"")</x:f>
      </x:c>
      <x:c r="AQ51" s="167" t="str">
        <x:f>IF(AND(AQ$6&lt;=$H51,AQ$6+6&gt;=$G51),1,"")</x:f>
      </x:c>
      <x:c r="AR51" s="167" t="str">
        <x:f>IF(AND(AR$6&lt;=$H51,AR$6+6&gt;=$G51),1,"")</x:f>
      </x:c>
      <x:c r="AS51" s="167" t="str">
        <x:f>IF(AND(AS$6&lt;=$H51,AS$6+6&gt;=$G51),1,"")</x:f>
      </x:c>
      <x:c r="AT51" s="167" t="str">
        <x:f>IF(AND(AT$6&lt;=$H51,AT$6+6&gt;=$G51),1,"")</x:f>
      </x:c>
      <x:c r="AU51" s="167" t="str">
        <x:f>IF(AND(AU$6&lt;=$H51,AU$6+6&gt;=$G51),1,"")</x:f>
      </x:c>
      <x:c r="AV51" s="167" t="str">
        <x:f>IF(AND(AV$6&lt;=$H51,AV$6+6&gt;=$G51),1,"")</x:f>
      </x:c>
      <x:c r="AW51" s="167" t="str">
        <x:f>IF(AND(AW$6&lt;=$H51,AW$6+6&gt;=$G51),1,"")</x:f>
      </x:c>
      <x:c r="AX51" s="167" t="str">
        <x:f>IF(AND(AX$6&lt;=$H51,AX$6+6&gt;=$G51),1,"")</x:f>
      </x:c>
      <x:c r="AY51" s="167" t="str">
        <x:f>IF(AND(AY$6&lt;=$H51,AY$6+6&gt;=$G51),1,"")</x:f>
      </x:c>
      <x:c r="AZ51" s="167" t="str">
        <x:f>IF(AND(AZ$6&lt;=$H51,AZ$6+6&gt;=$G51),1,"")</x:f>
      </x:c>
      <x:c r="BA51" s="167" t="str">
        <x:f>IF(AND(BA$6&lt;=$H51,BA$6+6&gt;=$G51),1,"")</x:f>
      </x:c>
      <x:c r="BB51" s="167" t="str">
        <x:f>IF(AND(BB$6&lt;=$H51,BB$6+6&gt;=$G51),1,"")</x:f>
      </x:c>
      <x:c r="BC51" s="167" t="str">
        <x:f>IF(AND(BC$6&lt;=$H51,BC$6+6&gt;=$G51),1,"")</x:f>
      </x:c>
      <x:c r="BD51" s="167" t="str">
        <x:f>IF(AND(BD$6&lt;=$H51,BD$6+6&gt;=$G51),1,"")</x:f>
      </x:c>
      <x:c r="BE51" s="167" t="str">
        <x:f>IF(AND(BE$6&lt;=$H51,BE$6+6&gt;=$G51),1,"")</x:f>
      </x:c>
      <x:c r="BF51" s="167" t="str">
        <x:f>IF(AND(BF$6&lt;=$H51,BF$6+6&gt;=$G51),1,"")</x:f>
      </x:c>
      <x:c r="BG51" s="167" t="str">
        <x:f>IF(AND(BG$6&lt;=$H51,BG$6+6&gt;=$G51),1,"")</x:f>
      </x:c>
      <x:c r="BH51" s="167" t="str">
        <x:f>IF(AND(BH$6&lt;=$H51,BH$6+6&gt;=$G51),1,"")</x:f>
      </x:c>
      <x:c r="BI51" s="167" t="str">
        <x:f>IF(AND(BI$6&lt;=$H51,BI$6+6&gt;=$G51),1,"")</x:f>
      </x:c>
      <x:c r="BJ51" s="167" t="str">
        <x:f>IF(AND(BJ$6&lt;=$H51,BJ$6+6&gt;=$G51),1,"")</x:f>
      </x:c>
      <x:c r="BK51" s="168" t="str">
        <x:f>IF(AND(BK$6&lt;=$H51,BK$6+6&gt;=$G51),1,"")</x:f>
      </x:c>
    </x:row>
    <x:row r="52" ht="24" customHeight="1">
      <x:c r="A52" s="68" t="str">
        <x:f>'Research Tasks'!A50</x:f>
        <x:v>AI-309</x:v>
      </x:c>
      <x:c r="B52" s="68" t="str">
        <x:f>'Research Tasks'!B50</x:f>
        <x:v>M3</x:v>
      </x:c>
      <x:c r="C52" s="68" t="str">
        <x:f>'Research Tasks'!C50</x:f>
        <x:v>Active Inference/Validation</x:v>
      </x:c>
      <x:c r="D52" s="68" t="str">
        <x:f>'Research Tasks'!D50</x:f>
        <x:v>Test whether epistemic action is informative or pathological</x:v>
      </x:c>
      <x:c r="E52" s="68" t="str">
        <x:f>'Research Tasks'!E50</x:f>
        <x:v>AI-304, AI-308</x:v>
      </x:c>
      <x:c r="F52" s="68" t="str">
        <x:f>'Research Tasks'!F50</x:f>
        <x:v>Blocked</x:v>
      </x:c>
      <x:c r="G52" s="94" t="n">
        <x:f>'Research Tasks'!I50</x:f>
        <x:v>46414</x:v>
      </x:c>
      <x:c r="H52" s="94" t="n">
        <x:f>'Research Tasks'!J50</x:f>
        <x:v>46419</x:v>
      </x:c>
      <x:c r="I52" s="166" t="str">
        <x:f>IF(AND(I$6&lt;=$H52,I$6+6&gt;=$G52),1,"")</x:f>
      </x:c>
      <x:c r="J52" s="167" t="str">
        <x:f>IF(AND(J$6&lt;=$H52,J$6+6&gt;=$G52),1,"")</x:f>
      </x:c>
      <x:c r="K52" s="167" t="str">
        <x:f>IF(AND(K$6&lt;=$H52,K$6+6&gt;=$G52),1,"")</x:f>
      </x:c>
      <x:c r="L52" s="167" t="str">
        <x:f>IF(AND(L$6&lt;=$H52,L$6+6&gt;=$G52),1,"")</x:f>
      </x:c>
      <x:c r="M52" s="167" t="str">
        <x:f>IF(AND(M$6&lt;=$H52,M$6+6&gt;=$G52),1,"")</x:f>
      </x:c>
      <x:c r="N52" s="167" t="str">
        <x:f>IF(AND(N$6&lt;=$H52,N$6+6&gt;=$G52),1,"")</x:f>
      </x:c>
      <x:c r="O52" s="167" t="str">
        <x:f>IF(AND(O$6&lt;=$H52,O$6+6&gt;=$G52),1,"")</x:f>
      </x:c>
      <x:c r="P52" s="167" t="str">
        <x:f>IF(AND(P$6&lt;=$H52,P$6+6&gt;=$G52),1,"")</x:f>
      </x:c>
      <x:c r="Q52" s="167" t="str">
        <x:f>IF(AND(Q$6&lt;=$H52,Q$6+6&gt;=$G52),1,"")</x:f>
      </x:c>
      <x:c r="R52" s="167" t="str">
        <x:f>IF(AND(R$6&lt;=$H52,R$6+6&gt;=$G52),1,"")</x:f>
      </x:c>
      <x:c r="S52" s="167" t="str">
        <x:f>IF(AND(S$6&lt;=$H52,S$6+6&gt;=$G52),1,"")</x:f>
      </x:c>
      <x:c r="T52" s="167" t="str">
        <x:f>IF(AND(T$6&lt;=$H52,T$6+6&gt;=$G52),1,"")</x:f>
      </x:c>
      <x:c r="U52" s="167" t="str">
        <x:f>IF(AND(U$6&lt;=$H52,U$6+6&gt;=$G52),1,"")</x:f>
      </x:c>
      <x:c r="V52" s="167" t="str">
        <x:f>IF(AND(V$6&lt;=$H52,V$6+6&gt;=$G52),1,"")</x:f>
      </x:c>
      <x:c r="W52" s="167" t="str">
        <x:f>IF(AND(W$6&lt;=$H52,W$6+6&gt;=$G52),1,"")</x:f>
      </x:c>
      <x:c r="X52" s="167" t="str">
        <x:f>IF(AND(X$6&lt;=$H52,X$6+6&gt;=$G52),1,"")</x:f>
      </x:c>
      <x:c r="Y52" s="167" t="str">
        <x:f>IF(AND(Y$6&lt;=$H52,Y$6+6&gt;=$G52),1,"")</x:f>
      </x:c>
      <x:c r="Z52" s="167" t="str">
        <x:f>IF(AND(Z$6&lt;=$H52,Z$6+6&gt;=$G52),1,"")</x:f>
      </x:c>
      <x:c r="AA52" s="167" t="str">
        <x:f>IF(AND(AA$6&lt;=$H52,AA$6+6&gt;=$G52),1,"")</x:f>
      </x:c>
      <x:c r="AB52" s="167" t="str">
        <x:f>IF(AND(AB$6&lt;=$H52,AB$6+6&gt;=$G52),1,"")</x:f>
      </x:c>
      <x:c r="AC52" s="167" t="str">
        <x:f>IF(AND(AC$6&lt;=$H52,AC$6+6&gt;=$G52),1,"")</x:f>
      </x:c>
      <x:c r="AD52" s="167" t="str">
        <x:f>IF(AND(AD$6&lt;=$H52,AD$6+6&gt;=$G52),1,"")</x:f>
      </x:c>
      <x:c r="AE52" s="167" t="str">
        <x:f>IF(AND(AE$6&lt;=$H52,AE$6+6&gt;=$G52),1,"")</x:f>
      </x:c>
      <x:c r="AF52" s="167" t="str">
        <x:f>IF(AND(AF$6&lt;=$H52,AF$6+6&gt;=$G52),1,"")</x:f>
      </x:c>
      <x:c r="AG52" s="167" t="str">
        <x:f>IF(AND(AG$6&lt;=$H52,AG$6+6&gt;=$G52),1,"")</x:f>
      </x:c>
      <x:c r="AH52" s="167" t="n">
        <x:f>IF(AND(AH$6&lt;=$H52,AH$6+6&gt;=$G52),1,"")</x:f>
        <x:v>1</x:v>
      </x:c>
      <x:c r="AI52" s="167" t="n">
        <x:f>IF(AND(AI$6&lt;=$H52,AI$6+6&gt;=$G52),1,"")</x:f>
        <x:v>1</x:v>
      </x:c>
      <x:c r="AJ52" s="167" t="str">
        <x:f>IF(AND(AJ$6&lt;=$H52,AJ$6+6&gt;=$G52),1,"")</x:f>
      </x:c>
      <x:c r="AK52" s="167" t="str">
        <x:f>IF(AND(AK$6&lt;=$H52,AK$6+6&gt;=$G52),1,"")</x:f>
      </x:c>
      <x:c r="AL52" s="167" t="str">
        <x:f>IF(AND(AL$6&lt;=$H52,AL$6+6&gt;=$G52),1,"")</x:f>
      </x:c>
      <x:c r="AM52" s="167" t="str">
        <x:f>IF(AND(AM$6&lt;=$H52,AM$6+6&gt;=$G52),1,"")</x:f>
      </x:c>
      <x:c r="AN52" s="167" t="str">
        <x:f>IF(AND(AN$6&lt;=$H52,AN$6+6&gt;=$G52),1,"")</x:f>
      </x:c>
      <x:c r="AO52" s="167" t="str">
        <x:f>IF(AND(AO$6&lt;=$H52,AO$6+6&gt;=$G52),1,"")</x:f>
      </x:c>
      <x:c r="AP52" s="167" t="str">
        <x:f>IF(AND(AP$6&lt;=$H52,AP$6+6&gt;=$G52),1,"")</x:f>
      </x:c>
      <x:c r="AQ52" s="167" t="str">
        <x:f>IF(AND(AQ$6&lt;=$H52,AQ$6+6&gt;=$G52),1,"")</x:f>
      </x:c>
      <x:c r="AR52" s="167" t="str">
        <x:f>IF(AND(AR$6&lt;=$H52,AR$6+6&gt;=$G52),1,"")</x:f>
      </x:c>
      <x:c r="AS52" s="167" t="str">
        <x:f>IF(AND(AS$6&lt;=$H52,AS$6+6&gt;=$G52),1,"")</x:f>
      </x:c>
      <x:c r="AT52" s="167" t="str">
        <x:f>IF(AND(AT$6&lt;=$H52,AT$6+6&gt;=$G52),1,"")</x:f>
      </x:c>
      <x:c r="AU52" s="167" t="str">
        <x:f>IF(AND(AU$6&lt;=$H52,AU$6+6&gt;=$G52),1,"")</x:f>
      </x:c>
      <x:c r="AV52" s="167" t="str">
        <x:f>IF(AND(AV$6&lt;=$H52,AV$6+6&gt;=$G52),1,"")</x:f>
      </x:c>
      <x:c r="AW52" s="167" t="str">
        <x:f>IF(AND(AW$6&lt;=$H52,AW$6+6&gt;=$G52),1,"")</x:f>
      </x:c>
      <x:c r="AX52" s="167" t="str">
        <x:f>IF(AND(AX$6&lt;=$H52,AX$6+6&gt;=$G52),1,"")</x:f>
      </x:c>
      <x:c r="AY52" s="167" t="str">
        <x:f>IF(AND(AY$6&lt;=$H52,AY$6+6&gt;=$G52),1,"")</x:f>
      </x:c>
      <x:c r="AZ52" s="167" t="str">
        <x:f>IF(AND(AZ$6&lt;=$H52,AZ$6+6&gt;=$G52),1,"")</x:f>
      </x:c>
      <x:c r="BA52" s="167" t="str">
        <x:f>IF(AND(BA$6&lt;=$H52,BA$6+6&gt;=$G52),1,"")</x:f>
      </x:c>
      <x:c r="BB52" s="167" t="str">
        <x:f>IF(AND(BB$6&lt;=$H52,BB$6+6&gt;=$G52),1,"")</x:f>
      </x:c>
      <x:c r="BC52" s="167" t="str">
        <x:f>IF(AND(BC$6&lt;=$H52,BC$6+6&gt;=$G52),1,"")</x:f>
      </x:c>
      <x:c r="BD52" s="167" t="str">
        <x:f>IF(AND(BD$6&lt;=$H52,BD$6+6&gt;=$G52),1,"")</x:f>
      </x:c>
      <x:c r="BE52" s="167" t="str">
        <x:f>IF(AND(BE$6&lt;=$H52,BE$6+6&gt;=$G52),1,"")</x:f>
      </x:c>
      <x:c r="BF52" s="167" t="str">
        <x:f>IF(AND(BF$6&lt;=$H52,BF$6+6&gt;=$G52),1,"")</x:f>
      </x:c>
      <x:c r="BG52" s="167" t="str">
        <x:f>IF(AND(BG$6&lt;=$H52,BG$6+6&gt;=$G52),1,"")</x:f>
      </x:c>
      <x:c r="BH52" s="167" t="str">
        <x:f>IF(AND(BH$6&lt;=$H52,BH$6+6&gt;=$G52),1,"")</x:f>
      </x:c>
      <x:c r="BI52" s="167" t="str">
        <x:f>IF(AND(BI$6&lt;=$H52,BI$6+6&gt;=$G52),1,"")</x:f>
      </x:c>
      <x:c r="BJ52" s="167" t="str">
        <x:f>IF(AND(BJ$6&lt;=$H52,BJ$6+6&gt;=$G52),1,"")</x:f>
      </x:c>
      <x:c r="BK52" s="168" t="str">
        <x:f>IF(AND(BK$6&lt;=$H52,BK$6+6&gt;=$G52),1,"")</x:f>
      </x:c>
    </x:row>
    <x:row r="53" ht="24" customHeight="1">
      <x:c r="A53" s="68" t="str">
        <x:f>'Research Tasks'!A51</x:f>
        <x:v>AI-310</x:v>
      </x:c>
      <x:c r="B53" s="68" t="str">
        <x:f>'Research Tasks'!B51</x:f>
        <x:v>M3</x:v>
      </x:c>
      <x:c r="C53" s="68" t="str">
        <x:f>'Research Tasks'!C51</x:f>
        <x:v>Hierarchical Inference/Validation</x:v>
      </x:c>
      <x:c r="D53" s="68" t="str">
        <x:f>'Research Tasks'!D51</x:f>
        <x:v>Make passage and painting timescales causally testable</x:v>
      </x:c>
      <x:c r="E53" s="68" t="str">
        <x:f>'Research Tasks'!E51</x:f>
        <x:v>AI-210, AI-305</x:v>
      </x:c>
      <x:c r="F53" s="68" t="str">
        <x:f>'Research Tasks'!F51</x:f>
        <x:v>Blocked</x:v>
      </x:c>
      <x:c r="G53" s="94" t="n">
        <x:f>'Research Tasks'!I51</x:f>
        <x:v>46420</x:v>
      </x:c>
      <x:c r="H53" s="94" t="n">
        <x:f>'Research Tasks'!J51</x:f>
        <x:v>46423</x:v>
      </x:c>
      <x:c r="I53" s="166" t="str">
        <x:f>IF(AND(I$6&lt;=$H53,I$6+6&gt;=$G53),1,"")</x:f>
      </x:c>
      <x:c r="J53" s="167" t="str">
        <x:f>IF(AND(J$6&lt;=$H53,J$6+6&gt;=$G53),1,"")</x:f>
      </x:c>
      <x:c r="K53" s="167" t="str">
        <x:f>IF(AND(K$6&lt;=$H53,K$6+6&gt;=$G53),1,"")</x:f>
      </x:c>
      <x:c r="L53" s="167" t="str">
        <x:f>IF(AND(L$6&lt;=$H53,L$6+6&gt;=$G53),1,"")</x:f>
      </x:c>
      <x:c r="M53" s="167" t="str">
        <x:f>IF(AND(M$6&lt;=$H53,M$6+6&gt;=$G53),1,"")</x:f>
      </x:c>
      <x:c r="N53" s="167" t="str">
        <x:f>IF(AND(N$6&lt;=$H53,N$6+6&gt;=$G53),1,"")</x:f>
      </x:c>
      <x:c r="O53" s="167" t="str">
        <x:f>IF(AND(O$6&lt;=$H53,O$6+6&gt;=$G53),1,"")</x:f>
      </x:c>
      <x:c r="P53" s="167" t="str">
        <x:f>IF(AND(P$6&lt;=$H53,P$6+6&gt;=$G53),1,"")</x:f>
      </x:c>
      <x:c r="Q53" s="167" t="str">
        <x:f>IF(AND(Q$6&lt;=$H53,Q$6+6&gt;=$G53),1,"")</x:f>
      </x:c>
      <x:c r="R53" s="167" t="str">
        <x:f>IF(AND(R$6&lt;=$H53,R$6+6&gt;=$G53),1,"")</x:f>
      </x:c>
      <x:c r="S53" s="167" t="str">
        <x:f>IF(AND(S$6&lt;=$H53,S$6+6&gt;=$G53),1,"")</x:f>
      </x:c>
      <x:c r="T53" s="167" t="str">
        <x:f>IF(AND(T$6&lt;=$H53,T$6+6&gt;=$G53),1,"")</x:f>
      </x:c>
      <x:c r="U53" s="167" t="str">
        <x:f>IF(AND(U$6&lt;=$H53,U$6+6&gt;=$G53),1,"")</x:f>
      </x:c>
      <x:c r="V53" s="167" t="str">
        <x:f>IF(AND(V$6&lt;=$H53,V$6+6&gt;=$G53),1,"")</x:f>
      </x:c>
      <x:c r="W53" s="167" t="str">
        <x:f>IF(AND(W$6&lt;=$H53,W$6+6&gt;=$G53),1,"")</x:f>
      </x:c>
      <x:c r="X53" s="167" t="str">
        <x:f>IF(AND(X$6&lt;=$H53,X$6+6&gt;=$G53),1,"")</x:f>
      </x:c>
      <x:c r="Y53" s="167" t="str">
        <x:f>IF(AND(Y$6&lt;=$H53,Y$6+6&gt;=$G53),1,"")</x:f>
      </x:c>
      <x:c r="Z53" s="167" t="str">
        <x:f>IF(AND(Z$6&lt;=$H53,Z$6+6&gt;=$G53),1,"")</x:f>
      </x:c>
      <x:c r="AA53" s="167" t="str">
        <x:f>IF(AND(AA$6&lt;=$H53,AA$6+6&gt;=$G53),1,"")</x:f>
      </x:c>
      <x:c r="AB53" s="167" t="str">
        <x:f>IF(AND(AB$6&lt;=$H53,AB$6+6&gt;=$G53),1,"")</x:f>
      </x:c>
      <x:c r="AC53" s="167" t="str">
        <x:f>IF(AND(AC$6&lt;=$H53,AC$6+6&gt;=$G53),1,"")</x:f>
      </x:c>
      <x:c r="AD53" s="167" t="str">
        <x:f>IF(AND(AD$6&lt;=$H53,AD$6+6&gt;=$G53),1,"")</x:f>
      </x:c>
      <x:c r="AE53" s="167" t="str">
        <x:f>IF(AND(AE$6&lt;=$H53,AE$6+6&gt;=$G53),1,"")</x:f>
      </x:c>
      <x:c r="AF53" s="167" t="str">
        <x:f>IF(AND(AF$6&lt;=$H53,AF$6+6&gt;=$G53),1,"")</x:f>
      </x:c>
      <x:c r="AG53" s="167" t="str">
        <x:f>IF(AND(AG$6&lt;=$H53,AG$6+6&gt;=$G53),1,"")</x:f>
      </x:c>
      <x:c r="AH53" s="167" t="str">
        <x:f>IF(AND(AH$6&lt;=$H53,AH$6+6&gt;=$G53),1,"")</x:f>
      </x:c>
      <x:c r="AI53" s="167" t="n">
        <x:f>IF(AND(AI$6&lt;=$H53,AI$6+6&gt;=$G53),1,"")</x:f>
        <x:v>1</x:v>
      </x:c>
      <x:c r="AJ53" s="167" t="str">
        <x:f>IF(AND(AJ$6&lt;=$H53,AJ$6+6&gt;=$G53),1,"")</x:f>
      </x:c>
      <x:c r="AK53" s="167" t="str">
        <x:f>IF(AND(AK$6&lt;=$H53,AK$6+6&gt;=$G53),1,"")</x:f>
      </x:c>
      <x:c r="AL53" s="167" t="str">
        <x:f>IF(AND(AL$6&lt;=$H53,AL$6+6&gt;=$G53),1,"")</x:f>
      </x:c>
      <x:c r="AM53" s="167" t="str">
        <x:f>IF(AND(AM$6&lt;=$H53,AM$6+6&gt;=$G53),1,"")</x:f>
      </x:c>
      <x:c r="AN53" s="167" t="str">
        <x:f>IF(AND(AN$6&lt;=$H53,AN$6+6&gt;=$G53),1,"")</x:f>
      </x:c>
      <x:c r="AO53" s="167" t="str">
        <x:f>IF(AND(AO$6&lt;=$H53,AO$6+6&gt;=$G53),1,"")</x:f>
      </x:c>
      <x:c r="AP53" s="167" t="str">
        <x:f>IF(AND(AP$6&lt;=$H53,AP$6+6&gt;=$G53),1,"")</x:f>
      </x:c>
      <x:c r="AQ53" s="167" t="str">
        <x:f>IF(AND(AQ$6&lt;=$H53,AQ$6+6&gt;=$G53),1,"")</x:f>
      </x:c>
      <x:c r="AR53" s="167" t="str">
        <x:f>IF(AND(AR$6&lt;=$H53,AR$6+6&gt;=$G53),1,"")</x:f>
      </x:c>
      <x:c r="AS53" s="167" t="str">
        <x:f>IF(AND(AS$6&lt;=$H53,AS$6+6&gt;=$G53),1,"")</x:f>
      </x:c>
      <x:c r="AT53" s="167" t="str">
        <x:f>IF(AND(AT$6&lt;=$H53,AT$6+6&gt;=$G53),1,"")</x:f>
      </x:c>
      <x:c r="AU53" s="167" t="str">
        <x:f>IF(AND(AU$6&lt;=$H53,AU$6+6&gt;=$G53),1,"")</x:f>
      </x:c>
      <x:c r="AV53" s="167" t="str">
        <x:f>IF(AND(AV$6&lt;=$H53,AV$6+6&gt;=$G53),1,"")</x:f>
      </x:c>
      <x:c r="AW53" s="167" t="str">
        <x:f>IF(AND(AW$6&lt;=$H53,AW$6+6&gt;=$G53),1,"")</x:f>
      </x:c>
      <x:c r="AX53" s="167" t="str">
        <x:f>IF(AND(AX$6&lt;=$H53,AX$6+6&gt;=$G53),1,"")</x:f>
      </x:c>
      <x:c r="AY53" s="167" t="str">
        <x:f>IF(AND(AY$6&lt;=$H53,AY$6+6&gt;=$G53),1,"")</x:f>
      </x:c>
      <x:c r="AZ53" s="167" t="str">
        <x:f>IF(AND(AZ$6&lt;=$H53,AZ$6+6&gt;=$G53),1,"")</x:f>
      </x:c>
      <x:c r="BA53" s="167" t="str">
        <x:f>IF(AND(BA$6&lt;=$H53,BA$6+6&gt;=$G53),1,"")</x:f>
      </x:c>
      <x:c r="BB53" s="167" t="str">
        <x:f>IF(AND(BB$6&lt;=$H53,BB$6+6&gt;=$G53),1,"")</x:f>
      </x:c>
      <x:c r="BC53" s="167" t="str">
        <x:f>IF(AND(BC$6&lt;=$H53,BC$6+6&gt;=$G53),1,"")</x:f>
      </x:c>
      <x:c r="BD53" s="167" t="str">
        <x:f>IF(AND(BD$6&lt;=$H53,BD$6+6&gt;=$G53),1,"")</x:f>
      </x:c>
      <x:c r="BE53" s="167" t="str">
        <x:f>IF(AND(BE$6&lt;=$H53,BE$6+6&gt;=$G53),1,"")</x:f>
      </x:c>
      <x:c r="BF53" s="167" t="str">
        <x:f>IF(AND(BF$6&lt;=$H53,BF$6+6&gt;=$G53),1,"")</x:f>
      </x:c>
      <x:c r="BG53" s="167" t="str">
        <x:f>IF(AND(BG$6&lt;=$H53,BG$6+6&gt;=$G53),1,"")</x:f>
      </x:c>
      <x:c r="BH53" s="167" t="str">
        <x:f>IF(AND(BH$6&lt;=$H53,BH$6+6&gt;=$G53),1,"")</x:f>
      </x:c>
      <x:c r="BI53" s="167" t="str">
        <x:f>IF(AND(BI$6&lt;=$H53,BI$6+6&gt;=$G53),1,"")</x:f>
      </x:c>
      <x:c r="BJ53" s="167" t="str">
        <x:f>IF(AND(BJ$6&lt;=$H53,BJ$6+6&gt;=$G53),1,"")</x:f>
      </x:c>
      <x:c r="BK53" s="168" t="str">
        <x:f>IF(AND(BK$6&lt;=$H53,BK$6+6&gt;=$G53),1,"")</x:f>
      </x:c>
    </x:row>
    <x:row r="54" ht="24" customHeight="1">
      <x:c r="A54" s="68" t="str">
        <x:f>'Research Tasks'!A52</x:f>
        <x:v>AI-311</x:v>
      </x:c>
      <x:c r="B54" s="68" t="str">
        <x:f>'Research Tasks'!B52</x:f>
        <x:v>M3</x:v>
      </x:c>
      <x:c r="C54" s="68" t="str">
        <x:f>'Research Tasks'!C52</x:f>
        <x:v>Performance/Inference</x:v>
      </x:c>
      <x:c r="D54" s="68" t="str">
        <x:f>'Research Tasks'!D52</x:f>
        <x:v>Parallelize counterfactual rollout without changing the agent</x:v>
      </x:c>
      <x:c r="E54" s="68" t="str">
        <x:f>'Research Tasks'!E52</x:f>
        <x:v>AI-113, AI-206, AI-305</x:v>
      </x:c>
      <x:c r="F54" s="68" t="str">
        <x:f>'Research Tasks'!F52</x:f>
        <x:v>Blocked</x:v>
      </x:c>
      <x:c r="G54" s="94" t="n">
        <x:f>'Research Tasks'!I52</x:f>
        <x:v>46426</x:v>
      </x:c>
      <x:c r="H54" s="94" t="n">
        <x:f>'Research Tasks'!J52</x:f>
        <x:v>46430</x:v>
      </x:c>
      <x:c r="I54" s="166" t="str">
        <x:f>IF(AND(I$6&lt;=$H54,I$6+6&gt;=$G54),1,"")</x:f>
      </x:c>
      <x:c r="J54" s="167" t="str">
        <x:f>IF(AND(J$6&lt;=$H54,J$6+6&gt;=$G54),1,"")</x:f>
      </x:c>
      <x:c r="K54" s="167" t="str">
        <x:f>IF(AND(K$6&lt;=$H54,K$6+6&gt;=$G54),1,"")</x:f>
      </x:c>
      <x:c r="L54" s="167" t="str">
        <x:f>IF(AND(L$6&lt;=$H54,L$6+6&gt;=$G54),1,"")</x:f>
      </x:c>
      <x:c r="M54" s="167" t="str">
        <x:f>IF(AND(M$6&lt;=$H54,M$6+6&gt;=$G54),1,"")</x:f>
      </x:c>
      <x:c r="N54" s="167" t="str">
        <x:f>IF(AND(N$6&lt;=$H54,N$6+6&gt;=$G54),1,"")</x:f>
      </x:c>
      <x:c r="O54" s="167" t="str">
        <x:f>IF(AND(O$6&lt;=$H54,O$6+6&gt;=$G54),1,"")</x:f>
      </x:c>
      <x:c r="P54" s="167" t="str">
        <x:f>IF(AND(P$6&lt;=$H54,P$6+6&gt;=$G54),1,"")</x:f>
      </x:c>
      <x:c r="Q54" s="167" t="str">
        <x:f>IF(AND(Q$6&lt;=$H54,Q$6+6&gt;=$G54),1,"")</x:f>
      </x:c>
      <x:c r="R54" s="167" t="str">
        <x:f>IF(AND(R$6&lt;=$H54,R$6+6&gt;=$G54),1,"")</x:f>
      </x:c>
      <x:c r="S54" s="167" t="str">
        <x:f>IF(AND(S$6&lt;=$H54,S$6+6&gt;=$G54),1,"")</x:f>
      </x:c>
      <x:c r="T54" s="167" t="str">
        <x:f>IF(AND(T$6&lt;=$H54,T$6+6&gt;=$G54),1,"")</x:f>
      </x:c>
      <x:c r="U54" s="167" t="str">
        <x:f>IF(AND(U$6&lt;=$H54,U$6+6&gt;=$G54),1,"")</x:f>
      </x:c>
      <x:c r="V54" s="167" t="str">
        <x:f>IF(AND(V$6&lt;=$H54,V$6+6&gt;=$G54),1,"")</x:f>
      </x:c>
      <x:c r="W54" s="167" t="str">
        <x:f>IF(AND(W$6&lt;=$H54,W$6+6&gt;=$G54),1,"")</x:f>
      </x:c>
      <x:c r="X54" s="167" t="str">
        <x:f>IF(AND(X$6&lt;=$H54,X$6+6&gt;=$G54),1,"")</x:f>
      </x:c>
      <x:c r="Y54" s="167" t="str">
        <x:f>IF(AND(Y$6&lt;=$H54,Y$6+6&gt;=$G54),1,"")</x:f>
      </x:c>
      <x:c r="Z54" s="167" t="str">
        <x:f>IF(AND(Z$6&lt;=$H54,Z$6+6&gt;=$G54),1,"")</x:f>
      </x:c>
      <x:c r="AA54" s="167" t="str">
        <x:f>IF(AND(AA$6&lt;=$H54,AA$6+6&gt;=$G54),1,"")</x:f>
      </x:c>
      <x:c r="AB54" s="167" t="str">
        <x:f>IF(AND(AB$6&lt;=$H54,AB$6+6&gt;=$G54),1,"")</x:f>
      </x:c>
      <x:c r="AC54" s="167" t="str">
        <x:f>IF(AND(AC$6&lt;=$H54,AC$6+6&gt;=$G54),1,"")</x:f>
      </x:c>
      <x:c r="AD54" s="167" t="str">
        <x:f>IF(AND(AD$6&lt;=$H54,AD$6+6&gt;=$G54),1,"")</x:f>
      </x:c>
      <x:c r="AE54" s="167" t="str">
        <x:f>IF(AND(AE$6&lt;=$H54,AE$6+6&gt;=$G54),1,"")</x:f>
      </x:c>
      <x:c r="AF54" s="167" t="str">
        <x:f>IF(AND(AF$6&lt;=$H54,AF$6+6&gt;=$G54),1,"")</x:f>
      </x:c>
      <x:c r="AG54" s="167" t="str">
        <x:f>IF(AND(AG$6&lt;=$H54,AG$6+6&gt;=$G54),1,"")</x:f>
      </x:c>
      <x:c r="AH54" s="167" t="str">
        <x:f>IF(AND(AH$6&lt;=$H54,AH$6+6&gt;=$G54),1,"")</x:f>
      </x:c>
      <x:c r="AI54" s="167" t="str">
        <x:f>IF(AND(AI$6&lt;=$H54,AI$6+6&gt;=$G54),1,"")</x:f>
      </x:c>
      <x:c r="AJ54" s="167" t="n">
        <x:f>IF(AND(AJ$6&lt;=$H54,AJ$6+6&gt;=$G54),1,"")</x:f>
        <x:v>1</x:v>
      </x:c>
      <x:c r="AK54" s="167" t="str">
        <x:f>IF(AND(AK$6&lt;=$H54,AK$6+6&gt;=$G54),1,"")</x:f>
      </x:c>
      <x:c r="AL54" s="167" t="str">
        <x:f>IF(AND(AL$6&lt;=$H54,AL$6+6&gt;=$G54),1,"")</x:f>
      </x:c>
      <x:c r="AM54" s="167" t="str">
        <x:f>IF(AND(AM$6&lt;=$H54,AM$6+6&gt;=$G54),1,"")</x:f>
      </x:c>
      <x:c r="AN54" s="167" t="str">
        <x:f>IF(AND(AN$6&lt;=$H54,AN$6+6&gt;=$G54),1,"")</x:f>
      </x:c>
      <x:c r="AO54" s="167" t="str">
        <x:f>IF(AND(AO$6&lt;=$H54,AO$6+6&gt;=$G54),1,"")</x:f>
      </x:c>
      <x:c r="AP54" s="167" t="str">
        <x:f>IF(AND(AP$6&lt;=$H54,AP$6+6&gt;=$G54),1,"")</x:f>
      </x:c>
      <x:c r="AQ54" s="167" t="str">
        <x:f>IF(AND(AQ$6&lt;=$H54,AQ$6+6&gt;=$G54),1,"")</x:f>
      </x:c>
      <x:c r="AR54" s="167" t="str">
        <x:f>IF(AND(AR$6&lt;=$H54,AR$6+6&gt;=$G54),1,"")</x:f>
      </x:c>
      <x:c r="AS54" s="167" t="str">
        <x:f>IF(AND(AS$6&lt;=$H54,AS$6+6&gt;=$G54),1,"")</x:f>
      </x:c>
      <x:c r="AT54" s="167" t="str">
        <x:f>IF(AND(AT$6&lt;=$H54,AT$6+6&gt;=$G54),1,"")</x:f>
      </x:c>
      <x:c r="AU54" s="167" t="str">
        <x:f>IF(AND(AU$6&lt;=$H54,AU$6+6&gt;=$G54),1,"")</x:f>
      </x:c>
      <x:c r="AV54" s="167" t="str">
        <x:f>IF(AND(AV$6&lt;=$H54,AV$6+6&gt;=$G54),1,"")</x:f>
      </x:c>
      <x:c r="AW54" s="167" t="str">
        <x:f>IF(AND(AW$6&lt;=$H54,AW$6+6&gt;=$G54),1,"")</x:f>
      </x:c>
      <x:c r="AX54" s="167" t="str">
        <x:f>IF(AND(AX$6&lt;=$H54,AX$6+6&gt;=$G54),1,"")</x:f>
      </x:c>
      <x:c r="AY54" s="167" t="str">
        <x:f>IF(AND(AY$6&lt;=$H54,AY$6+6&gt;=$G54),1,"")</x:f>
      </x:c>
      <x:c r="AZ54" s="167" t="str">
        <x:f>IF(AND(AZ$6&lt;=$H54,AZ$6+6&gt;=$G54),1,"")</x:f>
      </x:c>
      <x:c r="BA54" s="167" t="str">
        <x:f>IF(AND(BA$6&lt;=$H54,BA$6+6&gt;=$G54),1,"")</x:f>
      </x:c>
      <x:c r="BB54" s="167" t="str">
        <x:f>IF(AND(BB$6&lt;=$H54,BB$6+6&gt;=$G54),1,"")</x:f>
      </x:c>
      <x:c r="BC54" s="167" t="str">
        <x:f>IF(AND(BC$6&lt;=$H54,BC$6+6&gt;=$G54),1,"")</x:f>
      </x:c>
      <x:c r="BD54" s="167" t="str">
        <x:f>IF(AND(BD$6&lt;=$H54,BD$6+6&gt;=$G54),1,"")</x:f>
      </x:c>
      <x:c r="BE54" s="167" t="str">
        <x:f>IF(AND(BE$6&lt;=$H54,BE$6+6&gt;=$G54),1,"")</x:f>
      </x:c>
      <x:c r="BF54" s="167" t="str">
        <x:f>IF(AND(BF$6&lt;=$H54,BF$6+6&gt;=$G54),1,"")</x:f>
      </x:c>
      <x:c r="BG54" s="167" t="str">
        <x:f>IF(AND(BG$6&lt;=$H54,BG$6+6&gt;=$G54),1,"")</x:f>
      </x:c>
      <x:c r="BH54" s="167" t="str">
        <x:f>IF(AND(BH$6&lt;=$H54,BH$6+6&gt;=$G54),1,"")</x:f>
      </x:c>
      <x:c r="BI54" s="167" t="str">
        <x:f>IF(AND(BI$6&lt;=$H54,BI$6+6&gt;=$G54),1,"")</x:f>
      </x:c>
      <x:c r="BJ54" s="167" t="str">
        <x:f>IF(AND(BJ$6&lt;=$H54,BJ$6+6&gt;=$G54),1,"")</x:f>
      </x:c>
      <x:c r="BK54" s="168" t="str">
        <x:f>IF(AND(BK$6&lt;=$H54,BK$6+6&gt;=$G54),1,"")</x:f>
      </x:c>
    </x:row>
    <x:row r="55" ht="24" customHeight="1">
      <x:c r="A55" s="68" t="str">
        <x:f>'Research Tasks'!A53</x:f>
        <x:v>AI-312</x:v>
      </x:c>
      <x:c r="B55" s="68" t="str">
        <x:f>'Research Tasks'!B53</x:f>
        <x:v>M3</x:v>
      </x:c>
      <x:c r="C55" s="68" t="str">
        <x:f>'Research Tasks'!C53</x:f>
        <x:v>Research Design</x:v>
      </x:c>
      <x:c r="D55" s="68" t="str">
        <x:f>'Research Tasks'!D53</x:f>
        <x:v>Define the single-agent developmental protocol</x:v>
      </x:c>
      <x:c r="E55" s="68" t="str">
        <x:f>'Research Tasks'!E53</x:f>
        <x:v>AI-112, AI-212, AI-305</x:v>
      </x:c>
      <x:c r="F55" s="68" t="str">
        <x:f>'Research Tasks'!F53</x:f>
        <x:v>Blocked</x:v>
      </x:c>
      <x:c r="G55" s="94" t="n">
        <x:f>'Research Tasks'!I53</x:f>
        <x:v>46433</x:v>
      </x:c>
      <x:c r="H55" s="94" t="n">
        <x:f>'Research Tasks'!J53</x:f>
        <x:v>46434</x:v>
      </x:c>
      <x:c r="I55" s="166" t="str">
        <x:f>IF(AND(I$6&lt;=$H55,I$6+6&gt;=$G55),1,"")</x:f>
      </x:c>
      <x:c r="J55" s="167" t="str">
        <x:f>IF(AND(J$6&lt;=$H55,J$6+6&gt;=$G55),1,"")</x:f>
      </x:c>
      <x:c r="K55" s="167" t="str">
        <x:f>IF(AND(K$6&lt;=$H55,K$6+6&gt;=$G55),1,"")</x:f>
      </x:c>
      <x:c r="L55" s="167" t="str">
        <x:f>IF(AND(L$6&lt;=$H55,L$6+6&gt;=$G55),1,"")</x:f>
      </x:c>
      <x:c r="M55" s="167" t="str">
        <x:f>IF(AND(M$6&lt;=$H55,M$6+6&gt;=$G55),1,"")</x:f>
      </x:c>
      <x:c r="N55" s="167" t="str">
        <x:f>IF(AND(N$6&lt;=$H55,N$6+6&gt;=$G55),1,"")</x:f>
      </x:c>
      <x:c r="O55" s="167" t="str">
        <x:f>IF(AND(O$6&lt;=$H55,O$6+6&gt;=$G55),1,"")</x:f>
      </x:c>
      <x:c r="P55" s="167" t="str">
        <x:f>IF(AND(P$6&lt;=$H55,P$6+6&gt;=$G55),1,"")</x:f>
      </x:c>
      <x:c r="Q55" s="167" t="str">
        <x:f>IF(AND(Q$6&lt;=$H55,Q$6+6&gt;=$G55),1,"")</x:f>
      </x:c>
      <x:c r="R55" s="167" t="str">
        <x:f>IF(AND(R$6&lt;=$H55,R$6+6&gt;=$G55),1,"")</x:f>
      </x:c>
      <x:c r="S55" s="167" t="str">
        <x:f>IF(AND(S$6&lt;=$H55,S$6+6&gt;=$G55),1,"")</x:f>
      </x:c>
      <x:c r="T55" s="167" t="str">
        <x:f>IF(AND(T$6&lt;=$H55,T$6+6&gt;=$G55),1,"")</x:f>
      </x:c>
      <x:c r="U55" s="167" t="str">
        <x:f>IF(AND(U$6&lt;=$H55,U$6+6&gt;=$G55),1,"")</x:f>
      </x:c>
      <x:c r="V55" s="167" t="str">
        <x:f>IF(AND(V$6&lt;=$H55,V$6+6&gt;=$G55),1,"")</x:f>
      </x:c>
      <x:c r="W55" s="167" t="str">
        <x:f>IF(AND(W$6&lt;=$H55,W$6+6&gt;=$G55),1,"")</x:f>
      </x:c>
      <x:c r="X55" s="167" t="str">
        <x:f>IF(AND(X$6&lt;=$H55,X$6+6&gt;=$G55),1,"")</x:f>
      </x:c>
      <x:c r="Y55" s="167" t="str">
        <x:f>IF(AND(Y$6&lt;=$H55,Y$6+6&gt;=$G55),1,"")</x:f>
      </x:c>
      <x:c r="Z55" s="167" t="str">
        <x:f>IF(AND(Z$6&lt;=$H55,Z$6+6&gt;=$G55),1,"")</x:f>
      </x:c>
      <x:c r="AA55" s="167" t="str">
        <x:f>IF(AND(AA$6&lt;=$H55,AA$6+6&gt;=$G55),1,"")</x:f>
      </x:c>
      <x:c r="AB55" s="167" t="str">
        <x:f>IF(AND(AB$6&lt;=$H55,AB$6+6&gt;=$G55),1,"")</x:f>
      </x:c>
      <x:c r="AC55" s="167" t="str">
        <x:f>IF(AND(AC$6&lt;=$H55,AC$6+6&gt;=$G55),1,"")</x:f>
      </x:c>
      <x:c r="AD55" s="167" t="str">
        <x:f>IF(AND(AD$6&lt;=$H55,AD$6+6&gt;=$G55),1,"")</x:f>
      </x:c>
      <x:c r="AE55" s="167" t="str">
        <x:f>IF(AND(AE$6&lt;=$H55,AE$6+6&gt;=$G55),1,"")</x:f>
      </x:c>
      <x:c r="AF55" s="167" t="str">
        <x:f>IF(AND(AF$6&lt;=$H55,AF$6+6&gt;=$G55),1,"")</x:f>
      </x:c>
      <x:c r="AG55" s="167" t="str">
        <x:f>IF(AND(AG$6&lt;=$H55,AG$6+6&gt;=$G55),1,"")</x:f>
      </x:c>
      <x:c r="AH55" s="167" t="str">
        <x:f>IF(AND(AH$6&lt;=$H55,AH$6+6&gt;=$G55),1,"")</x:f>
      </x:c>
      <x:c r="AI55" s="167" t="str">
        <x:f>IF(AND(AI$6&lt;=$H55,AI$6+6&gt;=$G55),1,"")</x:f>
      </x:c>
      <x:c r="AJ55" s="167" t="str">
        <x:f>IF(AND(AJ$6&lt;=$H55,AJ$6+6&gt;=$G55),1,"")</x:f>
      </x:c>
      <x:c r="AK55" s="167" t="n">
        <x:f>IF(AND(AK$6&lt;=$H55,AK$6+6&gt;=$G55),1,"")</x:f>
        <x:v>1</x:v>
      </x:c>
      <x:c r="AL55" s="167" t="str">
        <x:f>IF(AND(AL$6&lt;=$H55,AL$6+6&gt;=$G55),1,"")</x:f>
      </x:c>
      <x:c r="AM55" s="167" t="str">
        <x:f>IF(AND(AM$6&lt;=$H55,AM$6+6&gt;=$G55),1,"")</x:f>
      </x:c>
      <x:c r="AN55" s="167" t="str">
        <x:f>IF(AND(AN$6&lt;=$H55,AN$6+6&gt;=$G55),1,"")</x:f>
      </x:c>
      <x:c r="AO55" s="167" t="str">
        <x:f>IF(AND(AO$6&lt;=$H55,AO$6+6&gt;=$G55),1,"")</x:f>
      </x:c>
      <x:c r="AP55" s="167" t="str">
        <x:f>IF(AND(AP$6&lt;=$H55,AP$6+6&gt;=$G55),1,"")</x:f>
      </x:c>
      <x:c r="AQ55" s="167" t="str">
        <x:f>IF(AND(AQ$6&lt;=$H55,AQ$6+6&gt;=$G55),1,"")</x:f>
      </x:c>
      <x:c r="AR55" s="167" t="str">
        <x:f>IF(AND(AR$6&lt;=$H55,AR$6+6&gt;=$G55),1,"")</x:f>
      </x:c>
      <x:c r="AS55" s="167" t="str">
        <x:f>IF(AND(AS$6&lt;=$H55,AS$6+6&gt;=$G55),1,"")</x:f>
      </x:c>
      <x:c r="AT55" s="167" t="str">
        <x:f>IF(AND(AT$6&lt;=$H55,AT$6+6&gt;=$G55),1,"")</x:f>
      </x:c>
      <x:c r="AU55" s="167" t="str">
        <x:f>IF(AND(AU$6&lt;=$H55,AU$6+6&gt;=$G55),1,"")</x:f>
      </x:c>
      <x:c r="AV55" s="167" t="str">
        <x:f>IF(AND(AV$6&lt;=$H55,AV$6+6&gt;=$G55),1,"")</x:f>
      </x:c>
      <x:c r="AW55" s="167" t="str">
        <x:f>IF(AND(AW$6&lt;=$H55,AW$6+6&gt;=$G55),1,"")</x:f>
      </x:c>
      <x:c r="AX55" s="167" t="str">
        <x:f>IF(AND(AX$6&lt;=$H55,AX$6+6&gt;=$G55),1,"")</x:f>
      </x:c>
      <x:c r="AY55" s="167" t="str">
        <x:f>IF(AND(AY$6&lt;=$H55,AY$6+6&gt;=$G55),1,"")</x:f>
      </x:c>
      <x:c r="AZ55" s="167" t="str">
        <x:f>IF(AND(AZ$6&lt;=$H55,AZ$6+6&gt;=$G55),1,"")</x:f>
      </x:c>
      <x:c r="BA55" s="167" t="str">
        <x:f>IF(AND(BA$6&lt;=$H55,BA$6+6&gt;=$G55),1,"")</x:f>
      </x:c>
      <x:c r="BB55" s="167" t="str">
        <x:f>IF(AND(BB$6&lt;=$H55,BB$6+6&gt;=$G55),1,"")</x:f>
      </x:c>
      <x:c r="BC55" s="167" t="str">
        <x:f>IF(AND(BC$6&lt;=$H55,BC$6+6&gt;=$G55),1,"")</x:f>
      </x:c>
      <x:c r="BD55" s="167" t="str">
        <x:f>IF(AND(BD$6&lt;=$H55,BD$6+6&gt;=$G55),1,"")</x:f>
      </x:c>
      <x:c r="BE55" s="167" t="str">
        <x:f>IF(AND(BE$6&lt;=$H55,BE$6+6&gt;=$G55),1,"")</x:f>
      </x:c>
      <x:c r="BF55" s="167" t="str">
        <x:f>IF(AND(BF$6&lt;=$H55,BF$6+6&gt;=$G55),1,"")</x:f>
      </x:c>
      <x:c r="BG55" s="167" t="str">
        <x:f>IF(AND(BG$6&lt;=$H55,BG$6+6&gt;=$G55),1,"")</x:f>
      </x:c>
      <x:c r="BH55" s="167" t="str">
        <x:f>IF(AND(BH$6&lt;=$H55,BH$6+6&gt;=$G55),1,"")</x:f>
      </x:c>
      <x:c r="BI55" s="167" t="str">
        <x:f>IF(AND(BI$6&lt;=$H55,BI$6+6&gt;=$G55),1,"")</x:f>
      </x:c>
      <x:c r="BJ55" s="167" t="str">
        <x:f>IF(AND(BJ$6&lt;=$H55,BJ$6+6&gt;=$G55),1,"")</x:f>
      </x:c>
      <x:c r="BK55" s="168" t="str">
        <x:f>IF(AND(BK$6&lt;=$H55,BK$6+6&gt;=$G55),1,"")</x:f>
      </x:c>
    </x:row>
    <x:row r="56" ht="24" customHeight="1">
      <x:c r="A56" s="68" t="str">
        <x:f>'Research Tasks'!A54</x:f>
        <x:v>AI-313</x:v>
      </x:c>
      <x:c r="B56" s="68" t="str">
        <x:f>'Research Tasks'!B54</x:f>
        <x:v>M3</x:v>
      </x:c>
      <x:c r="C56" s="68" t="str">
        <x:f>'Research Tasks'!C54</x:f>
        <x:v>Research Experiments</x:v>
      </x:c>
      <x:c r="D56" s="68" t="str">
        <x:f>'Research Tasks'!D54</x:f>
        <x:v>Run the core foveation and hierarchy ablations</x:v>
      </x:c>
      <x:c r="E56" s="68" t="str">
        <x:f>'Research Tasks'!E54</x:f>
        <x:v>AI-306, AI-307, AI-308, AI-309, AI-310, AI-312</x:v>
      </x:c>
      <x:c r="F56" s="68" t="str">
        <x:f>'Research Tasks'!F54</x:f>
        <x:v>Blocked</x:v>
      </x:c>
      <x:c r="G56" s="94" t="n">
        <x:f>'Research Tasks'!I54</x:f>
        <x:v>46435</x:v>
      </x:c>
      <x:c r="H56" s="94" t="n">
        <x:f>'Research Tasks'!J54</x:f>
        <x:v>46443</x:v>
      </x:c>
      <x:c r="I56" s="166" t="str">
        <x:f>IF(AND(I$6&lt;=$H56,I$6+6&gt;=$G56),1,"")</x:f>
      </x:c>
      <x:c r="J56" s="167" t="str">
        <x:f>IF(AND(J$6&lt;=$H56,J$6+6&gt;=$G56),1,"")</x:f>
      </x:c>
      <x:c r="K56" s="167" t="str">
        <x:f>IF(AND(K$6&lt;=$H56,K$6+6&gt;=$G56),1,"")</x:f>
      </x:c>
      <x:c r="L56" s="167" t="str">
        <x:f>IF(AND(L$6&lt;=$H56,L$6+6&gt;=$G56),1,"")</x:f>
      </x:c>
      <x:c r="M56" s="167" t="str">
        <x:f>IF(AND(M$6&lt;=$H56,M$6+6&gt;=$G56),1,"")</x:f>
      </x:c>
      <x:c r="N56" s="167" t="str">
        <x:f>IF(AND(N$6&lt;=$H56,N$6+6&gt;=$G56),1,"")</x:f>
      </x:c>
      <x:c r="O56" s="167" t="str">
        <x:f>IF(AND(O$6&lt;=$H56,O$6+6&gt;=$G56),1,"")</x:f>
      </x:c>
      <x:c r="P56" s="167" t="str">
        <x:f>IF(AND(P$6&lt;=$H56,P$6+6&gt;=$G56),1,"")</x:f>
      </x:c>
      <x:c r="Q56" s="167" t="str">
        <x:f>IF(AND(Q$6&lt;=$H56,Q$6+6&gt;=$G56),1,"")</x:f>
      </x:c>
      <x:c r="R56" s="167" t="str">
        <x:f>IF(AND(R$6&lt;=$H56,R$6+6&gt;=$G56),1,"")</x:f>
      </x:c>
      <x:c r="S56" s="167" t="str">
        <x:f>IF(AND(S$6&lt;=$H56,S$6+6&gt;=$G56),1,"")</x:f>
      </x:c>
      <x:c r="T56" s="167" t="str">
        <x:f>IF(AND(T$6&lt;=$H56,T$6+6&gt;=$G56),1,"")</x:f>
      </x:c>
      <x:c r="U56" s="167" t="str">
        <x:f>IF(AND(U$6&lt;=$H56,U$6+6&gt;=$G56),1,"")</x:f>
      </x:c>
      <x:c r="V56" s="167" t="str">
        <x:f>IF(AND(V$6&lt;=$H56,V$6+6&gt;=$G56),1,"")</x:f>
      </x:c>
      <x:c r="W56" s="167" t="str">
        <x:f>IF(AND(W$6&lt;=$H56,W$6+6&gt;=$G56),1,"")</x:f>
      </x:c>
      <x:c r="X56" s="167" t="str">
        <x:f>IF(AND(X$6&lt;=$H56,X$6+6&gt;=$G56),1,"")</x:f>
      </x:c>
      <x:c r="Y56" s="167" t="str">
        <x:f>IF(AND(Y$6&lt;=$H56,Y$6+6&gt;=$G56),1,"")</x:f>
      </x:c>
      <x:c r="Z56" s="167" t="str">
        <x:f>IF(AND(Z$6&lt;=$H56,Z$6+6&gt;=$G56),1,"")</x:f>
      </x:c>
      <x:c r="AA56" s="167" t="str">
        <x:f>IF(AND(AA$6&lt;=$H56,AA$6+6&gt;=$G56),1,"")</x:f>
      </x:c>
      <x:c r="AB56" s="167" t="str">
        <x:f>IF(AND(AB$6&lt;=$H56,AB$6+6&gt;=$G56),1,"")</x:f>
      </x:c>
      <x:c r="AC56" s="167" t="str">
        <x:f>IF(AND(AC$6&lt;=$H56,AC$6+6&gt;=$G56),1,"")</x:f>
      </x:c>
      <x:c r="AD56" s="167" t="str">
        <x:f>IF(AND(AD$6&lt;=$H56,AD$6+6&gt;=$G56),1,"")</x:f>
      </x:c>
      <x:c r="AE56" s="167" t="str">
        <x:f>IF(AND(AE$6&lt;=$H56,AE$6+6&gt;=$G56),1,"")</x:f>
      </x:c>
      <x:c r="AF56" s="167" t="str">
        <x:f>IF(AND(AF$6&lt;=$H56,AF$6+6&gt;=$G56),1,"")</x:f>
      </x:c>
      <x:c r="AG56" s="167" t="str">
        <x:f>IF(AND(AG$6&lt;=$H56,AG$6+6&gt;=$G56),1,"")</x:f>
      </x:c>
      <x:c r="AH56" s="167" t="str">
        <x:f>IF(AND(AH$6&lt;=$H56,AH$6+6&gt;=$G56),1,"")</x:f>
      </x:c>
      <x:c r="AI56" s="167" t="str">
        <x:f>IF(AND(AI$6&lt;=$H56,AI$6+6&gt;=$G56),1,"")</x:f>
      </x:c>
      <x:c r="AJ56" s="167" t="str">
        <x:f>IF(AND(AJ$6&lt;=$H56,AJ$6+6&gt;=$G56),1,"")</x:f>
      </x:c>
      <x:c r="AK56" s="167" t="n">
        <x:f>IF(AND(AK$6&lt;=$H56,AK$6+6&gt;=$G56),1,"")</x:f>
        <x:v>1</x:v>
      </x:c>
      <x:c r="AL56" s="167" t="n">
        <x:f>IF(AND(AL$6&lt;=$H56,AL$6+6&gt;=$G56),1,"")</x:f>
        <x:v>1</x:v>
      </x:c>
      <x:c r="AM56" s="167" t="str">
        <x:f>IF(AND(AM$6&lt;=$H56,AM$6+6&gt;=$G56),1,"")</x:f>
      </x:c>
      <x:c r="AN56" s="167" t="str">
        <x:f>IF(AND(AN$6&lt;=$H56,AN$6+6&gt;=$G56),1,"")</x:f>
      </x:c>
      <x:c r="AO56" s="167" t="str">
        <x:f>IF(AND(AO$6&lt;=$H56,AO$6+6&gt;=$G56),1,"")</x:f>
      </x:c>
      <x:c r="AP56" s="167" t="str">
        <x:f>IF(AND(AP$6&lt;=$H56,AP$6+6&gt;=$G56),1,"")</x:f>
      </x:c>
      <x:c r="AQ56" s="167" t="str">
        <x:f>IF(AND(AQ$6&lt;=$H56,AQ$6+6&gt;=$G56),1,"")</x:f>
      </x:c>
      <x:c r="AR56" s="167" t="str">
        <x:f>IF(AND(AR$6&lt;=$H56,AR$6+6&gt;=$G56),1,"")</x:f>
      </x:c>
      <x:c r="AS56" s="167" t="str">
        <x:f>IF(AND(AS$6&lt;=$H56,AS$6+6&gt;=$G56),1,"")</x:f>
      </x:c>
      <x:c r="AT56" s="167" t="str">
        <x:f>IF(AND(AT$6&lt;=$H56,AT$6+6&gt;=$G56),1,"")</x:f>
      </x:c>
      <x:c r="AU56" s="167" t="str">
        <x:f>IF(AND(AU$6&lt;=$H56,AU$6+6&gt;=$G56),1,"")</x:f>
      </x:c>
      <x:c r="AV56" s="167" t="str">
        <x:f>IF(AND(AV$6&lt;=$H56,AV$6+6&gt;=$G56),1,"")</x:f>
      </x:c>
      <x:c r="AW56" s="167" t="str">
        <x:f>IF(AND(AW$6&lt;=$H56,AW$6+6&gt;=$G56),1,"")</x:f>
      </x:c>
      <x:c r="AX56" s="167" t="str">
        <x:f>IF(AND(AX$6&lt;=$H56,AX$6+6&gt;=$G56),1,"")</x:f>
      </x:c>
      <x:c r="AY56" s="167" t="str">
        <x:f>IF(AND(AY$6&lt;=$H56,AY$6+6&gt;=$G56),1,"")</x:f>
      </x:c>
      <x:c r="AZ56" s="167" t="str">
        <x:f>IF(AND(AZ$6&lt;=$H56,AZ$6+6&gt;=$G56),1,"")</x:f>
      </x:c>
      <x:c r="BA56" s="167" t="str">
        <x:f>IF(AND(BA$6&lt;=$H56,BA$6+6&gt;=$G56),1,"")</x:f>
      </x:c>
      <x:c r="BB56" s="167" t="str">
        <x:f>IF(AND(BB$6&lt;=$H56,BB$6+6&gt;=$G56),1,"")</x:f>
      </x:c>
      <x:c r="BC56" s="167" t="str">
        <x:f>IF(AND(BC$6&lt;=$H56,BC$6+6&gt;=$G56),1,"")</x:f>
      </x:c>
      <x:c r="BD56" s="167" t="str">
        <x:f>IF(AND(BD$6&lt;=$H56,BD$6+6&gt;=$G56),1,"")</x:f>
      </x:c>
      <x:c r="BE56" s="167" t="str">
        <x:f>IF(AND(BE$6&lt;=$H56,BE$6+6&gt;=$G56),1,"")</x:f>
      </x:c>
      <x:c r="BF56" s="167" t="str">
        <x:f>IF(AND(BF$6&lt;=$H56,BF$6+6&gt;=$G56),1,"")</x:f>
      </x:c>
      <x:c r="BG56" s="167" t="str">
        <x:f>IF(AND(BG$6&lt;=$H56,BG$6+6&gt;=$G56),1,"")</x:f>
      </x:c>
      <x:c r="BH56" s="167" t="str">
        <x:f>IF(AND(BH$6&lt;=$H56,BH$6+6&gt;=$G56),1,"")</x:f>
      </x:c>
      <x:c r="BI56" s="167" t="str">
        <x:f>IF(AND(BI$6&lt;=$H56,BI$6+6&gt;=$G56),1,"")</x:f>
      </x:c>
      <x:c r="BJ56" s="167" t="str">
        <x:f>IF(AND(BJ$6&lt;=$H56,BJ$6+6&gt;=$G56),1,"")</x:f>
      </x:c>
      <x:c r="BK56" s="168" t="str">
        <x:f>IF(AND(BK$6&lt;=$H56,BK$6+6&gt;=$G56),1,"")</x:f>
      </x:c>
    </x:row>
    <x:row r="57" ht="24" customHeight="1">
      <x:c r="A57" s="68" t="str">
        <x:f>'Research Tasks'!A55</x:f>
        <x:v>AI-314</x:v>
      </x:c>
      <x:c r="B57" s="68" t="str">
        <x:f>'Research Tasks'!B55</x:f>
        <x:v>M3</x:v>
      </x:c>
      <x:c r="C57" s="68" t="str">
        <x:f>'Research Tasks'!C55</x:f>
        <x:v>Perception/Feasibility</x:v>
      </x:c>
      <x:c r="D57" s="68" t="str">
        <x:f>'Research Tasks'!D55</x:f>
        <x:v>Evaluate frozen pretrained perception only after baseline</x:v>
      </x:c>
      <x:c r="E57" s="68" t="str">
        <x:f>'Research Tasks'!E55</x:f>
        <x:v>AI-214, AI-313</x:v>
      </x:c>
      <x:c r="F57" s="68" t="str">
        <x:f>'Research Tasks'!F55</x:f>
        <x:v>Blocked</x:v>
      </x:c>
      <x:c r="G57" s="94" t="n">
        <x:f>'Research Tasks'!I55</x:f>
        <x:v>46444</x:v>
      </x:c>
      <x:c r="H57" s="94" t="n">
        <x:f>'Research Tasks'!J55</x:f>
        <x:v>46451</x:v>
      </x:c>
      <x:c r="I57" s="166" t="str">
        <x:f>IF(AND(I$6&lt;=$H57,I$6+6&gt;=$G57),1,"")</x:f>
      </x:c>
      <x:c r="J57" s="167" t="str">
        <x:f>IF(AND(J$6&lt;=$H57,J$6+6&gt;=$G57),1,"")</x:f>
      </x:c>
      <x:c r="K57" s="167" t="str">
        <x:f>IF(AND(K$6&lt;=$H57,K$6+6&gt;=$G57),1,"")</x:f>
      </x:c>
      <x:c r="L57" s="167" t="str">
        <x:f>IF(AND(L$6&lt;=$H57,L$6+6&gt;=$G57),1,"")</x:f>
      </x:c>
      <x:c r="M57" s="167" t="str">
        <x:f>IF(AND(M$6&lt;=$H57,M$6+6&gt;=$G57),1,"")</x:f>
      </x:c>
      <x:c r="N57" s="167" t="str">
        <x:f>IF(AND(N$6&lt;=$H57,N$6+6&gt;=$G57),1,"")</x:f>
      </x:c>
      <x:c r="O57" s="167" t="str">
        <x:f>IF(AND(O$6&lt;=$H57,O$6+6&gt;=$G57),1,"")</x:f>
      </x:c>
      <x:c r="P57" s="167" t="str">
        <x:f>IF(AND(P$6&lt;=$H57,P$6+6&gt;=$G57),1,"")</x:f>
      </x:c>
      <x:c r="Q57" s="167" t="str">
        <x:f>IF(AND(Q$6&lt;=$H57,Q$6+6&gt;=$G57),1,"")</x:f>
      </x:c>
      <x:c r="R57" s="167" t="str">
        <x:f>IF(AND(R$6&lt;=$H57,R$6+6&gt;=$G57),1,"")</x:f>
      </x:c>
      <x:c r="S57" s="167" t="str">
        <x:f>IF(AND(S$6&lt;=$H57,S$6+6&gt;=$G57),1,"")</x:f>
      </x:c>
      <x:c r="T57" s="167" t="str">
        <x:f>IF(AND(T$6&lt;=$H57,T$6+6&gt;=$G57),1,"")</x:f>
      </x:c>
      <x:c r="U57" s="167" t="str">
        <x:f>IF(AND(U$6&lt;=$H57,U$6+6&gt;=$G57),1,"")</x:f>
      </x:c>
      <x:c r="V57" s="167" t="str">
        <x:f>IF(AND(V$6&lt;=$H57,V$6+6&gt;=$G57),1,"")</x:f>
      </x:c>
      <x:c r="W57" s="167" t="str">
        <x:f>IF(AND(W$6&lt;=$H57,W$6+6&gt;=$G57),1,"")</x:f>
      </x:c>
      <x:c r="X57" s="167" t="str">
        <x:f>IF(AND(X$6&lt;=$H57,X$6+6&gt;=$G57),1,"")</x:f>
      </x:c>
      <x:c r="Y57" s="167" t="str">
        <x:f>IF(AND(Y$6&lt;=$H57,Y$6+6&gt;=$G57),1,"")</x:f>
      </x:c>
      <x:c r="Z57" s="167" t="str">
        <x:f>IF(AND(Z$6&lt;=$H57,Z$6+6&gt;=$G57),1,"")</x:f>
      </x:c>
      <x:c r="AA57" s="167" t="str">
        <x:f>IF(AND(AA$6&lt;=$H57,AA$6+6&gt;=$G57),1,"")</x:f>
      </x:c>
      <x:c r="AB57" s="167" t="str">
        <x:f>IF(AND(AB$6&lt;=$H57,AB$6+6&gt;=$G57),1,"")</x:f>
      </x:c>
      <x:c r="AC57" s="167" t="str">
        <x:f>IF(AND(AC$6&lt;=$H57,AC$6+6&gt;=$G57),1,"")</x:f>
      </x:c>
      <x:c r="AD57" s="167" t="str">
        <x:f>IF(AND(AD$6&lt;=$H57,AD$6+6&gt;=$G57),1,"")</x:f>
      </x:c>
      <x:c r="AE57" s="167" t="str">
        <x:f>IF(AND(AE$6&lt;=$H57,AE$6+6&gt;=$G57),1,"")</x:f>
      </x:c>
      <x:c r="AF57" s="167" t="str">
        <x:f>IF(AND(AF$6&lt;=$H57,AF$6+6&gt;=$G57),1,"")</x:f>
      </x:c>
      <x:c r="AG57" s="167" t="str">
        <x:f>IF(AND(AG$6&lt;=$H57,AG$6+6&gt;=$G57),1,"")</x:f>
      </x:c>
      <x:c r="AH57" s="167" t="str">
        <x:f>IF(AND(AH$6&lt;=$H57,AH$6+6&gt;=$G57),1,"")</x:f>
      </x:c>
      <x:c r="AI57" s="167" t="str">
        <x:f>IF(AND(AI$6&lt;=$H57,AI$6+6&gt;=$G57),1,"")</x:f>
      </x:c>
      <x:c r="AJ57" s="167" t="str">
        <x:f>IF(AND(AJ$6&lt;=$H57,AJ$6+6&gt;=$G57),1,"")</x:f>
      </x:c>
      <x:c r="AK57" s="167" t="str">
        <x:f>IF(AND(AK$6&lt;=$H57,AK$6+6&gt;=$G57),1,"")</x:f>
      </x:c>
      <x:c r="AL57" s="167" t="n">
        <x:f>IF(AND(AL$6&lt;=$H57,AL$6+6&gt;=$G57),1,"")</x:f>
        <x:v>1</x:v>
      </x:c>
      <x:c r="AM57" s="167" t="n">
        <x:f>IF(AND(AM$6&lt;=$H57,AM$6+6&gt;=$G57),1,"")</x:f>
        <x:v>1</x:v>
      </x:c>
      <x:c r="AN57" s="167" t="str">
        <x:f>IF(AND(AN$6&lt;=$H57,AN$6+6&gt;=$G57),1,"")</x:f>
      </x:c>
      <x:c r="AO57" s="167" t="str">
        <x:f>IF(AND(AO$6&lt;=$H57,AO$6+6&gt;=$G57),1,"")</x:f>
      </x:c>
      <x:c r="AP57" s="167" t="str">
        <x:f>IF(AND(AP$6&lt;=$H57,AP$6+6&gt;=$G57),1,"")</x:f>
      </x:c>
      <x:c r="AQ57" s="167" t="str">
        <x:f>IF(AND(AQ$6&lt;=$H57,AQ$6+6&gt;=$G57),1,"")</x:f>
      </x:c>
      <x:c r="AR57" s="167" t="str">
        <x:f>IF(AND(AR$6&lt;=$H57,AR$6+6&gt;=$G57),1,"")</x:f>
      </x:c>
      <x:c r="AS57" s="167" t="str">
        <x:f>IF(AND(AS$6&lt;=$H57,AS$6+6&gt;=$G57),1,"")</x:f>
      </x:c>
      <x:c r="AT57" s="167" t="str">
        <x:f>IF(AND(AT$6&lt;=$H57,AT$6+6&gt;=$G57),1,"")</x:f>
      </x:c>
      <x:c r="AU57" s="167" t="str">
        <x:f>IF(AND(AU$6&lt;=$H57,AU$6+6&gt;=$G57),1,"")</x:f>
      </x:c>
      <x:c r="AV57" s="167" t="str">
        <x:f>IF(AND(AV$6&lt;=$H57,AV$6+6&gt;=$G57),1,"")</x:f>
      </x:c>
      <x:c r="AW57" s="167" t="str">
        <x:f>IF(AND(AW$6&lt;=$H57,AW$6+6&gt;=$G57),1,"")</x:f>
      </x:c>
      <x:c r="AX57" s="167" t="str">
        <x:f>IF(AND(AX$6&lt;=$H57,AX$6+6&gt;=$G57),1,"")</x:f>
      </x:c>
      <x:c r="AY57" s="167" t="str">
        <x:f>IF(AND(AY$6&lt;=$H57,AY$6+6&gt;=$G57),1,"")</x:f>
      </x:c>
      <x:c r="AZ57" s="167" t="str">
        <x:f>IF(AND(AZ$6&lt;=$H57,AZ$6+6&gt;=$G57),1,"")</x:f>
      </x:c>
      <x:c r="BA57" s="167" t="str">
        <x:f>IF(AND(BA$6&lt;=$H57,BA$6+6&gt;=$G57),1,"")</x:f>
      </x:c>
      <x:c r="BB57" s="167" t="str">
        <x:f>IF(AND(BB$6&lt;=$H57,BB$6+6&gt;=$G57),1,"")</x:f>
      </x:c>
      <x:c r="BC57" s="167" t="str">
        <x:f>IF(AND(BC$6&lt;=$H57,BC$6+6&gt;=$G57),1,"")</x:f>
      </x:c>
      <x:c r="BD57" s="167" t="str">
        <x:f>IF(AND(BD$6&lt;=$H57,BD$6+6&gt;=$G57),1,"")</x:f>
      </x:c>
      <x:c r="BE57" s="167" t="str">
        <x:f>IF(AND(BE$6&lt;=$H57,BE$6+6&gt;=$G57),1,"")</x:f>
      </x:c>
      <x:c r="BF57" s="167" t="str">
        <x:f>IF(AND(BF$6&lt;=$H57,BF$6+6&gt;=$G57),1,"")</x:f>
      </x:c>
      <x:c r="BG57" s="167" t="str">
        <x:f>IF(AND(BG$6&lt;=$H57,BG$6+6&gt;=$G57),1,"")</x:f>
      </x:c>
      <x:c r="BH57" s="167" t="str">
        <x:f>IF(AND(BH$6&lt;=$H57,BH$6+6&gt;=$G57),1,"")</x:f>
      </x:c>
      <x:c r="BI57" s="167" t="str">
        <x:f>IF(AND(BI$6&lt;=$H57,BI$6+6&gt;=$G57),1,"")</x:f>
      </x:c>
      <x:c r="BJ57" s="167" t="str">
        <x:f>IF(AND(BJ$6&lt;=$H57,BJ$6+6&gt;=$G57),1,"")</x:f>
      </x:c>
      <x:c r="BK57" s="168" t="str">
        <x:f>IF(AND(BK$6&lt;=$H57,BK$6+6&gt;=$G57),1,"")</x:f>
      </x:c>
    </x:row>
    <x:row r="58" ht="24" customHeight="1">
      <x:c r="A58" s="68" t="str">
        <x:f>'Research Tasks'!A56</x:f>
        <x:v>AI-315</x:v>
      </x:c>
      <x:c r="B58" s="68" t="str">
        <x:f>'Research Tasks'!B56</x:f>
        <x:v>M3</x:v>
      </x:c>
      <x:c r="C58" s="68" t="str">
        <x:f>'Research Tasks'!C56</x:f>
        <x:v>Validation</x:v>
      </x:c>
      <x:c r="D58" s="68" t="str">
        <x:f>'Research Tasks'!D56</x:f>
        <x:v>Run the M3 capability-gate suite</x:v>
      </x:c>
      <x:c r="E58" s="68" t="str">
        <x:f>'Research Tasks'!E56</x:f>
        <x:v>AI-303, AI-304, AI-306, AI-308, AI-309, AI-310, AI-311, AI-313</x:v>
      </x:c>
      <x:c r="F58" s="68" t="str">
        <x:f>'Research Tasks'!F56</x:f>
        <x:v>Blocked</x:v>
      </x:c>
      <x:c r="G58" s="94" t="n">
        <x:f>'Research Tasks'!I56</x:f>
        <x:v>46454</x:v>
      </x:c>
      <x:c r="H58" s="94" t="n">
        <x:f>'Research Tasks'!J56</x:f>
        <x:v>46457</x:v>
      </x:c>
      <x:c r="I58" s="166" t="str">
        <x:f>IF(AND(I$6&lt;=$H58,I$6+6&gt;=$G58),1,"")</x:f>
      </x:c>
      <x:c r="J58" s="167" t="str">
        <x:f>IF(AND(J$6&lt;=$H58,J$6+6&gt;=$G58),1,"")</x:f>
      </x:c>
      <x:c r="K58" s="167" t="str">
        <x:f>IF(AND(K$6&lt;=$H58,K$6+6&gt;=$G58),1,"")</x:f>
      </x:c>
      <x:c r="L58" s="167" t="str">
        <x:f>IF(AND(L$6&lt;=$H58,L$6+6&gt;=$G58),1,"")</x:f>
      </x:c>
      <x:c r="M58" s="167" t="str">
        <x:f>IF(AND(M$6&lt;=$H58,M$6+6&gt;=$G58),1,"")</x:f>
      </x:c>
      <x:c r="N58" s="167" t="str">
        <x:f>IF(AND(N$6&lt;=$H58,N$6+6&gt;=$G58),1,"")</x:f>
      </x:c>
      <x:c r="O58" s="167" t="str">
        <x:f>IF(AND(O$6&lt;=$H58,O$6+6&gt;=$G58),1,"")</x:f>
      </x:c>
      <x:c r="P58" s="167" t="str">
        <x:f>IF(AND(P$6&lt;=$H58,P$6+6&gt;=$G58),1,"")</x:f>
      </x:c>
      <x:c r="Q58" s="167" t="str">
        <x:f>IF(AND(Q$6&lt;=$H58,Q$6+6&gt;=$G58),1,"")</x:f>
      </x:c>
      <x:c r="R58" s="167" t="str">
        <x:f>IF(AND(R$6&lt;=$H58,R$6+6&gt;=$G58),1,"")</x:f>
      </x:c>
      <x:c r="S58" s="167" t="str">
        <x:f>IF(AND(S$6&lt;=$H58,S$6+6&gt;=$G58),1,"")</x:f>
      </x:c>
      <x:c r="T58" s="167" t="str">
        <x:f>IF(AND(T$6&lt;=$H58,T$6+6&gt;=$G58),1,"")</x:f>
      </x:c>
      <x:c r="U58" s="167" t="str">
        <x:f>IF(AND(U$6&lt;=$H58,U$6+6&gt;=$G58),1,"")</x:f>
      </x:c>
      <x:c r="V58" s="167" t="str">
        <x:f>IF(AND(V$6&lt;=$H58,V$6+6&gt;=$G58),1,"")</x:f>
      </x:c>
      <x:c r="W58" s="167" t="str">
        <x:f>IF(AND(W$6&lt;=$H58,W$6+6&gt;=$G58),1,"")</x:f>
      </x:c>
      <x:c r="X58" s="167" t="str">
        <x:f>IF(AND(X$6&lt;=$H58,X$6+6&gt;=$G58),1,"")</x:f>
      </x:c>
      <x:c r="Y58" s="167" t="str">
        <x:f>IF(AND(Y$6&lt;=$H58,Y$6+6&gt;=$G58),1,"")</x:f>
      </x:c>
      <x:c r="Z58" s="167" t="str">
        <x:f>IF(AND(Z$6&lt;=$H58,Z$6+6&gt;=$G58),1,"")</x:f>
      </x:c>
      <x:c r="AA58" s="167" t="str">
        <x:f>IF(AND(AA$6&lt;=$H58,AA$6+6&gt;=$G58),1,"")</x:f>
      </x:c>
      <x:c r="AB58" s="167" t="str">
        <x:f>IF(AND(AB$6&lt;=$H58,AB$6+6&gt;=$G58),1,"")</x:f>
      </x:c>
      <x:c r="AC58" s="167" t="str">
        <x:f>IF(AND(AC$6&lt;=$H58,AC$6+6&gt;=$G58),1,"")</x:f>
      </x:c>
      <x:c r="AD58" s="167" t="str">
        <x:f>IF(AND(AD$6&lt;=$H58,AD$6+6&gt;=$G58),1,"")</x:f>
      </x:c>
      <x:c r="AE58" s="167" t="str">
        <x:f>IF(AND(AE$6&lt;=$H58,AE$6+6&gt;=$G58),1,"")</x:f>
      </x:c>
      <x:c r="AF58" s="167" t="str">
        <x:f>IF(AND(AF$6&lt;=$H58,AF$6+6&gt;=$G58),1,"")</x:f>
      </x:c>
      <x:c r="AG58" s="167" t="str">
        <x:f>IF(AND(AG$6&lt;=$H58,AG$6+6&gt;=$G58),1,"")</x:f>
      </x:c>
      <x:c r="AH58" s="167" t="str">
        <x:f>IF(AND(AH$6&lt;=$H58,AH$6+6&gt;=$G58),1,"")</x:f>
      </x:c>
      <x:c r="AI58" s="167" t="str">
        <x:f>IF(AND(AI$6&lt;=$H58,AI$6+6&gt;=$G58),1,"")</x:f>
      </x:c>
      <x:c r="AJ58" s="167" t="str">
        <x:f>IF(AND(AJ$6&lt;=$H58,AJ$6+6&gt;=$G58),1,"")</x:f>
      </x:c>
      <x:c r="AK58" s="167" t="str">
        <x:f>IF(AND(AK$6&lt;=$H58,AK$6+6&gt;=$G58),1,"")</x:f>
      </x:c>
      <x:c r="AL58" s="167" t="str">
        <x:f>IF(AND(AL$6&lt;=$H58,AL$6+6&gt;=$G58),1,"")</x:f>
      </x:c>
      <x:c r="AM58" s="167" t="str">
        <x:f>IF(AND(AM$6&lt;=$H58,AM$6+6&gt;=$G58),1,"")</x:f>
      </x:c>
      <x:c r="AN58" s="167" t="n">
        <x:f>IF(AND(AN$6&lt;=$H58,AN$6+6&gt;=$G58),1,"")</x:f>
        <x:v>1</x:v>
      </x:c>
      <x:c r="AO58" s="167" t="str">
        <x:f>IF(AND(AO$6&lt;=$H58,AO$6+6&gt;=$G58),1,"")</x:f>
      </x:c>
      <x:c r="AP58" s="167" t="str">
        <x:f>IF(AND(AP$6&lt;=$H58,AP$6+6&gt;=$G58),1,"")</x:f>
      </x:c>
      <x:c r="AQ58" s="167" t="str">
        <x:f>IF(AND(AQ$6&lt;=$H58,AQ$6+6&gt;=$G58),1,"")</x:f>
      </x:c>
      <x:c r="AR58" s="167" t="str">
        <x:f>IF(AND(AR$6&lt;=$H58,AR$6+6&gt;=$G58),1,"")</x:f>
      </x:c>
      <x:c r="AS58" s="167" t="str">
        <x:f>IF(AND(AS$6&lt;=$H58,AS$6+6&gt;=$G58),1,"")</x:f>
      </x:c>
      <x:c r="AT58" s="167" t="str">
        <x:f>IF(AND(AT$6&lt;=$H58,AT$6+6&gt;=$G58),1,"")</x:f>
      </x:c>
      <x:c r="AU58" s="167" t="str">
        <x:f>IF(AND(AU$6&lt;=$H58,AU$6+6&gt;=$G58),1,"")</x:f>
      </x:c>
      <x:c r="AV58" s="167" t="str">
        <x:f>IF(AND(AV$6&lt;=$H58,AV$6+6&gt;=$G58),1,"")</x:f>
      </x:c>
      <x:c r="AW58" s="167" t="str">
        <x:f>IF(AND(AW$6&lt;=$H58,AW$6+6&gt;=$G58),1,"")</x:f>
      </x:c>
      <x:c r="AX58" s="167" t="str">
        <x:f>IF(AND(AX$6&lt;=$H58,AX$6+6&gt;=$G58),1,"")</x:f>
      </x:c>
      <x:c r="AY58" s="167" t="str">
        <x:f>IF(AND(AY$6&lt;=$H58,AY$6+6&gt;=$G58),1,"")</x:f>
      </x:c>
      <x:c r="AZ58" s="167" t="str">
        <x:f>IF(AND(AZ$6&lt;=$H58,AZ$6+6&gt;=$G58),1,"")</x:f>
      </x:c>
      <x:c r="BA58" s="167" t="str">
        <x:f>IF(AND(BA$6&lt;=$H58,BA$6+6&gt;=$G58),1,"")</x:f>
      </x:c>
      <x:c r="BB58" s="167" t="str">
        <x:f>IF(AND(BB$6&lt;=$H58,BB$6+6&gt;=$G58),1,"")</x:f>
      </x:c>
      <x:c r="BC58" s="167" t="str">
        <x:f>IF(AND(BC$6&lt;=$H58,BC$6+6&gt;=$G58),1,"")</x:f>
      </x:c>
      <x:c r="BD58" s="167" t="str">
        <x:f>IF(AND(BD$6&lt;=$H58,BD$6+6&gt;=$G58),1,"")</x:f>
      </x:c>
      <x:c r="BE58" s="167" t="str">
        <x:f>IF(AND(BE$6&lt;=$H58,BE$6+6&gt;=$G58),1,"")</x:f>
      </x:c>
      <x:c r="BF58" s="167" t="str">
        <x:f>IF(AND(BF$6&lt;=$H58,BF$6+6&gt;=$G58),1,"")</x:f>
      </x:c>
      <x:c r="BG58" s="167" t="str">
        <x:f>IF(AND(BG$6&lt;=$H58,BG$6+6&gt;=$G58),1,"")</x:f>
      </x:c>
      <x:c r="BH58" s="167" t="str">
        <x:f>IF(AND(BH$6&lt;=$H58,BH$6+6&gt;=$G58),1,"")</x:f>
      </x:c>
      <x:c r="BI58" s="167" t="str">
        <x:f>IF(AND(BI$6&lt;=$H58,BI$6+6&gt;=$G58),1,"")</x:f>
      </x:c>
      <x:c r="BJ58" s="167" t="str">
        <x:f>IF(AND(BJ$6&lt;=$H58,BJ$6+6&gt;=$G58),1,"")</x:f>
      </x:c>
      <x:c r="BK58" s="168" t="str">
        <x:f>IF(AND(BK$6&lt;=$H58,BK$6+6&gt;=$G58),1,"")</x:f>
      </x:c>
    </x:row>
    <x:row r="59" ht="24" customHeight="1">
      <x:c r="A59" s="68" t="str">
        <x:f>'Research Tasks'!A57</x:f>
        <x:v>AI-316</x:v>
      </x:c>
      <x:c r="B59" s="68" t="str">
        <x:f>'Research Tasks'!B57</x:f>
        <x:v>M3</x:v>
      </x:c>
      <x:c r="C59" s="68" t="str">
        <x:f>'Research Tasks'!C57</x:f>
        <x:v>Validation</x:v>
      </x:c>
      <x:c r="D59" s="68" t="str">
        <x:f>'Research Tasks'!D57</x:f>
        <x:v>M3 lock decision</x:v>
      </x:c>
      <x:c r="E59" s="68" t="str">
        <x:f>'Research Tasks'!E57</x:f>
        <x:v>AI-315</x:v>
      </x:c>
      <x:c r="F59" s="68" t="str">
        <x:f>'Research Tasks'!F57</x:f>
        <x:v>Blocked</x:v>
      </x:c>
      <x:c r="G59" s="94" t="n">
        <x:f>'Research Tasks'!I57</x:f>
        <x:v>46458</x:v>
      </x:c>
      <x:c r="H59" s="94" t="n">
        <x:f>'Research Tasks'!J57</x:f>
        <x:v>46458</x:v>
      </x:c>
      <x:c r="I59" s="166" t="str">
        <x:f>IF(AND(I$6&lt;=$H59,I$6+6&gt;=$G59),1,"")</x:f>
      </x:c>
      <x:c r="J59" s="167" t="str">
        <x:f>IF(AND(J$6&lt;=$H59,J$6+6&gt;=$G59),1,"")</x:f>
      </x:c>
      <x:c r="K59" s="167" t="str">
        <x:f>IF(AND(K$6&lt;=$H59,K$6+6&gt;=$G59),1,"")</x:f>
      </x:c>
      <x:c r="L59" s="167" t="str">
        <x:f>IF(AND(L$6&lt;=$H59,L$6+6&gt;=$G59),1,"")</x:f>
      </x:c>
      <x:c r="M59" s="167" t="str">
        <x:f>IF(AND(M$6&lt;=$H59,M$6+6&gt;=$G59),1,"")</x:f>
      </x:c>
      <x:c r="N59" s="167" t="str">
        <x:f>IF(AND(N$6&lt;=$H59,N$6+6&gt;=$G59),1,"")</x:f>
      </x:c>
      <x:c r="O59" s="167" t="str">
        <x:f>IF(AND(O$6&lt;=$H59,O$6+6&gt;=$G59),1,"")</x:f>
      </x:c>
      <x:c r="P59" s="167" t="str">
        <x:f>IF(AND(P$6&lt;=$H59,P$6+6&gt;=$G59),1,"")</x:f>
      </x:c>
      <x:c r="Q59" s="167" t="str">
        <x:f>IF(AND(Q$6&lt;=$H59,Q$6+6&gt;=$G59),1,"")</x:f>
      </x:c>
      <x:c r="R59" s="167" t="str">
        <x:f>IF(AND(R$6&lt;=$H59,R$6+6&gt;=$G59),1,"")</x:f>
      </x:c>
      <x:c r="S59" s="167" t="str">
        <x:f>IF(AND(S$6&lt;=$H59,S$6+6&gt;=$G59),1,"")</x:f>
      </x:c>
      <x:c r="T59" s="167" t="str">
        <x:f>IF(AND(T$6&lt;=$H59,T$6+6&gt;=$G59),1,"")</x:f>
      </x:c>
      <x:c r="U59" s="167" t="str">
        <x:f>IF(AND(U$6&lt;=$H59,U$6+6&gt;=$G59),1,"")</x:f>
      </x:c>
      <x:c r="V59" s="167" t="str">
        <x:f>IF(AND(V$6&lt;=$H59,V$6+6&gt;=$G59),1,"")</x:f>
      </x:c>
      <x:c r="W59" s="167" t="str">
        <x:f>IF(AND(W$6&lt;=$H59,W$6+6&gt;=$G59),1,"")</x:f>
      </x:c>
      <x:c r="X59" s="167" t="str">
        <x:f>IF(AND(X$6&lt;=$H59,X$6+6&gt;=$G59),1,"")</x:f>
      </x:c>
      <x:c r="Y59" s="167" t="str">
        <x:f>IF(AND(Y$6&lt;=$H59,Y$6+6&gt;=$G59),1,"")</x:f>
      </x:c>
      <x:c r="Z59" s="167" t="str">
        <x:f>IF(AND(Z$6&lt;=$H59,Z$6+6&gt;=$G59),1,"")</x:f>
      </x:c>
      <x:c r="AA59" s="167" t="str">
        <x:f>IF(AND(AA$6&lt;=$H59,AA$6+6&gt;=$G59),1,"")</x:f>
      </x:c>
      <x:c r="AB59" s="167" t="str">
        <x:f>IF(AND(AB$6&lt;=$H59,AB$6+6&gt;=$G59),1,"")</x:f>
      </x:c>
      <x:c r="AC59" s="167" t="str">
        <x:f>IF(AND(AC$6&lt;=$H59,AC$6+6&gt;=$G59),1,"")</x:f>
      </x:c>
      <x:c r="AD59" s="167" t="str">
        <x:f>IF(AND(AD$6&lt;=$H59,AD$6+6&gt;=$G59),1,"")</x:f>
      </x:c>
      <x:c r="AE59" s="167" t="str">
        <x:f>IF(AND(AE$6&lt;=$H59,AE$6+6&gt;=$G59),1,"")</x:f>
      </x:c>
      <x:c r="AF59" s="167" t="str">
        <x:f>IF(AND(AF$6&lt;=$H59,AF$6+6&gt;=$G59),1,"")</x:f>
      </x:c>
      <x:c r="AG59" s="167" t="str">
        <x:f>IF(AND(AG$6&lt;=$H59,AG$6+6&gt;=$G59),1,"")</x:f>
      </x:c>
      <x:c r="AH59" s="167" t="str">
        <x:f>IF(AND(AH$6&lt;=$H59,AH$6+6&gt;=$G59),1,"")</x:f>
      </x:c>
      <x:c r="AI59" s="167" t="str">
        <x:f>IF(AND(AI$6&lt;=$H59,AI$6+6&gt;=$G59),1,"")</x:f>
      </x:c>
      <x:c r="AJ59" s="167" t="str">
        <x:f>IF(AND(AJ$6&lt;=$H59,AJ$6+6&gt;=$G59),1,"")</x:f>
      </x:c>
      <x:c r="AK59" s="167" t="str">
        <x:f>IF(AND(AK$6&lt;=$H59,AK$6+6&gt;=$G59),1,"")</x:f>
      </x:c>
      <x:c r="AL59" s="167" t="str">
        <x:f>IF(AND(AL$6&lt;=$H59,AL$6+6&gt;=$G59),1,"")</x:f>
      </x:c>
      <x:c r="AM59" s="167" t="str">
        <x:f>IF(AND(AM$6&lt;=$H59,AM$6+6&gt;=$G59),1,"")</x:f>
      </x:c>
      <x:c r="AN59" s="167" t="n">
        <x:f>IF(AND(AN$6&lt;=$H59,AN$6+6&gt;=$G59),1,"")</x:f>
        <x:v>1</x:v>
      </x:c>
      <x:c r="AO59" s="167" t="str">
        <x:f>IF(AND(AO$6&lt;=$H59,AO$6+6&gt;=$G59),1,"")</x:f>
      </x:c>
      <x:c r="AP59" s="167" t="str">
        <x:f>IF(AND(AP$6&lt;=$H59,AP$6+6&gt;=$G59),1,"")</x:f>
      </x:c>
      <x:c r="AQ59" s="167" t="str">
        <x:f>IF(AND(AQ$6&lt;=$H59,AQ$6+6&gt;=$G59),1,"")</x:f>
      </x:c>
      <x:c r="AR59" s="167" t="str">
        <x:f>IF(AND(AR$6&lt;=$H59,AR$6+6&gt;=$G59),1,"")</x:f>
      </x:c>
      <x:c r="AS59" s="167" t="str">
        <x:f>IF(AND(AS$6&lt;=$H59,AS$6+6&gt;=$G59),1,"")</x:f>
      </x:c>
      <x:c r="AT59" s="167" t="str">
        <x:f>IF(AND(AT$6&lt;=$H59,AT$6+6&gt;=$G59),1,"")</x:f>
      </x:c>
      <x:c r="AU59" s="167" t="str">
        <x:f>IF(AND(AU$6&lt;=$H59,AU$6+6&gt;=$G59),1,"")</x:f>
      </x:c>
      <x:c r="AV59" s="167" t="str">
        <x:f>IF(AND(AV$6&lt;=$H59,AV$6+6&gt;=$G59),1,"")</x:f>
      </x:c>
      <x:c r="AW59" s="167" t="str">
        <x:f>IF(AND(AW$6&lt;=$H59,AW$6+6&gt;=$G59),1,"")</x:f>
      </x:c>
      <x:c r="AX59" s="167" t="str">
        <x:f>IF(AND(AX$6&lt;=$H59,AX$6+6&gt;=$G59),1,"")</x:f>
      </x:c>
      <x:c r="AY59" s="167" t="str">
        <x:f>IF(AND(AY$6&lt;=$H59,AY$6+6&gt;=$G59),1,"")</x:f>
      </x:c>
      <x:c r="AZ59" s="167" t="str">
        <x:f>IF(AND(AZ$6&lt;=$H59,AZ$6+6&gt;=$G59),1,"")</x:f>
      </x:c>
      <x:c r="BA59" s="167" t="str">
        <x:f>IF(AND(BA$6&lt;=$H59,BA$6+6&gt;=$G59),1,"")</x:f>
      </x:c>
      <x:c r="BB59" s="167" t="str">
        <x:f>IF(AND(BB$6&lt;=$H59,BB$6+6&gt;=$G59),1,"")</x:f>
      </x:c>
      <x:c r="BC59" s="167" t="str">
        <x:f>IF(AND(BC$6&lt;=$H59,BC$6+6&gt;=$G59),1,"")</x:f>
      </x:c>
      <x:c r="BD59" s="167" t="str">
        <x:f>IF(AND(BD$6&lt;=$H59,BD$6+6&gt;=$G59),1,"")</x:f>
      </x:c>
      <x:c r="BE59" s="167" t="str">
        <x:f>IF(AND(BE$6&lt;=$H59,BE$6+6&gt;=$G59),1,"")</x:f>
      </x:c>
      <x:c r="BF59" s="167" t="str">
        <x:f>IF(AND(BF$6&lt;=$H59,BF$6+6&gt;=$G59),1,"")</x:f>
      </x:c>
      <x:c r="BG59" s="167" t="str">
        <x:f>IF(AND(BG$6&lt;=$H59,BG$6+6&gt;=$G59),1,"")</x:f>
      </x:c>
      <x:c r="BH59" s="167" t="str">
        <x:f>IF(AND(BH$6&lt;=$H59,BH$6+6&gt;=$G59),1,"")</x:f>
      </x:c>
      <x:c r="BI59" s="167" t="str">
        <x:f>IF(AND(BI$6&lt;=$H59,BI$6+6&gt;=$G59),1,"")</x:f>
      </x:c>
      <x:c r="BJ59" s="167" t="str">
        <x:f>IF(AND(BJ$6&lt;=$H59,BJ$6+6&gt;=$G59),1,"")</x:f>
      </x:c>
      <x:c r="BK59" s="168" t="str">
        <x:f>IF(AND(BK$6&lt;=$H59,BK$6+6&gt;=$G59),1,"")</x:f>
      </x:c>
    </x:row>
    <x:row r="60" ht="24" customHeight="1">
      <x:c r="A60" s="68" t="str">
        <x:f>'Research Tasks'!A58</x:f>
        <x:v>T-801</x:v>
      </x:c>
      <x:c r="B60" s="68" t="str">
        <x:f>'Research Tasks'!B58</x:f>
        <x:v>M8</x:v>
      </x:c>
      <x:c r="C60" s="68" t="str">
        <x:f>'Research Tasks'!C58</x:f>
        <x:v>Research Design</x:v>
      </x:c>
      <x:c r="D60" s="68" t="str">
        <x:f>'Research Tasks'!D58</x:f>
        <x:v>Define the study registry and evidence levels</x:v>
      </x:c>
      <x:c r="E60" s="68" t="str">
        <x:f>'Research Tasks'!E58</x:f>
        <x:v>AI-115</x:v>
      </x:c>
      <x:c r="F60" s="68" t="str">
        <x:f>'Research Tasks'!F58</x:f>
        <x:v>Blocked</x:v>
      </x:c>
      <x:c r="G60" s="94" t="n">
        <x:f>'Research Tasks'!I58</x:f>
        <x:v>46293</x:v>
      </x:c>
      <x:c r="H60" s="94" t="n">
        <x:f>'Research Tasks'!J58</x:f>
        <x:v>46294</x:v>
      </x:c>
      <x:c r="I60" s="166" t="str">
        <x:f>IF(AND(I$6&lt;=$H60,I$6+6&gt;=$G60),1,"")</x:f>
      </x:c>
      <x:c r="J60" s="167" t="str">
        <x:f>IF(AND(J$6&lt;=$H60,J$6+6&gt;=$G60),1,"")</x:f>
      </x:c>
      <x:c r="K60" s="167" t="str">
        <x:f>IF(AND(K$6&lt;=$H60,K$6+6&gt;=$G60),1,"")</x:f>
      </x:c>
      <x:c r="L60" s="167" t="str">
        <x:f>IF(AND(L$6&lt;=$H60,L$6+6&gt;=$G60),1,"")</x:f>
      </x:c>
      <x:c r="M60" s="167" t="str">
        <x:f>IF(AND(M$6&lt;=$H60,M$6+6&gt;=$G60),1,"")</x:f>
      </x:c>
      <x:c r="N60" s="167" t="str">
        <x:f>IF(AND(N$6&lt;=$H60,N$6+6&gt;=$G60),1,"")</x:f>
      </x:c>
      <x:c r="O60" s="167" t="str">
        <x:f>IF(AND(O$6&lt;=$H60,O$6+6&gt;=$G60),1,"")</x:f>
      </x:c>
      <x:c r="P60" s="167" t="str">
        <x:f>IF(AND(P$6&lt;=$H60,P$6+6&gt;=$G60),1,"")</x:f>
      </x:c>
      <x:c r="Q60" s="167" t="n">
        <x:f>IF(AND(Q$6&lt;=$H60,Q$6+6&gt;=$G60),1,"")</x:f>
        <x:v>1</x:v>
      </x:c>
      <x:c r="R60" s="167" t="str">
        <x:f>IF(AND(R$6&lt;=$H60,R$6+6&gt;=$G60),1,"")</x:f>
      </x:c>
      <x:c r="S60" s="167" t="str">
        <x:f>IF(AND(S$6&lt;=$H60,S$6+6&gt;=$G60),1,"")</x:f>
      </x:c>
      <x:c r="T60" s="167" t="str">
        <x:f>IF(AND(T$6&lt;=$H60,T$6+6&gt;=$G60),1,"")</x:f>
      </x:c>
      <x:c r="U60" s="167" t="str">
        <x:f>IF(AND(U$6&lt;=$H60,U$6+6&gt;=$G60),1,"")</x:f>
      </x:c>
      <x:c r="V60" s="167" t="str">
        <x:f>IF(AND(V$6&lt;=$H60,V$6+6&gt;=$G60),1,"")</x:f>
      </x:c>
      <x:c r="W60" s="167" t="str">
        <x:f>IF(AND(W$6&lt;=$H60,W$6+6&gt;=$G60),1,"")</x:f>
      </x:c>
      <x:c r="X60" s="167" t="str">
        <x:f>IF(AND(X$6&lt;=$H60,X$6+6&gt;=$G60),1,"")</x:f>
      </x:c>
      <x:c r="Y60" s="167" t="str">
        <x:f>IF(AND(Y$6&lt;=$H60,Y$6+6&gt;=$G60),1,"")</x:f>
      </x:c>
      <x:c r="Z60" s="167" t="str">
        <x:f>IF(AND(Z$6&lt;=$H60,Z$6+6&gt;=$G60),1,"")</x:f>
      </x:c>
      <x:c r="AA60" s="167" t="str">
        <x:f>IF(AND(AA$6&lt;=$H60,AA$6+6&gt;=$G60),1,"")</x:f>
      </x:c>
      <x:c r="AB60" s="167" t="str">
        <x:f>IF(AND(AB$6&lt;=$H60,AB$6+6&gt;=$G60),1,"")</x:f>
      </x:c>
      <x:c r="AC60" s="167" t="str">
        <x:f>IF(AND(AC$6&lt;=$H60,AC$6+6&gt;=$G60),1,"")</x:f>
      </x:c>
      <x:c r="AD60" s="167" t="str">
        <x:f>IF(AND(AD$6&lt;=$H60,AD$6+6&gt;=$G60),1,"")</x:f>
      </x:c>
      <x:c r="AE60" s="167" t="str">
        <x:f>IF(AND(AE$6&lt;=$H60,AE$6+6&gt;=$G60),1,"")</x:f>
      </x:c>
      <x:c r="AF60" s="167" t="str">
        <x:f>IF(AND(AF$6&lt;=$H60,AF$6+6&gt;=$G60),1,"")</x:f>
      </x:c>
      <x:c r="AG60" s="167" t="str">
        <x:f>IF(AND(AG$6&lt;=$H60,AG$6+6&gt;=$G60),1,"")</x:f>
      </x:c>
      <x:c r="AH60" s="167" t="str">
        <x:f>IF(AND(AH$6&lt;=$H60,AH$6+6&gt;=$G60),1,"")</x:f>
      </x:c>
      <x:c r="AI60" s="167" t="str">
        <x:f>IF(AND(AI$6&lt;=$H60,AI$6+6&gt;=$G60),1,"")</x:f>
      </x:c>
      <x:c r="AJ60" s="167" t="str">
        <x:f>IF(AND(AJ$6&lt;=$H60,AJ$6+6&gt;=$G60),1,"")</x:f>
      </x:c>
      <x:c r="AK60" s="167" t="str">
        <x:f>IF(AND(AK$6&lt;=$H60,AK$6+6&gt;=$G60),1,"")</x:f>
      </x:c>
      <x:c r="AL60" s="167" t="str">
        <x:f>IF(AND(AL$6&lt;=$H60,AL$6+6&gt;=$G60),1,"")</x:f>
      </x:c>
      <x:c r="AM60" s="167" t="str">
        <x:f>IF(AND(AM$6&lt;=$H60,AM$6+6&gt;=$G60),1,"")</x:f>
      </x:c>
      <x:c r="AN60" s="167" t="str">
        <x:f>IF(AND(AN$6&lt;=$H60,AN$6+6&gt;=$G60),1,"")</x:f>
      </x:c>
      <x:c r="AO60" s="167" t="str">
        <x:f>IF(AND(AO$6&lt;=$H60,AO$6+6&gt;=$G60),1,"")</x:f>
      </x:c>
      <x:c r="AP60" s="167" t="str">
        <x:f>IF(AND(AP$6&lt;=$H60,AP$6+6&gt;=$G60),1,"")</x:f>
      </x:c>
      <x:c r="AQ60" s="167" t="str">
        <x:f>IF(AND(AQ$6&lt;=$H60,AQ$6+6&gt;=$G60),1,"")</x:f>
      </x:c>
      <x:c r="AR60" s="167" t="str">
        <x:f>IF(AND(AR$6&lt;=$H60,AR$6+6&gt;=$G60),1,"")</x:f>
      </x:c>
      <x:c r="AS60" s="167" t="str">
        <x:f>IF(AND(AS$6&lt;=$H60,AS$6+6&gt;=$G60),1,"")</x:f>
      </x:c>
      <x:c r="AT60" s="167" t="str">
        <x:f>IF(AND(AT$6&lt;=$H60,AT$6+6&gt;=$G60),1,"")</x:f>
      </x:c>
      <x:c r="AU60" s="167" t="str">
        <x:f>IF(AND(AU$6&lt;=$H60,AU$6+6&gt;=$G60),1,"")</x:f>
      </x:c>
      <x:c r="AV60" s="167" t="str">
        <x:f>IF(AND(AV$6&lt;=$H60,AV$6+6&gt;=$G60),1,"")</x:f>
      </x:c>
      <x:c r="AW60" s="167" t="str">
        <x:f>IF(AND(AW$6&lt;=$H60,AW$6+6&gt;=$G60),1,"")</x:f>
      </x:c>
      <x:c r="AX60" s="167" t="str">
        <x:f>IF(AND(AX$6&lt;=$H60,AX$6+6&gt;=$G60),1,"")</x:f>
      </x:c>
      <x:c r="AY60" s="167" t="str">
        <x:f>IF(AND(AY$6&lt;=$H60,AY$6+6&gt;=$G60),1,"")</x:f>
      </x:c>
      <x:c r="AZ60" s="167" t="str">
        <x:f>IF(AND(AZ$6&lt;=$H60,AZ$6+6&gt;=$G60),1,"")</x:f>
      </x:c>
      <x:c r="BA60" s="167" t="str">
        <x:f>IF(AND(BA$6&lt;=$H60,BA$6+6&gt;=$G60),1,"")</x:f>
      </x:c>
      <x:c r="BB60" s="167" t="str">
        <x:f>IF(AND(BB$6&lt;=$H60,BB$6+6&gt;=$G60),1,"")</x:f>
      </x:c>
      <x:c r="BC60" s="167" t="str">
        <x:f>IF(AND(BC$6&lt;=$H60,BC$6+6&gt;=$G60),1,"")</x:f>
      </x:c>
      <x:c r="BD60" s="167" t="str">
        <x:f>IF(AND(BD$6&lt;=$H60,BD$6+6&gt;=$G60),1,"")</x:f>
      </x:c>
      <x:c r="BE60" s="167" t="str">
        <x:f>IF(AND(BE$6&lt;=$H60,BE$6+6&gt;=$G60),1,"")</x:f>
      </x:c>
      <x:c r="BF60" s="167" t="str">
        <x:f>IF(AND(BF$6&lt;=$H60,BF$6+6&gt;=$G60),1,"")</x:f>
      </x:c>
      <x:c r="BG60" s="167" t="str">
        <x:f>IF(AND(BG$6&lt;=$H60,BG$6+6&gt;=$G60),1,"")</x:f>
      </x:c>
      <x:c r="BH60" s="167" t="str">
        <x:f>IF(AND(BH$6&lt;=$H60,BH$6+6&gt;=$G60),1,"")</x:f>
      </x:c>
      <x:c r="BI60" s="167" t="str">
        <x:f>IF(AND(BI$6&lt;=$H60,BI$6+6&gt;=$G60),1,"")</x:f>
      </x:c>
      <x:c r="BJ60" s="167" t="str">
        <x:f>IF(AND(BJ$6&lt;=$H60,BJ$6+6&gt;=$G60),1,"")</x:f>
      </x:c>
      <x:c r="BK60" s="168" t="str">
        <x:f>IF(AND(BK$6&lt;=$H60,BK$6+6&gt;=$G60),1,"")</x:f>
      </x:c>
    </x:row>
    <x:row r="61" ht="24" customHeight="1">
      <x:c r="A61" s="68" t="str">
        <x:f>'Research Tasks'!A59</x:f>
        <x:v>T-802</x:v>
      </x:c>
      <x:c r="B61" s="68" t="str">
        <x:f>'Research Tasks'!B59</x:f>
        <x:v>M8</x:v>
      </x:c>
      <x:c r="C61" s="68" t="str">
        <x:f>'Research Tasks'!C59</x:f>
        <x:v>Research Ops</x:v>
      </x:c>
      <x:c r="D61" s="68" t="str">
        <x:f>'Research Tasks'!D59</x:f>
        <x:v>Finalize experiment manifests and inheritance rules</x:v>
      </x:c>
      <x:c r="E61" s="68" t="str">
        <x:f>'Research Tasks'!E59</x:f>
        <x:v>T-003, AI-112, T-801</x:v>
      </x:c>
      <x:c r="F61" s="68" t="str">
        <x:f>'Research Tasks'!F59</x:f>
        <x:v>Blocked</x:v>
      </x:c>
      <x:c r="G61" s="94" t="n">
        <x:f>'Research Tasks'!I59</x:f>
        <x:v>46295</x:v>
      </x:c>
      <x:c r="H61" s="94" t="n">
        <x:f>'Research Tasks'!J59</x:f>
        <x:v>46296</x:v>
      </x:c>
      <x:c r="I61" s="166" t="str">
        <x:f>IF(AND(I$6&lt;=$H61,I$6+6&gt;=$G61),1,"")</x:f>
      </x:c>
      <x:c r="J61" s="167" t="str">
        <x:f>IF(AND(J$6&lt;=$H61,J$6+6&gt;=$G61),1,"")</x:f>
      </x:c>
      <x:c r="K61" s="167" t="str">
        <x:f>IF(AND(K$6&lt;=$H61,K$6+6&gt;=$G61),1,"")</x:f>
      </x:c>
      <x:c r="L61" s="167" t="str">
        <x:f>IF(AND(L$6&lt;=$H61,L$6+6&gt;=$G61),1,"")</x:f>
      </x:c>
      <x:c r="M61" s="167" t="str">
        <x:f>IF(AND(M$6&lt;=$H61,M$6+6&gt;=$G61),1,"")</x:f>
      </x:c>
      <x:c r="N61" s="167" t="str">
        <x:f>IF(AND(N$6&lt;=$H61,N$6+6&gt;=$G61),1,"")</x:f>
      </x:c>
      <x:c r="O61" s="167" t="str">
        <x:f>IF(AND(O$6&lt;=$H61,O$6+6&gt;=$G61),1,"")</x:f>
      </x:c>
      <x:c r="P61" s="167" t="str">
        <x:f>IF(AND(P$6&lt;=$H61,P$6+6&gt;=$G61),1,"")</x:f>
      </x:c>
      <x:c r="Q61" s="167" t="n">
        <x:f>IF(AND(Q$6&lt;=$H61,Q$6+6&gt;=$G61),1,"")</x:f>
        <x:v>1</x:v>
      </x:c>
      <x:c r="R61" s="167" t="str">
        <x:f>IF(AND(R$6&lt;=$H61,R$6+6&gt;=$G61),1,"")</x:f>
      </x:c>
      <x:c r="S61" s="167" t="str">
        <x:f>IF(AND(S$6&lt;=$H61,S$6+6&gt;=$G61),1,"")</x:f>
      </x:c>
      <x:c r="T61" s="167" t="str">
        <x:f>IF(AND(T$6&lt;=$H61,T$6+6&gt;=$G61),1,"")</x:f>
      </x:c>
      <x:c r="U61" s="167" t="str">
        <x:f>IF(AND(U$6&lt;=$H61,U$6+6&gt;=$G61),1,"")</x:f>
      </x:c>
      <x:c r="V61" s="167" t="str">
        <x:f>IF(AND(V$6&lt;=$H61,V$6+6&gt;=$G61),1,"")</x:f>
      </x:c>
      <x:c r="W61" s="167" t="str">
        <x:f>IF(AND(W$6&lt;=$H61,W$6+6&gt;=$G61),1,"")</x:f>
      </x:c>
      <x:c r="X61" s="167" t="str">
        <x:f>IF(AND(X$6&lt;=$H61,X$6+6&gt;=$G61),1,"")</x:f>
      </x:c>
      <x:c r="Y61" s="167" t="str">
        <x:f>IF(AND(Y$6&lt;=$H61,Y$6+6&gt;=$G61),1,"")</x:f>
      </x:c>
      <x:c r="Z61" s="167" t="str">
        <x:f>IF(AND(Z$6&lt;=$H61,Z$6+6&gt;=$G61),1,"")</x:f>
      </x:c>
      <x:c r="AA61" s="167" t="str">
        <x:f>IF(AND(AA$6&lt;=$H61,AA$6+6&gt;=$G61),1,"")</x:f>
      </x:c>
      <x:c r="AB61" s="167" t="str">
        <x:f>IF(AND(AB$6&lt;=$H61,AB$6+6&gt;=$G61),1,"")</x:f>
      </x:c>
      <x:c r="AC61" s="167" t="str">
        <x:f>IF(AND(AC$6&lt;=$H61,AC$6+6&gt;=$G61),1,"")</x:f>
      </x:c>
      <x:c r="AD61" s="167" t="str">
        <x:f>IF(AND(AD$6&lt;=$H61,AD$6+6&gt;=$G61),1,"")</x:f>
      </x:c>
      <x:c r="AE61" s="167" t="str">
        <x:f>IF(AND(AE$6&lt;=$H61,AE$6+6&gt;=$G61),1,"")</x:f>
      </x:c>
      <x:c r="AF61" s="167" t="str">
        <x:f>IF(AND(AF$6&lt;=$H61,AF$6+6&gt;=$G61),1,"")</x:f>
      </x:c>
      <x:c r="AG61" s="167" t="str">
        <x:f>IF(AND(AG$6&lt;=$H61,AG$6+6&gt;=$G61),1,"")</x:f>
      </x:c>
      <x:c r="AH61" s="167" t="str">
        <x:f>IF(AND(AH$6&lt;=$H61,AH$6+6&gt;=$G61),1,"")</x:f>
      </x:c>
      <x:c r="AI61" s="167" t="str">
        <x:f>IF(AND(AI$6&lt;=$H61,AI$6+6&gt;=$G61),1,"")</x:f>
      </x:c>
      <x:c r="AJ61" s="167" t="str">
        <x:f>IF(AND(AJ$6&lt;=$H61,AJ$6+6&gt;=$G61),1,"")</x:f>
      </x:c>
      <x:c r="AK61" s="167" t="str">
        <x:f>IF(AND(AK$6&lt;=$H61,AK$6+6&gt;=$G61),1,"")</x:f>
      </x:c>
      <x:c r="AL61" s="167" t="str">
        <x:f>IF(AND(AL$6&lt;=$H61,AL$6+6&gt;=$G61),1,"")</x:f>
      </x:c>
      <x:c r="AM61" s="167" t="str">
        <x:f>IF(AND(AM$6&lt;=$H61,AM$6+6&gt;=$G61),1,"")</x:f>
      </x:c>
      <x:c r="AN61" s="167" t="str">
        <x:f>IF(AND(AN$6&lt;=$H61,AN$6+6&gt;=$G61),1,"")</x:f>
      </x:c>
      <x:c r="AO61" s="167" t="str">
        <x:f>IF(AND(AO$6&lt;=$H61,AO$6+6&gt;=$G61),1,"")</x:f>
      </x:c>
      <x:c r="AP61" s="167" t="str">
        <x:f>IF(AND(AP$6&lt;=$H61,AP$6+6&gt;=$G61),1,"")</x:f>
      </x:c>
      <x:c r="AQ61" s="167" t="str">
        <x:f>IF(AND(AQ$6&lt;=$H61,AQ$6+6&gt;=$G61),1,"")</x:f>
      </x:c>
      <x:c r="AR61" s="167" t="str">
        <x:f>IF(AND(AR$6&lt;=$H61,AR$6+6&gt;=$G61),1,"")</x:f>
      </x:c>
      <x:c r="AS61" s="167" t="str">
        <x:f>IF(AND(AS$6&lt;=$H61,AS$6+6&gt;=$G61),1,"")</x:f>
      </x:c>
      <x:c r="AT61" s="167" t="str">
        <x:f>IF(AND(AT$6&lt;=$H61,AT$6+6&gt;=$G61),1,"")</x:f>
      </x:c>
      <x:c r="AU61" s="167" t="str">
        <x:f>IF(AND(AU$6&lt;=$H61,AU$6+6&gt;=$G61),1,"")</x:f>
      </x:c>
      <x:c r="AV61" s="167" t="str">
        <x:f>IF(AND(AV$6&lt;=$H61,AV$6+6&gt;=$G61),1,"")</x:f>
      </x:c>
      <x:c r="AW61" s="167" t="str">
        <x:f>IF(AND(AW$6&lt;=$H61,AW$6+6&gt;=$G61),1,"")</x:f>
      </x:c>
      <x:c r="AX61" s="167" t="str">
        <x:f>IF(AND(AX$6&lt;=$H61,AX$6+6&gt;=$G61),1,"")</x:f>
      </x:c>
      <x:c r="AY61" s="167" t="str">
        <x:f>IF(AND(AY$6&lt;=$H61,AY$6+6&gt;=$G61),1,"")</x:f>
      </x:c>
      <x:c r="AZ61" s="167" t="str">
        <x:f>IF(AND(AZ$6&lt;=$H61,AZ$6+6&gt;=$G61),1,"")</x:f>
      </x:c>
      <x:c r="BA61" s="167" t="str">
        <x:f>IF(AND(BA$6&lt;=$H61,BA$6+6&gt;=$G61),1,"")</x:f>
      </x:c>
      <x:c r="BB61" s="167" t="str">
        <x:f>IF(AND(BB$6&lt;=$H61,BB$6+6&gt;=$G61),1,"")</x:f>
      </x:c>
      <x:c r="BC61" s="167" t="str">
        <x:f>IF(AND(BC$6&lt;=$H61,BC$6+6&gt;=$G61),1,"")</x:f>
      </x:c>
      <x:c r="BD61" s="167" t="str">
        <x:f>IF(AND(BD$6&lt;=$H61,BD$6+6&gt;=$G61),1,"")</x:f>
      </x:c>
      <x:c r="BE61" s="167" t="str">
        <x:f>IF(AND(BE$6&lt;=$H61,BE$6+6&gt;=$G61),1,"")</x:f>
      </x:c>
      <x:c r="BF61" s="167" t="str">
        <x:f>IF(AND(BF$6&lt;=$H61,BF$6+6&gt;=$G61),1,"")</x:f>
      </x:c>
      <x:c r="BG61" s="167" t="str">
        <x:f>IF(AND(BG$6&lt;=$H61,BG$6+6&gt;=$G61),1,"")</x:f>
      </x:c>
      <x:c r="BH61" s="167" t="str">
        <x:f>IF(AND(BH$6&lt;=$H61,BH$6+6&gt;=$G61),1,"")</x:f>
      </x:c>
      <x:c r="BI61" s="167" t="str">
        <x:f>IF(AND(BI$6&lt;=$H61,BI$6+6&gt;=$G61),1,"")</x:f>
      </x:c>
      <x:c r="BJ61" s="167" t="str">
        <x:f>IF(AND(BJ$6&lt;=$H61,BJ$6+6&gt;=$G61),1,"")</x:f>
      </x:c>
      <x:c r="BK61" s="168" t="str">
        <x:f>IF(AND(BK$6&lt;=$H61,BK$6+6&gt;=$G61),1,"")</x:f>
      </x:c>
    </x:row>
    <x:row r="62" ht="24" customHeight="1">
      <x:c r="A62" s="68" t="str">
        <x:f>'Research Tasks'!A60</x:f>
        <x:v>T-803</x:v>
      </x:c>
      <x:c r="B62" s="68" t="str">
        <x:f>'Research Tasks'!B60</x:f>
        <x:v>M8</x:v>
      </x:c>
      <x:c r="C62" s="68" t="str">
        <x:f>'Research Tasks'!C60</x:f>
        <x:v>Research Tooling</x:v>
      </x:c>
      <x:c r="D62" s="68" t="str">
        <x:f>'Research Tasks'!D60</x:f>
        <x:v>Build the common measurement and analysis pipeline</x:v>
      </x:c>
      <x:c r="E62" s="68" t="str">
        <x:f>'Research Tasks'!E60</x:f>
        <x:v>T-408, T-802</x:v>
      </x:c>
      <x:c r="F62" s="68" t="str">
        <x:f>'Research Tasks'!F60</x:f>
        <x:v>Blocked</x:v>
      </x:c>
      <x:c r="G62" s="94" t="n">
        <x:f>'Research Tasks'!I60</x:f>
        <x:v>46297</x:v>
      </x:c>
      <x:c r="H62" s="94" t="n">
        <x:f>'Research Tasks'!J60</x:f>
        <x:v>46303</x:v>
      </x:c>
      <x:c r="I62" s="166" t="str">
        <x:f>IF(AND(I$6&lt;=$H62,I$6+6&gt;=$G62),1,"")</x:f>
      </x:c>
      <x:c r="J62" s="167" t="str">
        <x:f>IF(AND(J$6&lt;=$H62,J$6+6&gt;=$G62),1,"")</x:f>
      </x:c>
      <x:c r="K62" s="167" t="str">
        <x:f>IF(AND(K$6&lt;=$H62,K$6+6&gt;=$G62),1,"")</x:f>
      </x:c>
      <x:c r="L62" s="167" t="str">
        <x:f>IF(AND(L$6&lt;=$H62,L$6+6&gt;=$G62),1,"")</x:f>
      </x:c>
      <x:c r="M62" s="167" t="str">
        <x:f>IF(AND(M$6&lt;=$H62,M$6+6&gt;=$G62),1,"")</x:f>
      </x:c>
      <x:c r="N62" s="167" t="str">
        <x:f>IF(AND(N$6&lt;=$H62,N$6+6&gt;=$G62),1,"")</x:f>
      </x:c>
      <x:c r="O62" s="167" t="str">
        <x:f>IF(AND(O$6&lt;=$H62,O$6+6&gt;=$G62),1,"")</x:f>
      </x:c>
      <x:c r="P62" s="167" t="str">
        <x:f>IF(AND(P$6&lt;=$H62,P$6+6&gt;=$G62),1,"")</x:f>
      </x:c>
      <x:c r="Q62" s="167" t="n">
        <x:f>IF(AND(Q$6&lt;=$H62,Q$6+6&gt;=$G62),1,"")</x:f>
        <x:v>1</x:v>
      </x:c>
      <x:c r="R62" s="167" t="n">
        <x:f>IF(AND(R$6&lt;=$H62,R$6+6&gt;=$G62),1,"")</x:f>
        <x:v>1</x:v>
      </x:c>
      <x:c r="S62" s="167" t="str">
        <x:f>IF(AND(S$6&lt;=$H62,S$6+6&gt;=$G62),1,"")</x:f>
      </x:c>
      <x:c r="T62" s="167" t="str">
        <x:f>IF(AND(T$6&lt;=$H62,T$6+6&gt;=$G62),1,"")</x:f>
      </x:c>
      <x:c r="U62" s="167" t="str">
        <x:f>IF(AND(U$6&lt;=$H62,U$6+6&gt;=$G62),1,"")</x:f>
      </x:c>
      <x:c r="V62" s="167" t="str">
        <x:f>IF(AND(V$6&lt;=$H62,V$6+6&gt;=$G62),1,"")</x:f>
      </x:c>
      <x:c r="W62" s="167" t="str">
        <x:f>IF(AND(W$6&lt;=$H62,W$6+6&gt;=$G62),1,"")</x:f>
      </x:c>
      <x:c r="X62" s="167" t="str">
        <x:f>IF(AND(X$6&lt;=$H62,X$6+6&gt;=$G62),1,"")</x:f>
      </x:c>
      <x:c r="Y62" s="167" t="str">
        <x:f>IF(AND(Y$6&lt;=$H62,Y$6+6&gt;=$G62),1,"")</x:f>
      </x:c>
      <x:c r="Z62" s="167" t="str">
        <x:f>IF(AND(Z$6&lt;=$H62,Z$6+6&gt;=$G62),1,"")</x:f>
      </x:c>
      <x:c r="AA62" s="167" t="str">
        <x:f>IF(AND(AA$6&lt;=$H62,AA$6+6&gt;=$G62),1,"")</x:f>
      </x:c>
      <x:c r="AB62" s="167" t="str">
        <x:f>IF(AND(AB$6&lt;=$H62,AB$6+6&gt;=$G62),1,"")</x:f>
      </x:c>
      <x:c r="AC62" s="167" t="str">
        <x:f>IF(AND(AC$6&lt;=$H62,AC$6+6&gt;=$G62),1,"")</x:f>
      </x:c>
      <x:c r="AD62" s="167" t="str">
        <x:f>IF(AND(AD$6&lt;=$H62,AD$6+6&gt;=$G62),1,"")</x:f>
      </x:c>
      <x:c r="AE62" s="167" t="str">
        <x:f>IF(AND(AE$6&lt;=$H62,AE$6+6&gt;=$G62),1,"")</x:f>
      </x:c>
      <x:c r="AF62" s="167" t="str">
        <x:f>IF(AND(AF$6&lt;=$H62,AF$6+6&gt;=$G62),1,"")</x:f>
      </x:c>
      <x:c r="AG62" s="167" t="str">
        <x:f>IF(AND(AG$6&lt;=$H62,AG$6+6&gt;=$G62),1,"")</x:f>
      </x:c>
      <x:c r="AH62" s="167" t="str">
        <x:f>IF(AND(AH$6&lt;=$H62,AH$6+6&gt;=$G62),1,"")</x:f>
      </x:c>
      <x:c r="AI62" s="167" t="str">
        <x:f>IF(AND(AI$6&lt;=$H62,AI$6+6&gt;=$G62),1,"")</x:f>
      </x:c>
      <x:c r="AJ62" s="167" t="str">
        <x:f>IF(AND(AJ$6&lt;=$H62,AJ$6+6&gt;=$G62),1,"")</x:f>
      </x:c>
      <x:c r="AK62" s="167" t="str">
        <x:f>IF(AND(AK$6&lt;=$H62,AK$6+6&gt;=$G62),1,"")</x:f>
      </x:c>
      <x:c r="AL62" s="167" t="str">
        <x:f>IF(AND(AL$6&lt;=$H62,AL$6+6&gt;=$G62),1,"")</x:f>
      </x:c>
      <x:c r="AM62" s="167" t="str">
        <x:f>IF(AND(AM$6&lt;=$H62,AM$6+6&gt;=$G62),1,"")</x:f>
      </x:c>
      <x:c r="AN62" s="167" t="str">
        <x:f>IF(AND(AN$6&lt;=$H62,AN$6+6&gt;=$G62),1,"")</x:f>
      </x:c>
      <x:c r="AO62" s="167" t="str">
        <x:f>IF(AND(AO$6&lt;=$H62,AO$6+6&gt;=$G62),1,"")</x:f>
      </x:c>
      <x:c r="AP62" s="167" t="str">
        <x:f>IF(AND(AP$6&lt;=$H62,AP$6+6&gt;=$G62),1,"")</x:f>
      </x:c>
      <x:c r="AQ62" s="167" t="str">
        <x:f>IF(AND(AQ$6&lt;=$H62,AQ$6+6&gt;=$G62),1,"")</x:f>
      </x:c>
      <x:c r="AR62" s="167" t="str">
        <x:f>IF(AND(AR$6&lt;=$H62,AR$6+6&gt;=$G62),1,"")</x:f>
      </x:c>
      <x:c r="AS62" s="167" t="str">
        <x:f>IF(AND(AS$6&lt;=$H62,AS$6+6&gt;=$G62),1,"")</x:f>
      </x:c>
      <x:c r="AT62" s="167" t="str">
        <x:f>IF(AND(AT$6&lt;=$H62,AT$6+6&gt;=$G62),1,"")</x:f>
      </x:c>
      <x:c r="AU62" s="167" t="str">
        <x:f>IF(AND(AU$6&lt;=$H62,AU$6+6&gt;=$G62),1,"")</x:f>
      </x:c>
      <x:c r="AV62" s="167" t="str">
        <x:f>IF(AND(AV$6&lt;=$H62,AV$6+6&gt;=$G62),1,"")</x:f>
      </x:c>
      <x:c r="AW62" s="167" t="str">
        <x:f>IF(AND(AW$6&lt;=$H62,AW$6+6&gt;=$G62),1,"")</x:f>
      </x:c>
      <x:c r="AX62" s="167" t="str">
        <x:f>IF(AND(AX$6&lt;=$H62,AX$6+6&gt;=$G62),1,"")</x:f>
      </x:c>
      <x:c r="AY62" s="167" t="str">
        <x:f>IF(AND(AY$6&lt;=$H62,AY$6+6&gt;=$G62),1,"")</x:f>
      </x:c>
      <x:c r="AZ62" s="167" t="str">
        <x:f>IF(AND(AZ$6&lt;=$H62,AZ$6+6&gt;=$G62),1,"")</x:f>
      </x:c>
      <x:c r="BA62" s="167" t="str">
        <x:f>IF(AND(BA$6&lt;=$H62,BA$6+6&gt;=$G62),1,"")</x:f>
      </x:c>
      <x:c r="BB62" s="167" t="str">
        <x:f>IF(AND(BB$6&lt;=$H62,BB$6+6&gt;=$G62),1,"")</x:f>
      </x:c>
      <x:c r="BC62" s="167" t="str">
        <x:f>IF(AND(BC$6&lt;=$H62,BC$6+6&gt;=$G62),1,"")</x:f>
      </x:c>
      <x:c r="BD62" s="167" t="str">
        <x:f>IF(AND(BD$6&lt;=$H62,BD$6+6&gt;=$G62),1,"")</x:f>
      </x:c>
      <x:c r="BE62" s="167" t="str">
        <x:f>IF(AND(BE$6&lt;=$H62,BE$6+6&gt;=$G62),1,"")</x:f>
      </x:c>
      <x:c r="BF62" s="167" t="str">
        <x:f>IF(AND(BF$6&lt;=$H62,BF$6+6&gt;=$G62),1,"")</x:f>
      </x:c>
      <x:c r="BG62" s="167" t="str">
        <x:f>IF(AND(BG$6&lt;=$H62,BG$6+6&gt;=$G62),1,"")</x:f>
      </x:c>
      <x:c r="BH62" s="167" t="str">
        <x:f>IF(AND(BH$6&lt;=$H62,BH$6+6&gt;=$G62),1,"")</x:f>
      </x:c>
      <x:c r="BI62" s="167" t="str">
        <x:f>IF(AND(BI$6&lt;=$H62,BI$6+6&gt;=$G62),1,"")</x:f>
      </x:c>
      <x:c r="BJ62" s="167" t="str">
        <x:f>IF(AND(BJ$6&lt;=$H62,BJ$6+6&gt;=$G62),1,"")</x:f>
      </x:c>
      <x:c r="BK62" s="168" t="str">
        <x:f>IF(AND(BK$6&lt;=$H62,BK$6+6&gt;=$G62),1,"")</x:f>
      </x:c>
    </x:row>
    <x:row r="63" ht="24" customHeight="1">
      <x:c r="A63" s="68" t="str">
        <x:f>'Research Tasks'!A61</x:f>
        <x:v>T-804</x:v>
      </x:c>
      <x:c r="B63" s="68" t="str">
        <x:f>'Research Tasks'!B61</x:f>
        <x:v>M8</x:v>
      </x:c>
      <x:c r="C63" s="68" t="str">
        <x:f>'Research Tasks'!C61</x:f>
        <x:v>Experimental Design</x:v>
      </x:c>
      <x:c r="D63" s="68" t="str">
        <x:f>'Research Tasks'!D61</x:f>
        <x:v>Define replication, stopping, and analysis plans</x:v>
      </x:c>
      <x:c r="E63" s="68" t="str">
        <x:f>'Research Tasks'!E61</x:f>
        <x:v>T-801, T-803</x:v>
      </x:c>
      <x:c r="F63" s="68" t="str">
        <x:f>'Research Tasks'!F61</x:f>
        <x:v>Blocked</x:v>
      </x:c>
      <x:c r="G63" s="94" t="n">
        <x:f>'Research Tasks'!I61</x:f>
        <x:v>46304</x:v>
      </x:c>
      <x:c r="H63" s="94" t="n">
        <x:f>'Research Tasks'!J61</x:f>
        <x:v>46308</x:v>
      </x:c>
      <x:c r="I63" s="166" t="str">
        <x:f>IF(AND(I$6&lt;=$H63,I$6+6&gt;=$G63),1,"")</x:f>
      </x:c>
      <x:c r="J63" s="167" t="str">
        <x:f>IF(AND(J$6&lt;=$H63,J$6+6&gt;=$G63),1,"")</x:f>
      </x:c>
      <x:c r="K63" s="167" t="str">
        <x:f>IF(AND(K$6&lt;=$H63,K$6+6&gt;=$G63),1,"")</x:f>
      </x:c>
      <x:c r="L63" s="167" t="str">
        <x:f>IF(AND(L$6&lt;=$H63,L$6+6&gt;=$G63),1,"")</x:f>
      </x:c>
      <x:c r="M63" s="167" t="str">
        <x:f>IF(AND(M$6&lt;=$H63,M$6+6&gt;=$G63),1,"")</x:f>
      </x:c>
      <x:c r="N63" s="167" t="str">
        <x:f>IF(AND(N$6&lt;=$H63,N$6+6&gt;=$G63),1,"")</x:f>
      </x:c>
      <x:c r="O63" s="167" t="str">
        <x:f>IF(AND(O$6&lt;=$H63,O$6+6&gt;=$G63),1,"")</x:f>
      </x:c>
      <x:c r="P63" s="167" t="str">
        <x:f>IF(AND(P$6&lt;=$H63,P$6+6&gt;=$G63),1,"")</x:f>
      </x:c>
      <x:c r="Q63" s="167" t="str">
        <x:f>IF(AND(Q$6&lt;=$H63,Q$6+6&gt;=$G63),1,"")</x:f>
      </x:c>
      <x:c r="R63" s="167" t="n">
        <x:f>IF(AND(R$6&lt;=$H63,R$6+6&gt;=$G63),1,"")</x:f>
        <x:v>1</x:v>
      </x:c>
      <x:c r="S63" s="167" t="n">
        <x:f>IF(AND(S$6&lt;=$H63,S$6+6&gt;=$G63),1,"")</x:f>
        <x:v>1</x:v>
      </x:c>
      <x:c r="T63" s="167" t="str">
        <x:f>IF(AND(T$6&lt;=$H63,T$6+6&gt;=$G63),1,"")</x:f>
      </x:c>
      <x:c r="U63" s="167" t="str">
        <x:f>IF(AND(U$6&lt;=$H63,U$6+6&gt;=$G63),1,"")</x:f>
      </x:c>
      <x:c r="V63" s="167" t="str">
        <x:f>IF(AND(V$6&lt;=$H63,V$6+6&gt;=$G63),1,"")</x:f>
      </x:c>
      <x:c r="W63" s="167" t="str">
        <x:f>IF(AND(W$6&lt;=$H63,W$6+6&gt;=$G63),1,"")</x:f>
      </x:c>
      <x:c r="X63" s="167" t="str">
        <x:f>IF(AND(X$6&lt;=$H63,X$6+6&gt;=$G63),1,"")</x:f>
      </x:c>
      <x:c r="Y63" s="167" t="str">
        <x:f>IF(AND(Y$6&lt;=$H63,Y$6+6&gt;=$G63),1,"")</x:f>
      </x:c>
      <x:c r="Z63" s="167" t="str">
        <x:f>IF(AND(Z$6&lt;=$H63,Z$6+6&gt;=$G63),1,"")</x:f>
      </x:c>
      <x:c r="AA63" s="167" t="str">
        <x:f>IF(AND(AA$6&lt;=$H63,AA$6+6&gt;=$G63),1,"")</x:f>
      </x:c>
      <x:c r="AB63" s="167" t="str">
        <x:f>IF(AND(AB$6&lt;=$H63,AB$6+6&gt;=$G63),1,"")</x:f>
      </x:c>
      <x:c r="AC63" s="167" t="str">
        <x:f>IF(AND(AC$6&lt;=$H63,AC$6+6&gt;=$G63),1,"")</x:f>
      </x:c>
      <x:c r="AD63" s="167" t="str">
        <x:f>IF(AND(AD$6&lt;=$H63,AD$6+6&gt;=$G63),1,"")</x:f>
      </x:c>
      <x:c r="AE63" s="167" t="str">
        <x:f>IF(AND(AE$6&lt;=$H63,AE$6+6&gt;=$G63),1,"")</x:f>
      </x:c>
      <x:c r="AF63" s="167" t="str">
        <x:f>IF(AND(AF$6&lt;=$H63,AF$6+6&gt;=$G63),1,"")</x:f>
      </x:c>
      <x:c r="AG63" s="167" t="str">
        <x:f>IF(AND(AG$6&lt;=$H63,AG$6+6&gt;=$G63),1,"")</x:f>
      </x:c>
      <x:c r="AH63" s="167" t="str">
        <x:f>IF(AND(AH$6&lt;=$H63,AH$6+6&gt;=$G63),1,"")</x:f>
      </x:c>
      <x:c r="AI63" s="167" t="str">
        <x:f>IF(AND(AI$6&lt;=$H63,AI$6+6&gt;=$G63),1,"")</x:f>
      </x:c>
      <x:c r="AJ63" s="167" t="str">
        <x:f>IF(AND(AJ$6&lt;=$H63,AJ$6+6&gt;=$G63),1,"")</x:f>
      </x:c>
      <x:c r="AK63" s="167" t="str">
        <x:f>IF(AND(AK$6&lt;=$H63,AK$6+6&gt;=$G63),1,"")</x:f>
      </x:c>
      <x:c r="AL63" s="167" t="str">
        <x:f>IF(AND(AL$6&lt;=$H63,AL$6+6&gt;=$G63),1,"")</x:f>
      </x:c>
      <x:c r="AM63" s="167" t="str">
        <x:f>IF(AND(AM$6&lt;=$H63,AM$6+6&gt;=$G63),1,"")</x:f>
      </x:c>
      <x:c r="AN63" s="167" t="str">
        <x:f>IF(AND(AN$6&lt;=$H63,AN$6+6&gt;=$G63),1,"")</x:f>
      </x:c>
      <x:c r="AO63" s="167" t="str">
        <x:f>IF(AND(AO$6&lt;=$H63,AO$6+6&gt;=$G63),1,"")</x:f>
      </x:c>
      <x:c r="AP63" s="167" t="str">
        <x:f>IF(AND(AP$6&lt;=$H63,AP$6+6&gt;=$G63),1,"")</x:f>
      </x:c>
      <x:c r="AQ63" s="167" t="str">
        <x:f>IF(AND(AQ$6&lt;=$H63,AQ$6+6&gt;=$G63),1,"")</x:f>
      </x:c>
      <x:c r="AR63" s="167" t="str">
        <x:f>IF(AND(AR$6&lt;=$H63,AR$6+6&gt;=$G63),1,"")</x:f>
      </x:c>
      <x:c r="AS63" s="167" t="str">
        <x:f>IF(AND(AS$6&lt;=$H63,AS$6+6&gt;=$G63),1,"")</x:f>
      </x:c>
      <x:c r="AT63" s="167" t="str">
        <x:f>IF(AND(AT$6&lt;=$H63,AT$6+6&gt;=$G63),1,"")</x:f>
      </x:c>
      <x:c r="AU63" s="167" t="str">
        <x:f>IF(AND(AU$6&lt;=$H63,AU$6+6&gt;=$G63),1,"")</x:f>
      </x:c>
      <x:c r="AV63" s="167" t="str">
        <x:f>IF(AND(AV$6&lt;=$H63,AV$6+6&gt;=$G63),1,"")</x:f>
      </x:c>
      <x:c r="AW63" s="167" t="str">
        <x:f>IF(AND(AW$6&lt;=$H63,AW$6+6&gt;=$G63),1,"")</x:f>
      </x:c>
      <x:c r="AX63" s="167" t="str">
        <x:f>IF(AND(AX$6&lt;=$H63,AX$6+6&gt;=$G63),1,"")</x:f>
      </x:c>
      <x:c r="AY63" s="167" t="str">
        <x:f>IF(AND(AY$6&lt;=$H63,AY$6+6&gt;=$G63),1,"")</x:f>
      </x:c>
      <x:c r="AZ63" s="167" t="str">
        <x:f>IF(AND(AZ$6&lt;=$H63,AZ$6+6&gt;=$G63),1,"")</x:f>
      </x:c>
      <x:c r="BA63" s="167" t="str">
        <x:f>IF(AND(BA$6&lt;=$H63,BA$6+6&gt;=$G63),1,"")</x:f>
      </x:c>
      <x:c r="BB63" s="167" t="str">
        <x:f>IF(AND(BB$6&lt;=$H63,BB$6+6&gt;=$G63),1,"")</x:f>
      </x:c>
      <x:c r="BC63" s="167" t="str">
        <x:f>IF(AND(BC$6&lt;=$H63,BC$6+6&gt;=$G63),1,"")</x:f>
      </x:c>
      <x:c r="BD63" s="167" t="str">
        <x:f>IF(AND(BD$6&lt;=$H63,BD$6+6&gt;=$G63),1,"")</x:f>
      </x:c>
      <x:c r="BE63" s="167" t="str">
        <x:f>IF(AND(BE$6&lt;=$H63,BE$6+6&gt;=$G63),1,"")</x:f>
      </x:c>
      <x:c r="BF63" s="167" t="str">
        <x:f>IF(AND(BF$6&lt;=$H63,BF$6+6&gt;=$G63),1,"")</x:f>
      </x:c>
      <x:c r="BG63" s="167" t="str">
        <x:f>IF(AND(BG$6&lt;=$H63,BG$6+6&gt;=$G63),1,"")</x:f>
      </x:c>
      <x:c r="BH63" s="167" t="str">
        <x:f>IF(AND(BH$6&lt;=$H63,BH$6+6&gt;=$G63),1,"")</x:f>
      </x:c>
      <x:c r="BI63" s="167" t="str">
        <x:f>IF(AND(BI$6&lt;=$H63,BI$6+6&gt;=$G63),1,"")</x:f>
      </x:c>
      <x:c r="BJ63" s="167" t="str">
        <x:f>IF(AND(BJ$6&lt;=$H63,BJ$6+6&gt;=$G63),1,"")</x:f>
      </x:c>
      <x:c r="BK63" s="168" t="str">
        <x:f>IF(AND(BK$6&lt;=$H63,BK$6+6&gt;=$G63),1,"")</x:f>
      </x:c>
    </x:row>
    <x:row r="64" ht="24" customHeight="1">
      <x:c r="A64" s="68" t="str">
        <x:f>'Research Tasks'!A62</x:f>
        <x:v>T-805</x:v>
      </x:c>
      <x:c r="B64" s="68" t="str">
        <x:f>'Research Tasks'!B62</x:f>
        <x:v>M8</x:v>
      </x:c>
      <x:c r="C64" s="68" t="str">
        <x:f>'Research Tasks'!C62</x:f>
        <x:v>Validation/Research Ops</x:v>
      </x:c>
      <x:c r="D64" s="68" t="str">
        <x:f>'Research Tasks'!D62</x:f>
        <x:v>Maintain the capability-readiness matrix</x:v>
      </x:c>
      <x:c r="E64" s="68" t="str">
        <x:f>'Research Tasks'!E62</x:f>
        <x:v>T-801, T-802</x:v>
      </x:c>
      <x:c r="F64" s="68" t="str">
        <x:f>'Research Tasks'!F62</x:f>
        <x:v>Blocked</x:v>
      </x:c>
      <x:c r="G64" s="94" t="n">
        <x:f>'Research Tasks'!I62</x:f>
        <x:v>46309</x:v>
      </x:c>
      <x:c r="H64" s="94" t="n">
        <x:f>'Research Tasks'!J62</x:f>
        <x:v>46309</x:v>
      </x:c>
      <x:c r="I64" s="166" t="str">
        <x:f>IF(AND(I$6&lt;=$H64,I$6+6&gt;=$G64),1,"")</x:f>
      </x:c>
      <x:c r="J64" s="167" t="str">
        <x:f>IF(AND(J$6&lt;=$H64,J$6+6&gt;=$G64),1,"")</x:f>
      </x:c>
      <x:c r="K64" s="167" t="str">
        <x:f>IF(AND(K$6&lt;=$H64,K$6+6&gt;=$G64),1,"")</x:f>
      </x:c>
      <x:c r="L64" s="167" t="str">
        <x:f>IF(AND(L$6&lt;=$H64,L$6+6&gt;=$G64),1,"")</x:f>
      </x:c>
      <x:c r="M64" s="167" t="str">
        <x:f>IF(AND(M$6&lt;=$H64,M$6+6&gt;=$G64),1,"")</x:f>
      </x:c>
      <x:c r="N64" s="167" t="str">
        <x:f>IF(AND(N$6&lt;=$H64,N$6+6&gt;=$G64),1,"")</x:f>
      </x:c>
      <x:c r="O64" s="167" t="str">
        <x:f>IF(AND(O$6&lt;=$H64,O$6+6&gt;=$G64),1,"")</x:f>
      </x:c>
      <x:c r="P64" s="167" t="str">
        <x:f>IF(AND(P$6&lt;=$H64,P$6+6&gt;=$G64),1,"")</x:f>
      </x:c>
      <x:c r="Q64" s="167" t="str">
        <x:f>IF(AND(Q$6&lt;=$H64,Q$6+6&gt;=$G64),1,"")</x:f>
      </x:c>
      <x:c r="R64" s="167" t="str">
        <x:f>IF(AND(R$6&lt;=$H64,R$6+6&gt;=$G64),1,"")</x:f>
      </x:c>
      <x:c r="S64" s="167" t="n">
        <x:f>IF(AND(S$6&lt;=$H64,S$6+6&gt;=$G64),1,"")</x:f>
        <x:v>1</x:v>
      </x:c>
      <x:c r="T64" s="167" t="str">
        <x:f>IF(AND(T$6&lt;=$H64,T$6+6&gt;=$G64),1,"")</x:f>
      </x:c>
      <x:c r="U64" s="167" t="str">
        <x:f>IF(AND(U$6&lt;=$H64,U$6+6&gt;=$G64),1,"")</x:f>
      </x:c>
      <x:c r="V64" s="167" t="str">
        <x:f>IF(AND(V$6&lt;=$H64,V$6+6&gt;=$G64),1,"")</x:f>
      </x:c>
      <x:c r="W64" s="167" t="str">
        <x:f>IF(AND(W$6&lt;=$H64,W$6+6&gt;=$G64),1,"")</x:f>
      </x:c>
      <x:c r="X64" s="167" t="str">
        <x:f>IF(AND(X$6&lt;=$H64,X$6+6&gt;=$G64),1,"")</x:f>
      </x:c>
      <x:c r="Y64" s="167" t="str">
        <x:f>IF(AND(Y$6&lt;=$H64,Y$6+6&gt;=$G64),1,"")</x:f>
      </x:c>
      <x:c r="Z64" s="167" t="str">
        <x:f>IF(AND(Z$6&lt;=$H64,Z$6+6&gt;=$G64),1,"")</x:f>
      </x:c>
      <x:c r="AA64" s="167" t="str">
        <x:f>IF(AND(AA$6&lt;=$H64,AA$6+6&gt;=$G64),1,"")</x:f>
      </x:c>
      <x:c r="AB64" s="167" t="str">
        <x:f>IF(AND(AB$6&lt;=$H64,AB$6+6&gt;=$G64),1,"")</x:f>
      </x:c>
      <x:c r="AC64" s="167" t="str">
        <x:f>IF(AND(AC$6&lt;=$H64,AC$6+6&gt;=$G64),1,"")</x:f>
      </x:c>
      <x:c r="AD64" s="167" t="str">
        <x:f>IF(AND(AD$6&lt;=$H64,AD$6+6&gt;=$G64),1,"")</x:f>
      </x:c>
      <x:c r="AE64" s="167" t="str">
        <x:f>IF(AND(AE$6&lt;=$H64,AE$6+6&gt;=$G64),1,"")</x:f>
      </x:c>
      <x:c r="AF64" s="167" t="str">
        <x:f>IF(AND(AF$6&lt;=$H64,AF$6+6&gt;=$G64),1,"")</x:f>
      </x:c>
      <x:c r="AG64" s="167" t="str">
        <x:f>IF(AND(AG$6&lt;=$H64,AG$6+6&gt;=$G64),1,"")</x:f>
      </x:c>
      <x:c r="AH64" s="167" t="str">
        <x:f>IF(AND(AH$6&lt;=$H64,AH$6+6&gt;=$G64),1,"")</x:f>
      </x:c>
      <x:c r="AI64" s="167" t="str">
        <x:f>IF(AND(AI$6&lt;=$H64,AI$6+6&gt;=$G64),1,"")</x:f>
      </x:c>
      <x:c r="AJ64" s="167" t="str">
        <x:f>IF(AND(AJ$6&lt;=$H64,AJ$6+6&gt;=$G64),1,"")</x:f>
      </x:c>
      <x:c r="AK64" s="167" t="str">
        <x:f>IF(AND(AK$6&lt;=$H64,AK$6+6&gt;=$G64),1,"")</x:f>
      </x:c>
      <x:c r="AL64" s="167" t="str">
        <x:f>IF(AND(AL$6&lt;=$H64,AL$6+6&gt;=$G64),1,"")</x:f>
      </x:c>
      <x:c r="AM64" s="167" t="str">
        <x:f>IF(AND(AM$6&lt;=$H64,AM$6+6&gt;=$G64),1,"")</x:f>
      </x:c>
      <x:c r="AN64" s="167" t="str">
        <x:f>IF(AND(AN$6&lt;=$H64,AN$6+6&gt;=$G64),1,"")</x:f>
      </x:c>
      <x:c r="AO64" s="167" t="str">
        <x:f>IF(AND(AO$6&lt;=$H64,AO$6+6&gt;=$G64),1,"")</x:f>
      </x:c>
      <x:c r="AP64" s="167" t="str">
        <x:f>IF(AND(AP$6&lt;=$H64,AP$6+6&gt;=$G64),1,"")</x:f>
      </x:c>
      <x:c r="AQ64" s="167" t="str">
        <x:f>IF(AND(AQ$6&lt;=$H64,AQ$6+6&gt;=$G64),1,"")</x:f>
      </x:c>
      <x:c r="AR64" s="167" t="str">
        <x:f>IF(AND(AR$6&lt;=$H64,AR$6+6&gt;=$G64),1,"")</x:f>
      </x:c>
      <x:c r="AS64" s="167" t="str">
        <x:f>IF(AND(AS$6&lt;=$H64,AS$6+6&gt;=$G64),1,"")</x:f>
      </x:c>
      <x:c r="AT64" s="167" t="str">
        <x:f>IF(AND(AT$6&lt;=$H64,AT$6+6&gt;=$G64),1,"")</x:f>
      </x:c>
      <x:c r="AU64" s="167" t="str">
        <x:f>IF(AND(AU$6&lt;=$H64,AU$6+6&gt;=$G64),1,"")</x:f>
      </x:c>
      <x:c r="AV64" s="167" t="str">
        <x:f>IF(AND(AV$6&lt;=$H64,AV$6+6&gt;=$G64),1,"")</x:f>
      </x:c>
      <x:c r="AW64" s="167" t="str">
        <x:f>IF(AND(AW$6&lt;=$H64,AW$6+6&gt;=$G64),1,"")</x:f>
      </x:c>
      <x:c r="AX64" s="167" t="str">
        <x:f>IF(AND(AX$6&lt;=$H64,AX$6+6&gt;=$G64),1,"")</x:f>
      </x:c>
      <x:c r="AY64" s="167" t="str">
        <x:f>IF(AND(AY$6&lt;=$H64,AY$6+6&gt;=$G64),1,"")</x:f>
      </x:c>
      <x:c r="AZ64" s="167" t="str">
        <x:f>IF(AND(AZ$6&lt;=$H64,AZ$6+6&gt;=$G64),1,"")</x:f>
      </x:c>
      <x:c r="BA64" s="167" t="str">
        <x:f>IF(AND(BA$6&lt;=$H64,BA$6+6&gt;=$G64),1,"")</x:f>
      </x:c>
      <x:c r="BB64" s="167" t="str">
        <x:f>IF(AND(BB$6&lt;=$H64,BB$6+6&gt;=$G64),1,"")</x:f>
      </x:c>
      <x:c r="BC64" s="167" t="str">
        <x:f>IF(AND(BC$6&lt;=$H64,BC$6+6&gt;=$G64),1,"")</x:f>
      </x:c>
      <x:c r="BD64" s="167" t="str">
        <x:f>IF(AND(BD$6&lt;=$H64,BD$6+6&gt;=$G64),1,"")</x:f>
      </x:c>
      <x:c r="BE64" s="167" t="str">
        <x:f>IF(AND(BE$6&lt;=$H64,BE$6+6&gt;=$G64),1,"")</x:f>
      </x:c>
      <x:c r="BF64" s="167" t="str">
        <x:f>IF(AND(BF$6&lt;=$H64,BF$6+6&gt;=$G64),1,"")</x:f>
      </x:c>
      <x:c r="BG64" s="167" t="str">
        <x:f>IF(AND(BG$6&lt;=$H64,BG$6+6&gt;=$G64),1,"")</x:f>
      </x:c>
      <x:c r="BH64" s="167" t="str">
        <x:f>IF(AND(BH$6&lt;=$H64,BH$6+6&gt;=$G64),1,"")</x:f>
      </x:c>
      <x:c r="BI64" s="167" t="str">
        <x:f>IF(AND(BI$6&lt;=$H64,BI$6+6&gt;=$G64),1,"")</x:f>
      </x:c>
      <x:c r="BJ64" s="167" t="str">
        <x:f>IF(AND(BJ$6&lt;=$H64,BJ$6+6&gt;=$G64),1,"")</x:f>
      </x:c>
      <x:c r="BK64" s="168" t="str">
        <x:f>IF(AND(BK$6&lt;=$H64,BK$6+6&gt;=$G64),1,"")</x:f>
      </x:c>
    </x:row>
    <x:row r="65" ht="24" customHeight="1">
      <x:c r="A65" s="68" t="str">
        <x:f>'Research Tasks'!A63</x:f>
        <x:v>T-806</x:v>
      </x:c>
      <x:c r="B65" s="68" t="str">
        <x:f>'Research Tasks'!B63</x:f>
        <x:v>M8</x:v>
      </x:c>
      <x:c r="C65" s="68" t="str">
        <x:f>'Research Tasks'!C63</x:f>
        <x:v>Baseline Research</x:v>
      </x:c>
      <x:c r="D65" s="68" t="str">
        <x:f>'Research Tasks'!D63</x:f>
        <x:v>Publish the formal baseline and approximation report</x:v>
      </x:c>
      <x:c r="E65" s="68" t="str">
        <x:f>'Research Tasks'!E63</x:f>
        <x:v>AI-114, AI-115, T-802, T-803</x:v>
      </x:c>
      <x:c r="F65" s="68" t="str">
        <x:f>'Research Tasks'!F63</x:f>
        <x:v>Blocked</x:v>
      </x:c>
      <x:c r="G65" s="94" t="n">
        <x:f>'Research Tasks'!I63</x:f>
        <x:v>46310</x:v>
      </x:c>
      <x:c r="H65" s="94" t="n">
        <x:f>'Research Tasks'!J63</x:f>
        <x:v>46315</x:v>
      </x:c>
      <x:c r="I65" s="166" t="str">
        <x:f>IF(AND(I$6&lt;=$H65,I$6+6&gt;=$G65),1,"")</x:f>
      </x:c>
      <x:c r="J65" s="167" t="str">
        <x:f>IF(AND(J$6&lt;=$H65,J$6+6&gt;=$G65),1,"")</x:f>
      </x:c>
      <x:c r="K65" s="167" t="str">
        <x:f>IF(AND(K$6&lt;=$H65,K$6+6&gt;=$G65),1,"")</x:f>
      </x:c>
      <x:c r="L65" s="167" t="str">
        <x:f>IF(AND(L$6&lt;=$H65,L$6+6&gt;=$G65),1,"")</x:f>
      </x:c>
      <x:c r="M65" s="167" t="str">
        <x:f>IF(AND(M$6&lt;=$H65,M$6+6&gt;=$G65),1,"")</x:f>
      </x:c>
      <x:c r="N65" s="167" t="str">
        <x:f>IF(AND(N$6&lt;=$H65,N$6+6&gt;=$G65),1,"")</x:f>
      </x:c>
      <x:c r="O65" s="167" t="str">
        <x:f>IF(AND(O$6&lt;=$H65,O$6+6&gt;=$G65),1,"")</x:f>
      </x:c>
      <x:c r="P65" s="167" t="str">
        <x:f>IF(AND(P$6&lt;=$H65,P$6+6&gt;=$G65),1,"")</x:f>
      </x:c>
      <x:c r="Q65" s="167" t="str">
        <x:f>IF(AND(Q$6&lt;=$H65,Q$6+6&gt;=$G65),1,"")</x:f>
      </x:c>
      <x:c r="R65" s="167" t="str">
        <x:f>IF(AND(R$6&lt;=$H65,R$6+6&gt;=$G65),1,"")</x:f>
      </x:c>
      <x:c r="S65" s="167" t="n">
        <x:f>IF(AND(S$6&lt;=$H65,S$6+6&gt;=$G65),1,"")</x:f>
        <x:v>1</x:v>
      </x:c>
      <x:c r="T65" s="167" t="n">
        <x:f>IF(AND(T$6&lt;=$H65,T$6+6&gt;=$G65),1,"")</x:f>
        <x:v>1</x:v>
      </x:c>
      <x:c r="U65" s="167" t="str">
        <x:f>IF(AND(U$6&lt;=$H65,U$6+6&gt;=$G65),1,"")</x:f>
      </x:c>
      <x:c r="V65" s="167" t="str">
        <x:f>IF(AND(V$6&lt;=$H65,V$6+6&gt;=$G65),1,"")</x:f>
      </x:c>
      <x:c r="W65" s="167" t="str">
        <x:f>IF(AND(W$6&lt;=$H65,W$6+6&gt;=$G65),1,"")</x:f>
      </x:c>
      <x:c r="X65" s="167" t="str">
        <x:f>IF(AND(X$6&lt;=$H65,X$6+6&gt;=$G65),1,"")</x:f>
      </x:c>
      <x:c r="Y65" s="167" t="str">
        <x:f>IF(AND(Y$6&lt;=$H65,Y$6+6&gt;=$G65),1,"")</x:f>
      </x:c>
      <x:c r="Z65" s="167" t="str">
        <x:f>IF(AND(Z$6&lt;=$H65,Z$6+6&gt;=$G65),1,"")</x:f>
      </x:c>
      <x:c r="AA65" s="167" t="str">
        <x:f>IF(AND(AA$6&lt;=$H65,AA$6+6&gt;=$G65),1,"")</x:f>
      </x:c>
      <x:c r="AB65" s="167" t="str">
        <x:f>IF(AND(AB$6&lt;=$H65,AB$6+6&gt;=$G65),1,"")</x:f>
      </x:c>
      <x:c r="AC65" s="167" t="str">
        <x:f>IF(AND(AC$6&lt;=$H65,AC$6+6&gt;=$G65),1,"")</x:f>
      </x:c>
      <x:c r="AD65" s="167" t="str">
        <x:f>IF(AND(AD$6&lt;=$H65,AD$6+6&gt;=$G65),1,"")</x:f>
      </x:c>
      <x:c r="AE65" s="167" t="str">
        <x:f>IF(AND(AE$6&lt;=$H65,AE$6+6&gt;=$G65),1,"")</x:f>
      </x:c>
      <x:c r="AF65" s="167" t="str">
        <x:f>IF(AND(AF$6&lt;=$H65,AF$6+6&gt;=$G65),1,"")</x:f>
      </x:c>
      <x:c r="AG65" s="167" t="str">
        <x:f>IF(AND(AG$6&lt;=$H65,AG$6+6&gt;=$G65),1,"")</x:f>
      </x:c>
      <x:c r="AH65" s="167" t="str">
        <x:f>IF(AND(AH$6&lt;=$H65,AH$6+6&gt;=$G65),1,"")</x:f>
      </x:c>
      <x:c r="AI65" s="167" t="str">
        <x:f>IF(AND(AI$6&lt;=$H65,AI$6+6&gt;=$G65),1,"")</x:f>
      </x:c>
      <x:c r="AJ65" s="167" t="str">
        <x:f>IF(AND(AJ$6&lt;=$H65,AJ$6+6&gt;=$G65),1,"")</x:f>
      </x:c>
      <x:c r="AK65" s="167" t="str">
        <x:f>IF(AND(AK$6&lt;=$H65,AK$6+6&gt;=$G65),1,"")</x:f>
      </x:c>
      <x:c r="AL65" s="167" t="str">
        <x:f>IF(AND(AL$6&lt;=$H65,AL$6+6&gt;=$G65),1,"")</x:f>
      </x:c>
      <x:c r="AM65" s="167" t="str">
        <x:f>IF(AND(AM$6&lt;=$H65,AM$6+6&gt;=$G65),1,"")</x:f>
      </x:c>
      <x:c r="AN65" s="167" t="str">
        <x:f>IF(AND(AN$6&lt;=$H65,AN$6+6&gt;=$G65),1,"")</x:f>
      </x:c>
      <x:c r="AO65" s="167" t="str">
        <x:f>IF(AND(AO$6&lt;=$H65,AO$6+6&gt;=$G65),1,"")</x:f>
      </x:c>
      <x:c r="AP65" s="167" t="str">
        <x:f>IF(AND(AP$6&lt;=$H65,AP$6+6&gt;=$G65),1,"")</x:f>
      </x:c>
      <x:c r="AQ65" s="167" t="str">
        <x:f>IF(AND(AQ$6&lt;=$H65,AQ$6+6&gt;=$G65),1,"")</x:f>
      </x:c>
      <x:c r="AR65" s="167" t="str">
        <x:f>IF(AND(AR$6&lt;=$H65,AR$6+6&gt;=$G65),1,"")</x:f>
      </x:c>
      <x:c r="AS65" s="167" t="str">
        <x:f>IF(AND(AS$6&lt;=$H65,AS$6+6&gt;=$G65),1,"")</x:f>
      </x:c>
      <x:c r="AT65" s="167" t="str">
        <x:f>IF(AND(AT$6&lt;=$H65,AT$6+6&gt;=$G65),1,"")</x:f>
      </x:c>
      <x:c r="AU65" s="167" t="str">
        <x:f>IF(AND(AU$6&lt;=$H65,AU$6+6&gt;=$G65),1,"")</x:f>
      </x:c>
      <x:c r="AV65" s="167" t="str">
        <x:f>IF(AND(AV$6&lt;=$H65,AV$6+6&gt;=$G65),1,"")</x:f>
      </x:c>
      <x:c r="AW65" s="167" t="str">
        <x:f>IF(AND(AW$6&lt;=$H65,AW$6+6&gt;=$G65),1,"")</x:f>
      </x:c>
      <x:c r="AX65" s="167" t="str">
        <x:f>IF(AND(AX$6&lt;=$H65,AX$6+6&gt;=$G65),1,"")</x:f>
      </x:c>
      <x:c r="AY65" s="167" t="str">
        <x:f>IF(AND(AY$6&lt;=$H65,AY$6+6&gt;=$G65),1,"")</x:f>
      </x:c>
      <x:c r="AZ65" s="167" t="str">
        <x:f>IF(AND(AZ$6&lt;=$H65,AZ$6+6&gt;=$G65),1,"")</x:f>
      </x:c>
      <x:c r="BA65" s="167" t="str">
        <x:f>IF(AND(BA$6&lt;=$H65,BA$6+6&gt;=$G65),1,"")</x:f>
      </x:c>
      <x:c r="BB65" s="167" t="str">
        <x:f>IF(AND(BB$6&lt;=$H65,BB$6+6&gt;=$G65),1,"")</x:f>
      </x:c>
      <x:c r="BC65" s="167" t="str">
        <x:f>IF(AND(BC$6&lt;=$H65,BC$6+6&gt;=$G65),1,"")</x:f>
      </x:c>
      <x:c r="BD65" s="167" t="str">
        <x:f>IF(AND(BD$6&lt;=$H65,BD$6+6&gt;=$G65),1,"")</x:f>
      </x:c>
      <x:c r="BE65" s="167" t="str">
        <x:f>IF(AND(BE$6&lt;=$H65,BE$6+6&gt;=$G65),1,"")</x:f>
      </x:c>
      <x:c r="BF65" s="167" t="str">
        <x:f>IF(AND(BF$6&lt;=$H65,BF$6+6&gt;=$G65),1,"")</x:f>
      </x:c>
      <x:c r="BG65" s="167" t="str">
        <x:f>IF(AND(BG$6&lt;=$H65,BG$6+6&gt;=$G65),1,"")</x:f>
      </x:c>
      <x:c r="BH65" s="167" t="str">
        <x:f>IF(AND(BH$6&lt;=$H65,BH$6+6&gt;=$G65),1,"")</x:f>
      </x:c>
      <x:c r="BI65" s="167" t="str">
        <x:f>IF(AND(BI$6&lt;=$H65,BI$6+6&gt;=$G65),1,"")</x:f>
      </x:c>
      <x:c r="BJ65" s="167" t="str">
        <x:f>IF(AND(BJ$6&lt;=$H65,BJ$6+6&gt;=$G65),1,"")</x:f>
      </x:c>
      <x:c r="BK65" s="168" t="str">
        <x:f>IF(AND(BK$6&lt;=$H65,BK$6+6&gt;=$G65),1,"")</x:f>
      </x:c>
    </x:row>
    <x:row r="66" ht="24" customHeight="1">
      <x:c r="A66" s="68" t="str">
        <x:f>'Research Tasks'!A64</x:f>
        <x:v>T-816</x:v>
      </x:c>
      <x:c r="B66" s="68" t="str">
        <x:f>'Research Tasks'!B64</x:f>
        <x:v>M8</x:v>
      </x:c>
      <x:c r="C66" s="68" t="str">
        <x:f>'Research Tasks'!C64</x:f>
        <x:v>Research Communication/Art</x:v>
      </x:c>
      <x:c r="D66" s="68" t="str">
        <x:f>'Research Tasks'!D64</x:f>
        <x:v>Define qualitative and conceptual-artifact protocol</x:v>
      </x:c>
      <x:c r="E66" s="68" t="str">
        <x:f>'Research Tasks'!E64</x:f>
        <x:v>T-803</x:v>
      </x:c>
      <x:c r="F66" s="68" t="str">
        <x:f>'Research Tasks'!F64</x:f>
        <x:v>Blocked</x:v>
      </x:c>
      <x:c r="G66" s="94" t="n">
        <x:f>'Research Tasks'!I64</x:f>
        <x:v>46316</x:v>
      </x:c>
      <x:c r="H66" s="94" t="n">
        <x:f>'Research Tasks'!J64</x:f>
        <x:v>46318</x:v>
      </x:c>
      <x:c r="I66" s="166" t="str">
        <x:f>IF(AND(I$6&lt;=$H66,I$6+6&gt;=$G66),1,"")</x:f>
      </x:c>
      <x:c r="J66" s="167" t="str">
        <x:f>IF(AND(J$6&lt;=$H66,J$6+6&gt;=$G66),1,"")</x:f>
      </x:c>
      <x:c r="K66" s="167" t="str">
        <x:f>IF(AND(K$6&lt;=$H66,K$6+6&gt;=$G66),1,"")</x:f>
      </x:c>
      <x:c r="L66" s="167" t="str">
        <x:f>IF(AND(L$6&lt;=$H66,L$6+6&gt;=$G66),1,"")</x:f>
      </x:c>
      <x:c r="M66" s="167" t="str">
        <x:f>IF(AND(M$6&lt;=$H66,M$6+6&gt;=$G66),1,"")</x:f>
      </x:c>
      <x:c r="N66" s="167" t="str">
        <x:f>IF(AND(N$6&lt;=$H66,N$6+6&gt;=$G66),1,"")</x:f>
      </x:c>
      <x:c r="O66" s="167" t="str">
        <x:f>IF(AND(O$6&lt;=$H66,O$6+6&gt;=$G66),1,"")</x:f>
      </x:c>
      <x:c r="P66" s="167" t="str">
        <x:f>IF(AND(P$6&lt;=$H66,P$6+6&gt;=$G66),1,"")</x:f>
      </x:c>
      <x:c r="Q66" s="167" t="str">
        <x:f>IF(AND(Q$6&lt;=$H66,Q$6+6&gt;=$G66),1,"")</x:f>
      </x:c>
      <x:c r="R66" s="167" t="str">
        <x:f>IF(AND(R$6&lt;=$H66,R$6+6&gt;=$G66),1,"")</x:f>
      </x:c>
      <x:c r="S66" s="167" t="str">
        <x:f>IF(AND(S$6&lt;=$H66,S$6+6&gt;=$G66),1,"")</x:f>
      </x:c>
      <x:c r="T66" s="167" t="n">
        <x:f>IF(AND(T$6&lt;=$H66,T$6+6&gt;=$G66),1,"")</x:f>
        <x:v>1</x:v>
      </x:c>
      <x:c r="U66" s="167" t="str">
        <x:f>IF(AND(U$6&lt;=$H66,U$6+6&gt;=$G66),1,"")</x:f>
      </x:c>
      <x:c r="V66" s="167" t="str">
        <x:f>IF(AND(V$6&lt;=$H66,V$6+6&gt;=$G66),1,"")</x:f>
      </x:c>
      <x:c r="W66" s="167" t="str">
        <x:f>IF(AND(W$6&lt;=$H66,W$6+6&gt;=$G66),1,"")</x:f>
      </x:c>
      <x:c r="X66" s="167" t="str">
        <x:f>IF(AND(X$6&lt;=$H66,X$6+6&gt;=$G66),1,"")</x:f>
      </x:c>
      <x:c r="Y66" s="167" t="str">
        <x:f>IF(AND(Y$6&lt;=$H66,Y$6+6&gt;=$G66),1,"")</x:f>
      </x:c>
      <x:c r="Z66" s="167" t="str">
        <x:f>IF(AND(Z$6&lt;=$H66,Z$6+6&gt;=$G66),1,"")</x:f>
      </x:c>
      <x:c r="AA66" s="167" t="str">
        <x:f>IF(AND(AA$6&lt;=$H66,AA$6+6&gt;=$G66),1,"")</x:f>
      </x:c>
      <x:c r="AB66" s="167" t="str">
        <x:f>IF(AND(AB$6&lt;=$H66,AB$6+6&gt;=$G66),1,"")</x:f>
      </x:c>
      <x:c r="AC66" s="167" t="str">
        <x:f>IF(AND(AC$6&lt;=$H66,AC$6+6&gt;=$G66),1,"")</x:f>
      </x:c>
      <x:c r="AD66" s="167" t="str">
        <x:f>IF(AND(AD$6&lt;=$H66,AD$6+6&gt;=$G66),1,"")</x:f>
      </x:c>
      <x:c r="AE66" s="167" t="str">
        <x:f>IF(AND(AE$6&lt;=$H66,AE$6+6&gt;=$G66),1,"")</x:f>
      </x:c>
      <x:c r="AF66" s="167" t="str">
        <x:f>IF(AND(AF$6&lt;=$H66,AF$6+6&gt;=$G66),1,"")</x:f>
      </x:c>
      <x:c r="AG66" s="167" t="str">
        <x:f>IF(AND(AG$6&lt;=$H66,AG$6+6&gt;=$G66),1,"")</x:f>
      </x:c>
      <x:c r="AH66" s="167" t="str">
        <x:f>IF(AND(AH$6&lt;=$H66,AH$6+6&gt;=$G66),1,"")</x:f>
      </x:c>
      <x:c r="AI66" s="167" t="str">
        <x:f>IF(AND(AI$6&lt;=$H66,AI$6+6&gt;=$G66),1,"")</x:f>
      </x:c>
      <x:c r="AJ66" s="167" t="str">
        <x:f>IF(AND(AJ$6&lt;=$H66,AJ$6+6&gt;=$G66),1,"")</x:f>
      </x:c>
      <x:c r="AK66" s="167" t="str">
        <x:f>IF(AND(AK$6&lt;=$H66,AK$6+6&gt;=$G66),1,"")</x:f>
      </x:c>
      <x:c r="AL66" s="167" t="str">
        <x:f>IF(AND(AL$6&lt;=$H66,AL$6+6&gt;=$G66),1,"")</x:f>
      </x:c>
      <x:c r="AM66" s="167" t="str">
        <x:f>IF(AND(AM$6&lt;=$H66,AM$6+6&gt;=$G66),1,"")</x:f>
      </x:c>
      <x:c r="AN66" s="167" t="str">
        <x:f>IF(AND(AN$6&lt;=$H66,AN$6+6&gt;=$G66),1,"")</x:f>
      </x:c>
      <x:c r="AO66" s="167" t="str">
        <x:f>IF(AND(AO$6&lt;=$H66,AO$6+6&gt;=$G66),1,"")</x:f>
      </x:c>
      <x:c r="AP66" s="167" t="str">
        <x:f>IF(AND(AP$6&lt;=$H66,AP$6+6&gt;=$G66),1,"")</x:f>
      </x:c>
      <x:c r="AQ66" s="167" t="str">
        <x:f>IF(AND(AQ$6&lt;=$H66,AQ$6+6&gt;=$G66),1,"")</x:f>
      </x:c>
      <x:c r="AR66" s="167" t="str">
        <x:f>IF(AND(AR$6&lt;=$H66,AR$6+6&gt;=$G66),1,"")</x:f>
      </x:c>
      <x:c r="AS66" s="167" t="str">
        <x:f>IF(AND(AS$6&lt;=$H66,AS$6+6&gt;=$G66),1,"")</x:f>
      </x:c>
      <x:c r="AT66" s="167" t="str">
        <x:f>IF(AND(AT$6&lt;=$H66,AT$6+6&gt;=$G66),1,"")</x:f>
      </x:c>
      <x:c r="AU66" s="167" t="str">
        <x:f>IF(AND(AU$6&lt;=$H66,AU$6+6&gt;=$G66),1,"")</x:f>
      </x:c>
      <x:c r="AV66" s="167" t="str">
        <x:f>IF(AND(AV$6&lt;=$H66,AV$6+6&gt;=$G66),1,"")</x:f>
      </x:c>
      <x:c r="AW66" s="167" t="str">
        <x:f>IF(AND(AW$6&lt;=$H66,AW$6+6&gt;=$G66),1,"")</x:f>
      </x:c>
      <x:c r="AX66" s="167" t="str">
        <x:f>IF(AND(AX$6&lt;=$H66,AX$6+6&gt;=$G66),1,"")</x:f>
      </x:c>
      <x:c r="AY66" s="167" t="str">
        <x:f>IF(AND(AY$6&lt;=$H66,AY$6+6&gt;=$G66),1,"")</x:f>
      </x:c>
      <x:c r="AZ66" s="167" t="str">
        <x:f>IF(AND(AZ$6&lt;=$H66,AZ$6+6&gt;=$G66),1,"")</x:f>
      </x:c>
      <x:c r="BA66" s="167" t="str">
        <x:f>IF(AND(BA$6&lt;=$H66,BA$6+6&gt;=$G66),1,"")</x:f>
      </x:c>
      <x:c r="BB66" s="167" t="str">
        <x:f>IF(AND(BB$6&lt;=$H66,BB$6+6&gt;=$G66),1,"")</x:f>
      </x:c>
      <x:c r="BC66" s="167" t="str">
        <x:f>IF(AND(BC$6&lt;=$H66,BC$6+6&gt;=$G66),1,"")</x:f>
      </x:c>
      <x:c r="BD66" s="167" t="str">
        <x:f>IF(AND(BD$6&lt;=$H66,BD$6+6&gt;=$G66),1,"")</x:f>
      </x:c>
      <x:c r="BE66" s="167" t="str">
        <x:f>IF(AND(BE$6&lt;=$H66,BE$6+6&gt;=$G66),1,"")</x:f>
      </x:c>
      <x:c r="BF66" s="167" t="str">
        <x:f>IF(AND(BF$6&lt;=$H66,BF$6+6&gt;=$G66),1,"")</x:f>
      </x:c>
      <x:c r="BG66" s="167" t="str">
        <x:f>IF(AND(BG$6&lt;=$H66,BG$6+6&gt;=$G66),1,"")</x:f>
      </x:c>
      <x:c r="BH66" s="167" t="str">
        <x:f>IF(AND(BH$6&lt;=$H66,BH$6+6&gt;=$G66),1,"")</x:f>
      </x:c>
      <x:c r="BI66" s="167" t="str">
        <x:f>IF(AND(BI$6&lt;=$H66,BI$6+6&gt;=$G66),1,"")</x:f>
      </x:c>
      <x:c r="BJ66" s="167" t="str">
        <x:f>IF(AND(BJ$6&lt;=$H66,BJ$6+6&gt;=$G66),1,"")</x:f>
      </x:c>
      <x:c r="BK66" s="168" t="str">
        <x:f>IF(AND(BK$6&lt;=$H66,BK$6+6&gt;=$G66),1,"")</x:f>
      </x:c>
    </x:row>
    <x:row r="67" ht="24" customHeight="1">
      <x:c r="A67" s="68" t="str">
        <x:f>'Research Tasks'!A65</x:f>
        <x:v>T-807</x:v>
      </x:c>
      <x:c r="B67" s="68" t="str">
        <x:f>'Research Tasks'!B65</x:f>
        <x:v>M8</x:v>
      </x:c>
      <x:c r="C67" s="68" t="str">
        <x:f>'Research Tasks'!C65</x:f>
        <x:v>Research/Active Vision</x:v>
      </x:c>
      <x:c r="D67" s="68" t="str">
        <x:f>'Research Tasks'!D65</x:f>
        <x:v>Test H1: active foveation</x:v>
      </x:c>
      <x:c r="E67" s="68" t="str">
        <x:f>'Research Tasks'!E65</x:f>
        <x:v>AI-304, AI-313, T-804, T-805</x:v>
      </x:c>
      <x:c r="F67" s="68" t="str">
        <x:f>'Research Tasks'!F65</x:f>
        <x:v>Blocked</x:v>
      </x:c>
      <x:c r="G67" s="94" t="n">
        <x:f>'Research Tasks'!I65</x:f>
        <x:v>46496</x:v>
      </x:c>
      <x:c r="H67" s="94" t="n">
        <x:f>'Research Tasks'!J65</x:f>
        <x:v>46504</x:v>
      </x:c>
      <x:c r="I67" s="166" t="str">
        <x:f>IF(AND(I$6&lt;=$H67,I$6+6&gt;=$G67),1,"")</x:f>
      </x:c>
      <x:c r="J67" s="167" t="str">
        <x:f>IF(AND(J$6&lt;=$H67,J$6+6&gt;=$G67),1,"")</x:f>
      </x:c>
      <x:c r="K67" s="167" t="str">
        <x:f>IF(AND(K$6&lt;=$H67,K$6+6&gt;=$G67),1,"")</x:f>
      </x:c>
      <x:c r="L67" s="167" t="str">
        <x:f>IF(AND(L$6&lt;=$H67,L$6+6&gt;=$G67),1,"")</x:f>
      </x:c>
      <x:c r="M67" s="167" t="str">
        <x:f>IF(AND(M$6&lt;=$H67,M$6+6&gt;=$G67),1,"")</x:f>
      </x:c>
      <x:c r="N67" s="167" t="str">
        <x:f>IF(AND(N$6&lt;=$H67,N$6+6&gt;=$G67),1,"")</x:f>
      </x:c>
      <x:c r="O67" s="167" t="str">
        <x:f>IF(AND(O$6&lt;=$H67,O$6+6&gt;=$G67),1,"")</x:f>
      </x:c>
      <x:c r="P67" s="167" t="str">
        <x:f>IF(AND(P$6&lt;=$H67,P$6+6&gt;=$G67),1,"")</x:f>
      </x:c>
      <x:c r="Q67" s="167" t="str">
        <x:f>IF(AND(Q$6&lt;=$H67,Q$6+6&gt;=$G67),1,"")</x:f>
      </x:c>
      <x:c r="R67" s="167" t="str">
        <x:f>IF(AND(R$6&lt;=$H67,R$6+6&gt;=$G67),1,"")</x:f>
      </x:c>
      <x:c r="S67" s="167" t="str">
        <x:f>IF(AND(S$6&lt;=$H67,S$6+6&gt;=$G67),1,"")</x:f>
      </x:c>
      <x:c r="T67" s="167" t="str">
        <x:f>IF(AND(T$6&lt;=$H67,T$6+6&gt;=$G67),1,"")</x:f>
      </x:c>
      <x:c r="U67" s="167" t="str">
        <x:f>IF(AND(U$6&lt;=$H67,U$6+6&gt;=$G67),1,"")</x:f>
      </x:c>
      <x:c r="V67" s="167" t="str">
        <x:f>IF(AND(V$6&lt;=$H67,V$6+6&gt;=$G67),1,"")</x:f>
      </x:c>
      <x:c r="W67" s="167" t="str">
        <x:f>IF(AND(W$6&lt;=$H67,W$6+6&gt;=$G67),1,"")</x:f>
      </x:c>
      <x:c r="X67" s="167" t="str">
        <x:f>IF(AND(X$6&lt;=$H67,X$6+6&gt;=$G67),1,"")</x:f>
      </x:c>
      <x:c r="Y67" s="167" t="str">
        <x:f>IF(AND(Y$6&lt;=$H67,Y$6+6&gt;=$G67),1,"")</x:f>
      </x:c>
      <x:c r="Z67" s="167" t="str">
        <x:f>IF(AND(Z$6&lt;=$H67,Z$6+6&gt;=$G67),1,"")</x:f>
      </x:c>
      <x:c r="AA67" s="167" t="str">
        <x:f>IF(AND(AA$6&lt;=$H67,AA$6+6&gt;=$G67),1,"")</x:f>
      </x:c>
      <x:c r="AB67" s="167" t="str">
        <x:f>IF(AND(AB$6&lt;=$H67,AB$6+6&gt;=$G67),1,"")</x:f>
      </x:c>
      <x:c r="AC67" s="167" t="str">
        <x:f>IF(AND(AC$6&lt;=$H67,AC$6+6&gt;=$G67),1,"")</x:f>
      </x:c>
      <x:c r="AD67" s="167" t="str">
        <x:f>IF(AND(AD$6&lt;=$H67,AD$6+6&gt;=$G67),1,"")</x:f>
      </x:c>
      <x:c r="AE67" s="167" t="str">
        <x:f>IF(AND(AE$6&lt;=$H67,AE$6+6&gt;=$G67),1,"")</x:f>
      </x:c>
      <x:c r="AF67" s="167" t="str">
        <x:f>IF(AND(AF$6&lt;=$H67,AF$6+6&gt;=$G67),1,"")</x:f>
      </x:c>
      <x:c r="AG67" s="167" t="str">
        <x:f>IF(AND(AG$6&lt;=$H67,AG$6+6&gt;=$G67),1,"")</x:f>
      </x:c>
      <x:c r="AH67" s="167" t="str">
        <x:f>IF(AND(AH$6&lt;=$H67,AH$6+6&gt;=$G67),1,"")</x:f>
      </x:c>
      <x:c r="AI67" s="167" t="str">
        <x:f>IF(AND(AI$6&lt;=$H67,AI$6+6&gt;=$G67),1,"")</x:f>
      </x:c>
      <x:c r="AJ67" s="167" t="str">
        <x:f>IF(AND(AJ$6&lt;=$H67,AJ$6+6&gt;=$G67),1,"")</x:f>
      </x:c>
      <x:c r="AK67" s="167" t="str">
        <x:f>IF(AND(AK$6&lt;=$H67,AK$6+6&gt;=$G67),1,"")</x:f>
      </x:c>
      <x:c r="AL67" s="167" t="str">
        <x:f>IF(AND(AL$6&lt;=$H67,AL$6+6&gt;=$G67),1,"")</x:f>
      </x:c>
      <x:c r="AM67" s="167" t="str">
        <x:f>IF(AND(AM$6&lt;=$H67,AM$6+6&gt;=$G67),1,"")</x:f>
      </x:c>
      <x:c r="AN67" s="167" t="str">
        <x:f>IF(AND(AN$6&lt;=$H67,AN$6+6&gt;=$G67),1,"")</x:f>
      </x:c>
      <x:c r="AO67" s="167" t="str">
        <x:f>IF(AND(AO$6&lt;=$H67,AO$6+6&gt;=$G67),1,"")</x:f>
      </x:c>
      <x:c r="AP67" s="167" t="str">
        <x:f>IF(AND(AP$6&lt;=$H67,AP$6+6&gt;=$G67),1,"")</x:f>
      </x:c>
      <x:c r="AQ67" s="167" t="str">
        <x:f>IF(AND(AQ$6&lt;=$H67,AQ$6+6&gt;=$G67),1,"")</x:f>
      </x:c>
      <x:c r="AR67" s="167" t="str">
        <x:f>IF(AND(AR$6&lt;=$H67,AR$6+6&gt;=$G67),1,"")</x:f>
      </x:c>
      <x:c r="AS67" s="167" t="str">
        <x:f>IF(AND(AS$6&lt;=$H67,AS$6+6&gt;=$G67),1,"")</x:f>
      </x:c>
      <x:c r="AT67" s="167" t="n">
        <x:f>IF(AND(AT$6&lt;=$H67,AT$6+6&gt;=$G67),1,"")</x:f>
        <x:v>1</x:v>
      </x:c>
      <x:c r="AU67" s="167" t="n">
        <x:f>IF(AND(AU$6&lt;=$H67,AU$6+6&gt;=$G67),1,"")</x:f>
        <x:v>1</x:v>
      </x:c>
      <x:c r="AV67" s="167" t="str">
        <x:f>IF(AND(AV$6&lt;=$H67,AV$6+6&gt;=$G67),1,"")</x:f>
      </x:c>
      <x:c r="AW67" s="167" t="str">
        <x:f>IF(AND(AW$6&lt;=$H67,AW$6+6&gt;=$G67),1,"")</x:f>
      </x:c>
      <x:c r="AX67" s="167" t="str">
        <x:f>IF(AND(AX$6&lt;=$H67,AX$6+6&gt;=$G67),1,"")</x:f>
      </x:c>
      <x:c r="AY67" s="167" t="str">
        <x:f>IF(AND(AY$6&lt;=$H67,AY$6+6&gt;=$G67),1,"")</x:f>
      </x:c>
      <x:c r="AZ67" s="167" t="str">
        <x:f>IF(AND(AZ$6&lt;=$H67,AZ$6+6&gt;=$G67),1,"")</x:f>
      </x:c>
      <x:c r="BA67" s="167" t="str">
        <x:f>IF(AND(BA$6&lt;=$H67,BA$6+6&gt;=$G67),1,"")</x:f>
      </x:c>
      <x:c r="BB67" s="167" t="str">
        <x:f>IF(AND(BB$6&lt;=$H67,BB$6+6&gt;=$G67),1,"")</x:f>
      </x:c>
      <x:c r="BC67" s="167" t="str">
        <x:f>IF(AND(BC$6&lt;=$H67,BC$6+6&gt;=$G67),1,"")</x:f>
      </x:c>
      <x:c r="BD67" s="167" t="str">
        <x:f>IF(AND(BD$6&lt;=$H67,BD$6+6&gt;=$G67),1,"")</x:f>
      </x:c>
      <x:c r="BE67" s="167" t="str">
        <x:f>IF(AND(BE$6&lt;=$H67,BE$6+6&gt;=$G67),1,"")</x:f>
      </x:c>
      <x:c r="BF67" s="167" t="str">
        <x:f>IF(AND(BF$6&lt;=$H67,BF$6+6&gt;=$G67),1,"")</x:f>
      </x:c>
      <x:c r="BG67" s="167" t="str">
        <x:f>IF(AND(BG$6&lt;=$H67,BG$6+6&gt;=$G67),1,"")</x:f>
      </x:c>
      <x:c r="BH67" s="167" t="str">
        <x:f>IF(AND(BH$6&lt;=$H67,BH$6+6&gt;=$G67),1,"")</x:f>
      </x:c>
      <x:c r="BI67" s="167" t="str">
        <x:f>IF(AND(BI$6&lt;=$H67,BI$6+6&gt;=$G67),1,"")</x:f>
      </x:c>
      <x:c r="BJ67" s="167" t="str">
        <x:f>IF(AND(BJ$6&lt;=$H67,BJ$6+6&gt;=$G67),1,"")</x:f>
      </x:c>
      <x:c r="BK67" s="168" t="str">
        <x:f>IF(AND(BK$6&lt;=$H67,BK$6+6&gt;=$G67),1,"")</x:f>
      </x:c>
    </x:row>
    <x:row r="68" ht="24" customHeight="1">
      <x:c r="A68" s="68" t="str">
        <x:f>'Research Tasks'!A66</x:f>
        <x:v>T-808</x:v>
      </x:c>
      <x:c r="B68" s="68" t="str">
        <x:f>'Research Tasks'!B66</x:f>
        <x:v>M8</x:v>
      </x:c>
      <x:c r="C68" s="68" t="str">
        <x:f>'Research Tasks'!C66</x:f>
        <x:v>Research/Embodiment</x:v>
      </x:c>
      <x:c r="D68" s="68" t="str">
        <x:f>'Research Tasks'!D66</x:f>
        <x:v>Test H2: embodied motor prediction</x:v>
      </x:c>
      <x:c r="E68" s="68" t="str">
        <x:f>'Research Tasks'!E66</x:f>
        <x:v>AI-308, AI-313, T-804, T-805</x:v>
      </x:c>
      <x:c r="F68" s="68" t="str">
        <x:f>'Research Tasks'!F66</x:f>
        <x:v>Blocked</x:v>
      </x:c>
      <x:c r="G68" s="94" t="n">
        <x:f>'Research Tasks'!I66</x:f>
        <x:v>46505</x:v>
      </x:c>
      <x:c r="H68" s="94" t="n">
        <x:f>'Research Tasks'!J66</x:f>
        <x:v>46513</x:v>
      </x:c>
      <x:c r="I68" s="166" t="str">
        <x:f>IF(AND(I$6&lt;=$H68,I$6+6&gt;=$G68),1,"")</x:f>
      </x:c>
      <x:c r="J68" s="167" t="str">
        <x:f>IF(AND(J$6&lt;=$H68,J$6+6&gt;=$G68),1,"")</x:f>
      </x:c>
      <x:c r="K68" s="167" t="str">
        <x:f>IF(AND(K$6&lt;=$H68,K$6+6&gt;=$G68),1,"")</x:f>
      </x:c>
      <x:c r="L68" s="167" t="str">
        <x:f>IF(AND(L$6&lt;=$H68,L$6+6&gt;=$G68),1,"")</x:f>
      </x:c>
      <x:c r="M68" s="167" t="str">
        <x:f>IF(AND(M$6&lt;=$H68,M$6+6&gt;=$G68),1,"")</x:f>
      </x:c>
      <x:c r="N68" s="167" t="str">
        <x:f>IF(AND(N$6&lt;=$H68,N$6+6&gt;=$G68),1,"")</x:f>
      </x:c>
      <x:c r="O68" s="167" t="str">
        <x:f>IF(AND(O$6&lt;=$H68,O$6+6&gt;=$G68),1,"")</x:f>
      </x:c>
      <x:c r="P68" s="167" t="str">
        <x:f>IF(AND(P$6&lt;=$H68,P$6+6&gt;=$G68),1,"")</x:f>
      </x:c>
      <x:c r="Q68" s="167" t="str">
        <x:f>IF(AND(Q$6&lt;=$H68,Q$6+6&gt;=$G68),1,"")</x:f>
      </x:c>
      <x:c r="R68" s="167" t="str">
        <x:f>IF(AND(R$6&lt;=$H68,R$6+6&gt;=$G68),1,"")</x:f>
      </x:c>
      <x:c r="S68" s="167" t="str">
        <x:f>IF(AND(S$6&lt;=$H68,S$6+6&gt;=$G68),1,"")</x:f>
      </x:c>
      <x:c r="T68" s="167" t="str">
        <x:f>IF(AND(T$6&lt;=$H68,T$6+6&gt;=$G68),1,"")</x:f>
      </x:c>
      <x:c r="U68" s="167" t="str">
        <x:f>IF(AND(U$6&lt;=$H68,U$6+6&gt;=$G68),1,"")</x:f>
      </x:c>
      <x:c r="V68" s="167" t="str">
        <x:f>IF(AND(V$6&lt;=$H68,V$6+6&gt;=$G68),1,"")</x:f>
      </x:c>
      <x:c r="W68" s="167" t="str">
        <x:f>IF(AND(W$6&lt;=$H68,W$6+6&gt;=$G68),1,"")</x:f>
      </x:c>
      <x:c r="X68" s="167" t="str">
        <x:f>IF(AND(X$6&lt;=$H68,X$6+6&gt;=$G68),1,"")</x:f>
      </x:c>
      <x:c r="Y68" s="167" t="str">
        <x:f>IF(AND(Y$6&lt;=$H68,Y$6+6&gt;=$G68),1,"")</x:f>
      </x:c>
      <x:c r="Z68" s="167" t="str">
        <x:f>IF(AND(Z$6&lt;=$H68,Z$6+6&gt;=$G68),1,"")</x:f>
      </x:c>
      <x:c r="AA68" s="167" t="str">
        <x:f>IF(AND(AA$6&lt;=$H68,AA$6+6&gt;=$G68),1,"")</x:f>
      </x:c>
      <x:c r="AB68" s="167" t="str">
        <x:f>IF(AND(AB$6&lt;=$H68,AB$6+6&gt;=$G68),1,"")</x:f>
      </x:c>
      <x:c r="AC68" s="167" t="str">
        <x:f>IF(AND(AC$6&lt;=$H68,AC$6+6&gt;=$G68),1,"")</x:f>
      </x:c>
      <x:c r="AD68" s="167" t="str">
        <x:f>IF(AND(AD$6&lt;=$H68,AD$6+6&gt;=$G68),1,"")</x:f>
      </x:c>
      <x:c r="AE68" s="167" t="str">
        <x:f>IF(AND(AE$6&lt;=$H68,AE$6+6&gt;=$G68),1,"")</x:f>
      </x:c>
      <x:c r="AF68" s="167" t="str">
        <x:f>IF(AND(AF$6&lt;=$H68,AF$6+6&gt;=$G68),1,"")</x:f>
      </x:c>
      <x:c r="AG68" s="167" t="str">
        <x:f>IF(AND(AG$6&lt;=$H68,AG$6+6&gt;=$G68),1,"")</x:f>
      </x:c>
      <x:c r="AH68" s="167" t="str">
        <x:f>IF(AND(AH$6&lt;=$H68,AH$6+6&gt;=$G68),1,"")</x:f>
      </x:c>
      <x:c r="AI68" s="167" t="str">
        <x:f>IF(AND(AI$6&lt;=$H68,AI$6+6&gt;=$G68),1,"")</x:f>
      </x:c>
      <x:c r="AJ68" s="167" t="str">
        <x:f>IF(AND(AJ$6&lt;=$H68,AJ$6+6&gt;=$G68),1,"")</x:f>
      </x:c>
      <x:c r="AK68" s="167" t="str">
        <x:f>IF(AND(AK$6&lt;=$H68,AK$6+6&gt;=$G68),1,"")</x:f>
      </x:c>
      <x:c r="AL68" s="167" t="str">
        <x:f>IF(AND(AL$6&lt;=$H68,AL$6+6&gt;=$G68),1,"")</x:f>
      </x:c>
      <x:c r="AM68" s="167" t="str">
        <x:f>IF(AND(AM$6&lt;=$H68,AM$6+6&gt;=$G68),1,"")</x:f>
      </x:c>
      <x:c r="AN68" s="167" t="str">
        <x:f>IF(AND(AN$6&lt;=$H68,AN$6+6&gt;=$G68),1,"")</x:f>
      </x:c>
      <x:c r="AO68" s="167" t="str">
        <x:f>IF(AND(AO$6&lt;=$H68,AO$6+6&gt;=$G68),1,"")</x:f>
      </x:c>
      <x:c r="AP68" s="167" t="str">
        <x:f>IF(AND(AP$6&lt;=$H68,AP$6+6&gt;=$G68),1,"")</x:f>
      </x:c>
      <x:c r="AQ68" s="167" t="str">
        <x:f>IF(AND(AQ$6&lt;=$H68,AQ$6+6&gt;=$G68),1,"")</x:f>
      </x:c>
      <x:c r="AR68" s="167" t="str">
        <x:f>IF(AND(AR$6&lt;=$H68,AR$6+6&gt;=$G68),1,"")</x:f>
      </x:c>
      <x:c r="AS68" s="167" t="str">
        <x:f>IF(AND(AS$6&lt;=$H68,AS$6+6&gt;=$G68),1,"")</x:f>
      </x:c>
      <x:c r="AT68" s="167" t="str">
        <x:f>IF(AND(AT$6&lt;=$H68,AT$6+6&gt;=$G68),1,"")</x:f>
      </x:c>
      <x:c r="AU68" s="167" t="n">
        <x:f>IF(AND(AU$6&lt;=$H68,AU$6+6&gt;=$G68),1,"")</x:f>
        <x:v>1</x:v>
      </x:c>
      <x:c r="AV68" s="167" t="n">
        <x:f>IF(AND(AV$6&lt;=$H68,AV$6+6&gt;=$G68),1,"")</x:f>
        <x:v>1</x:v>
      </x:c>
      <x:c r="AW68" s="167" t="str">
        <x:f>IF(AND(AW$6&lt;=$H68,AW$6+6&gt;=$G68),1,"")</x:f>
      </x:c>
      <x:c r="AX68" s="167" t="str">
        <x:f>IF(AND(AX$6&lt;=$H68,AX$6+6&gt;=$G68),1,"")</x:f>
      </x:c>
      <x:c r="AY68" s="167" t="str">
        <x:f>IF(AND(AY$6&lt;=$H68,AY$6+6&gt;=$G68),1,"")</x:f>
      </x:c>
      <x:c r="AZ68" s="167" t="str">
        <x:f>IF(AND(AZ$6&lt;=$H68,AZ$6+6&gt;=$G68),1,"")</x:f>
      </x:c>
      <x:c r="BA68" s="167" t="str">
        <x:f>IF(AND(BA$6&lt;=$H68,BA$6+6&gt;=$G68),1,"")</x:f>
      </x:c>
      <x:c r="BB68" s="167" t="str">
        <x:f>IF(AND(BB$6&lt;=$H68,BB$6+6&gt;=$G68),1,"")</x:f>
      </x:c>
      <x:c r="BC68" s="167" t="str">
        <x:f>IF(AND(BC$6&lt;=$H68,BC$6+6&gt;=$G68),1,"")</x:f>
      </x:c>
      <x:c r="BD68" s="167" t="str">
        <x:f>IF(AND(BD$6&lt;=$H68,BD$6+6&gt;=$G68),1,"")</x:f>
      </x:c>
      <x:c r="BE68" s="167" t="str">
        <x:f>IF(AND(BE$6&lt;=$H68,BE$6+6&gt;=$G68),1,"")</x:f>
      </x:c>
      <x:c r="BF68" s="167" t="str">
        <x:f>IF(AND(BF$6&lt;=$H68,BF$6+6&gt;=$G68),1,"")</x:f>
      </x:c>
      <x:c r="BG68" s="167" t="str">
        <x:f>IF(AND(BG$6&lt;=$H68,BG$6+6&gt;=$G68),1,"")</x:f>
      </x:c>
      <x:c r="BH68" s="167" t="str">
        <x:f>IF(AND(BH$6&lt;=$H68,BH$6+6&gt;=$G68),1,"")</x:f>
      </x:c>
      <x:c r="BI68" s="167" t="str">
        <x:f>IF(AND(BI$6&lt;=$H68,BI$6+6&gt;=$G68),1,"")</x:f>
      </x:c>
      <x:c r="BJ68" s="167" t="str">
        <x:f>IF(AND(BJ$6&lt;=$H68,BJ$6+6&gt;=$G68),1,"")</x:f>
      </x:c>
      <x:c r="BK68" s="168" t="str">
        <x:f>IF(AND(BK$6&lt;=$H68,BK$6+6&gt;=$G68),1,"")</x:f>
      </x:c>
    </x:row>
    <x:row r="69" ht="24" customHeight="1">
      <x:c r="A69" s="68" t="str">
        <x:f>'Research Tasks'!A67</x:f>
        <x:v>T-809</x:v>
      </x:c>
      <x:c r="B69" s="68" t="str">
        <x:f>'Research Tasks'!B67</x:f>
        <x:v>M8</x:v>
      </x:c>
      <x:c r="C69" s="68" t="str">
        <x:f>'Research Tasks'!C67</x:f>
        <x:v>Research/Hierarchy</x:v>
      </x:c>
      <x:c r="D69" s="68" t="str">
        <x:f>'Research Tasks'!D67</x:f>
        <x:v>Test H3: slow latent temporal persistence</x:v>
      </x:c>
      <x:c r="E69" s="68" t="str">
        <x:f>'Research Tasks'!E67</x:f>
        <x:v>AI-310, AI-313, T-804, T-805</x:v>
      </x:c>
      <x:c r="F69" s="68" t="str">
        <x:f>'Research Tasks'!F67</x:f>
        <x:v>Blocked</x:v>
      </x:c>
      <x:c r="G69" s="94" t="n">
        <x:f>'Research Tasks'!I67</x:f>
        <x:v>46514</x:v>
      </x:c>
      <x:c r="H69" s="94" t="n">
        <x:f>'Research Tasks'!J67</x:f>
        <x:v>46525</x:v>
      </x:c>
      <x:c r="I69" s="166" t="str">
        <x:f>IF(AND(I$6&lt;=$H69,I$6+6&gt;=$G69),1,"")</x:f>
      </x:c>
      <x:c r="J69" s="167" t="str">
        <x:f>IF(AND(J$6&lt;=$H69,J$6+6&gt;=$G69),1,"")</x:f>
      </x:c>
      <x:c r="K69" s="167" t="str">
        <x:f>IF(AND(K$6&lt;=$H69,K$6+6&gt;=$G69),1,"")</x:f>
      </x:c>
      <x:c r="L69" s="167" t="str">
        <x:f>IF(AND(L$6&lt;=$H69,L$6+6&gt;=$G69),1,"")</x:f>
      </x:c>
      <x:c r="M69" s="167" t="str">
        <x:f>IF(AND(M$6&lt;=$H69,M$6+6&gt;=$G69),1,"")</x:f>
      </x:c>
      <x:c r="N69" s="167" t="str">
        <x:f>IF(AND(N$6&lt;=$H69,N$6+6&gt;=$G69),1,"")</x:f>
      </x:c>
      <x:c r="O69" s="167" t="str">
        <x:f>IF(AND(O$6&lt;=$H69,O$6+6&gt;=$G69),1,"")</x:f>
      </x:c>
      <x:c r="P69" s="167" t="str">
        <x:f>IF(AND(P$6&lt;=$H69,P$6+6&gt;=$G69),1,"")</x:f>
      </x:c>
      <x:c r="Q69" s="167" t="str">
        <x:f>IF(AND(Q$6&lt;=$H69,Q$6+6&gt;=$G69),1,"")</x:f>
      </x:c>
      <x:c r="R69" s="167" t="str">
        <x:f>IF(AND(R$6&lt;=$H69,R$6+6&gt;=$G69),1,"")</x:f>
      </x:c>
      <x:c r="S69" s="167" t="str">
        <x:f>IF(AND(S$6&lt;=$H69,S$6+6&gt;=$G69),1,"")</x:f>
      </x:c>
      <x:c r="T69" s="167" t="str">
        <x:f>IF(AND(T$6&lt;=$H69,T$6+6&gt;=$G69),1,"")</x:f>
      </x:c>
      <x:c r="U69" s="167" t="str">
        <x:f>IF(AND(U$6&lt;=$H69,U$6+6&gt;=$G69),1,"")</x:f>
      </x:c>
      <x:c r="V69" s="167" t="str">
        <x:f>IF(AND(V$6&lt;=$H69,V$6+6&gt;=$G69),1,"")</x:f>
      </x:c>
      <x:c r="W69" s="167" t="str">
        <x:f>IF(AND(W$6&lt;=$H69,W$6+6&gt;=$G69),1,"")</x:f>
      </x:c>
      <x:c r="X69" s="167" t="str">
        <x:f>IF(AND(X$6&lt;=$H69,X$6+6&gt;=$G69),1,"")</x:f>
      </x:c>
      <x:c r="Y69" s="167" t="str">
        <x:f>IF(AND(Y$6&lt;=$H69,Y$6+6&gt;=$G69),1,"")</x:f>
      </x:c>
      <x:c r="Z69" s="167" t="str">
        <x:f>IF(AND(Z$6&lt;=$H69,Z$6+6&gt;=$G69),1,"")</x:f>
      </x:c>
      <x:c r="AA69" s="167" t="str">
        <x:f>IF(AND(AA$6&lt;=$H69,AA$6+6&gt;=$G69),1,"")</x:f>
      </x:c>
      <x:c r="AB69" s="167" t="str">
        <x:f>IF(AND(AB$6&lt;=$H69,AB$6+6&gt;=$G69),1,"")</x:f>
      </x:c>
      <x:c r="AC69" s="167" t="str">
        <x:f>IF(AND(AC$6&lt;=$H69,AC$6+6&gt;=$G69),1,"")</x:f>
      </x:c>
      <x:c r="AD69" s="167" t="str">
        <x:f>IF(AND(AD$6&lt;=$H69,AD$6+6&gt;=$G69),1,"")</x:f>
      </x:c>
      <x:c r="AE69" s="167" t="str">
        <x:f>IF(AND(AE$6&lt;=$H69,AE$6+6&gt;=$G69),1,"")</x:f>
      </x:c>
      <x:c r="AF69" s="167" t="str">
        <x:f>IF(AND(AF$6&lt;=$H69,AF$6+6&gt;=$G69),1,"")</x:f>
      </x:c>
      <x:c r="AG69" s="167" t="str">
        <x:f>IF(AND(AG$6&lt;=$H69,AG$6+6&gt;=$G69),1,"")</x:f>
      </x:c>
      <x:c r="AH69" s="167" t="str">
        <x:f>IF(AND(AH$6&lt;=$H69,AH$6+6&gt;=$G69),1,"")</x:f>
      </x:c>
      <x:c r="AI69" s="167" t="str">
        <x:f>IF(AND(AI$6&lt;=$H69,AI$6+6&gt;=$G69),1,"")</x:f>
      </x:c>
      <x:c r="AJ69" s="167" t="str">
        <x:f>IF(AND(AJ$6&lt;=$H69,AJ$6+6&gt;=$G69),1,"")</x:f>
      </x:c>
      <x:c r="AK69" s="167" t="str">
        <x:f>IF(AND(AK$6&lt;=$H69,AK$6+6&gt;=$G69),1,"")</x:f>
      </x:c>
      <x:c r="AL69" s="167" t="str">
        <x:f>IF(AND(AL$6&lt;=$H69,AL$6+6&gt;=$G69),1,"")</x:f>
      </x:c>
      <x:c r="AM69" s="167" t="str">
        <x:f>IF(AND(AM$6&lt;=$H69,AM$6+6&gt;=$G69),1,"")</x:f>
      </x:c>
      <x:c r="AN69" s="167" t="str">
        <x:f>IF(AND(AN$6&lt;=$H69,AN$6+6&gt;=$G69),1,"")</x:f>
      </x:c>
      <x:c r="AO69" s="167" t="str">
        <x:f>IF(AND(AO$6&lt;=$H69,AO$6+6&gt;=$G69),1,"")</x:f>
      </x:c>
      <x:c r="AP69" s="167" t="str">
        <x:f>IF(AND(AP$6&lt;=$H69,AP$6+6&gt;=$G69),1,"")</x:f>
      </x:c>
      <x:c r="AQ69" s="167" t="str">
        <x:f>IF(AND(AQ$6&lt;=$H69,AQ$6+6&gt;=$G69),1,"")</x:f>
      </x:c>
      <x:c r="AR69" s="167" t="str">
        <x:f>IF(AND(AR$6&lt;=$H69,AR$6+6&gt;=$G69),1,"")</x:f>
      </x:c>
      <x:c r="AS69" s="167" t="str">
        <x:f>IF(AND(AS$6&lt;=$H69,AS$6+6&gt;=$G69),1,"")</x:f>
      </x:c>
      <x:c r="AT69" s="167" t="str">
        <x:f>IF(AND(AT$6&lt;=$H69,AT$6+6&gt;=$G69),1,"")</x:f>
      </x:c>
      <x:c r="AU69" s="167" t="str">
        <x:f>IF(AND(AU$6&lt;=$H69,AU$6+6&gt;=$G69),1,"")</x:f>
      </x:c>
      <x:c r="AV69" s="167" t="n">
        <x:f>IF(AND(AV$6&lt;=$H69,AV$6+6&gt;=$G69),1,"")</x:f>
        <x:v>1</x:v>
      </x:c>
      <x:c r="AW69" s="167" t="n">
        <x:f>IF(AND(AW$6&lt;=$H69,AW$6+6&gt;=$G69),1,"")</x:f>
        <x:v>1</x:v>
      </x:c>
      <x:c r="AX69" s="167" t="n">
        <x:f>IF(AND(AX$6&lt;=$H69,AX$6+6&gt;=$G69),1,"")</x:f>
        <x:v>1</x:v>
      </x:c>
      <x:c r="AY69" s="167" t="str">
        <x:f>IF(AND(AY$6&lt;=$H69,AY$6+6&gt;=$G69),1,"")</x:f>
      </x:c>
      <x:c r="AZ69" s="167" t="str">
        <x:f>IF(AND(AZ$6&lt;=$H69,AZ$6+6&gt;=$G69),1,"")</x:f>
      </x:c>
      <x:c r="BA69" s="167" t="str">
        <x:f>IF(AND(BA$6&lt;=$H69,BA$6+6&gt;=$G69),1,"")</x:f>
      </x:c>
      <x:c r="BB69" s="167" t="str">
        <x:f>IF(AND(BB$6&lt;=$H69,BB$6+6&gt;=$G69),1,"")</x:f>
      </x:c>
      <x:c r="BC69" s="167" t="str">
        <x:f>IF(AND(BC$6&lt;=$H69,BC$6+6&gt;=$G69),1,"")</x:f>
      </x:c>
      <x:c r="BD69" s="167" t="str">
        <x:f>IF(AND(BD$6&lt;=$H69,BD$6+6&gt;=$G69),1,"")</x:f>
      </x:c>
      <x:c r="BE69" s="167" t="str">
        <x:f>IF(AND(BE$6&lt;=$H69,BE$6+6&gt;=$G69),1,"")</x:f>
      </x:c>
      <x:c r="BF69" s="167" t="str">
        <x:f>IF(AND(BF$6&lt;=$H69,BF$6+6&gt;=$G69),1,"")</x:f>
      </x:c>
      <x:c r="BG69" s="167" t="str">
        <x:f>IF(AND(BG$6&lt;=$H69,BG$6+6&gt;=$G69),1,"")</x:f>
      </x:c>
      <x:c r="BH69" s="167" t="str">
        <x:f>IF(AND(BH$6&lt;=$H69,BH$6+6&gt;=$G69),1,"")</x:f>
      </x:c>
      <x:c r="BI69" s="167" t="str">
        <x:f>IF(AND(BI$6&lt;=$H69,BI$6+6&gt;=$G69),1,"")</x:f>
      </x:c>
      <x:c r="BJ69" s="167" t="str">
        <x:f>IF(AND(BJ$6&lt;=$H69,BJ$6+6&gt;=$G69),1,"")</x:f>
      </x:c>
      <x:c r="BK69" s="168" t="str">
        <x:f>IF(AND(BK$6&lt;=$H69,BK$6+6&gt;=$G69),1,"")</x:f>
      </x:c>
    </x:row>
    <x:row r="70" ht="24" customHeight="1">
      <x:c r="A70" s="68" t="str">
        <x:f>'Research Tasks'!A68</x:f>
        <x:v>T-810</x:v>
      </x:c>
      <x:c r="B70" s="68" t="str">
        <x:f>'Research Tasks'!B68</x:f>
        <x:v>M8</x:v>
      </x:c>
      <x:c r="C70" s="68" t="str">
        <x:f>'Research Tasks'!C68</x:f>
        <x:v>Research/Relational Inference</x:v>
      </x:c>
      <x:c r="D70" s="68" t="str">
        <x:f>'Research Tasks'!D68</x:f>
        <x:v>Test H4: relational nonsemantic representation</x:v>
      </x:c>
      <x:c r="E70" s="68" t="str">
        <x:f>'Research Tasks'!E68</x:f>
        <x:v>AI-209, AI-313, T-804, T-805</x:v>
      </x:c>
      <x:c r="F70" s="68" t="str">
        <x:f>'Research Tasks'!F68</x:f>
        <x:v>Blocked</x:v>
      </x:c>
      <x:c r="G70" s="94" t="n">
        <x:f>'Research Tasks'!I68</x:f>
        <x:v>46526</x:v>
      </x:c>
      <x:c r="H70" s="94" t="n">
        <x:f>'Research Tasks'!J68</x:f>
        <x:v>46534</x:v>
      </x:c>
      <x:c r="I70" s="166" t="str">
        <x:f>IF(AND(I$6&lt;=$H70,I$6+6&gt;=$G70),1,"")</x:f>
      </x:c>
      <x:c r="J70" s="167" t="str">
        <x:f>IF(AND(J$6&lt;=$H70,J$6+6&gt;=$G70),1,"")</x:f>
      </x:c>
      <x:c r="K70" s="167" t="str">
        <x:f>IF(AND(K$6&lt;=$H70,K$6+6&gt;=$G70),1,"")</x:f>
      </x:c>
      <x:c r="L70" s="167" t="str">
        <x:f>IF(AND(L$6&lt;=$H70,L$6+6&gt;=$G70),1,"")</x:f>
      </x:c>
      <x:c r="M70" s="167" t="str">
        <x:f>IF(AND(M$6&lt;=$H70,M$6+6&gt;=$G70),1,"")</x:f>
      </x:c>
      <x:c r="N70" s="167" t="str">
        <x:f>IF(AND(N$6&lt;=$H70,N$6+6&gt;=$G70),1,"")</x:f>
      </x:c>
      <x:c r="O70" s="167" t="str">
        <x:f>IF(AND(O$6&lt;=$H70,O$6+6&gt;=$G70),1,"")</x:f>
      </x:c>
      <x:c r="P70" s="167" t="str">
        <x:f>IF(AND(P$6&lt;=$H70,P$6+6&gt;=$G70),1,"")</x:f>
      </x:c>
      <x:c r="Q70" s="167" t="str">
        <x:f>IF(AND(Q$6&lt;=$H70,Q$6+6&gt;=$G70),1,"")</x:f>
      </x:c>
      <x:c r="R70" s="167" t="str">
        <x:f>IF(AND(R$6&lt;=$H70,R$6+6&gt;=$G70),1,"")</x:f>
      </x:c>
      <x:c r="S70" s="167" t="str">
        <x:f>IF(AND(S$6&lt;=$H70,S$6+6&gt;=$G70),1,"")</x:f>
      </x:c>
      <x:c r="T70" s="167" t="str">
        <x:f>IF(AND(T$6&lt;=$H70,T$6+6&gt;=$G70),1,"")</x:f>
      </x:c>
      <x:c r="U70" s="167" t="str">
        <x:f>IF(AND(U$6&lt;=$H70,U$6+6&gt;=$G70),1,"")</x:f>
      </x:c>
      <x:c r="V70" s="167" t="str">
        <x:f>IF(AND(V$6&lt;=$H70,V$6+6&gt;=$G70),1,"")</x:f>
      </x:c>
      <x:c r="W70" s="167" t="str">
        <x:f>IF(AND(W$6&lt;=$H70,W$6+6&gt;=$G70),1,"")</x:f>
      </x:c>
      <x:c r="X70" s="167" t="str">
        <x:f>IF(AND(X$6&lt;=$H70,X$6+6&gt;=$G70),1,"")</x:f>
      </x:c>
      <x:c r="Y70" s="167" t="str">
        <x:f>IF(AND(Y$6&lt;=$H70,Y$6+6&gt;=$G70),1,"")</x:f>
      </x:c>
      <x:c r="Z70" s="167" t="str">
        <x:f>IF(AND(Z$6&lt;=$H70,Z$6+6&gt;=$G70),1,"")</x:f>
      </x:c>
      <x:c r="AA70" s="167" t="str">
        <x:f>IF(AND(AA$6&lt;=$H70,AA$6+6&gt;=$G70),1,"")</x:f>
      </x:c>
      <x:c r="AB70" s="167" t="str">
        <x:f>IF(AND(AB$6&lt;=$H70,AB$6+6&gt;=$G70),1,"")</x:f>
      </x:c>
      <x:c r="AC70" s="167" t="str">
        <x:f>IF(AND(AC$6&lt;=$H70,AC$6+6&gt;=$G70),1,"")</x:f>
      </x:c>
      <x:c r="AD70" s="167" t="str">
        <x:f>IF(AND(AD$6&lt;=$H70,AD$6+6&gt;=$G70),1,"")</x:f>
      </x:c>
      <x:c r="AE70" s="167" t="str">
        <x:f>IF(AND(AE$6&lt;=$H70,AE$6+6&gt;=$G70),1,"")</x:f>
      </x:c>
      <x:c r="AF70" s="167" t="str">
        <x:f>IF(AND(AF$6&lt;=$H70,AF$6+6&gt;=$G70),1,"")</x:f>
      </x:c>
      <x:c r="AG70" s="167" t="str">
        <x:f>IF(AND(AG$6&lt;=$H70,AG$6+6&gt;=$G70),1,"")</x:f>
      </x:c>
      <x:c r="AH70" s="167" t="str">
        <x:f>IF(AND(AH$6&lt;=$H70,AH$6+6&gt;=$G70),1,"")</x:f>
      </x:c>
      <x:c r="AI70" s="167" t="str">
        <x:f>IF(AND(AI$6&lt;=$H70,AI$6+6&gt;=$G70),1,"")</x:f>
      </x:c>
      <x:c r="AJ70" s="167" t="str">
        <x:f>IF(AND(AJ$6&lt;=$H70,AJ$6+6&gt;=$G70),1,"")</x:f>
      </x:c>
      <x:c r="AK70" s="167" t="str">
        <x:f>IF(AND(AK$6&lt;=$H70,AK$6+6&gt;=$G70),1,"")</x:f>
      </x:c>
      <x:c r="AL70" s="167" t="str">
        <x:f>IF(AND(AL$6&lt;=$H70,AL$6+6&gt;=$G70),1,"")</x:f>
      </x:c>
      <x:c r="AM70" s="167" t="str">
        <x:f>IF(AND(AM$6&lt;=$H70,AM$6+6&gt;=$G70),1,"")</x:f>
      </x:c>
      <x:c r="AN70" s="167" t="str">
        <x:f>IF(AND(AN$6&lt;=$H70,AN$6+6&gt;=$G70),1,"")</x:f>
      </x:c>
      <x:c r="AO70" s="167" t="str">
        <x:f>IF(AND(AO$6&lt;=$H70,AO$6+6&gt;=$G70),1,"")</x:f>
      </x:c>
      <x:c r="AP70" s="167" t="str">
        <x:f>IF(AND(AP$6&lt;=$H70,AP$6+6&gt;=$G70),1,"")</x:f>
      </x:c>
      <x:c r="AQ70" s="167" t="str">
        <x:f>IF(AND(AQ$6&lt;=$H70,AQ$6+6&gt;=$G70),1,"")</x:f>
      </x:c>
      <x:c r="AR70" s="167" t="str">
        <x:f>IF(AND(AR$6&lt;=$H70,AR$6+6&gt;=$G70),1,"")</x:f>
      </x:c>
      <x:c r="AS70" s="167" t="str">
        <x:f>IF(AND(AS$6&lt;=$H70,AS$6+6&gt;=$G70),1,"")</x:f>
      </x:c>
      <x:c r="AT70" s="167" t="str">
        <x:f>IF(AND(AT$6&lt;=$H70,AT$6+6&gt;=$G70),1,"")</x:f>
      </x:c>
      <x:c r="AU70" s="167" t="str">
        <x:f>IF(AND(AU$6&lt;=$H70,AU$6+6&gt;=$G70),1,"")</x:f>
      </x:c>
      <x:c r="AV70" s="167" t="str">
        <x:f>IF(AND(AV$6&lt;=$H70,AV$6+6&gt;=$G70),1,"")</x:f>
      </x:c>
      <x:c r="AW70" s="167" t="str">
        <x:f>IF(AND(AW$6&lt;=$H70,AW$6+6&gt;=$G70),1,"")</x:f>
      </x:c>
      <x:c r="AX70" s="167" t="n">
        <x:f>IF(AND(AX$6&lt;=$H70,AX$6+6&gt;=$G70),1,"")</x:f>
        <x:v>1</x:v>
      </x:c>
      <x:c r="AY70" s="167" t="n">
        <x:f>IF(AND(AY$6&lt;=$H70,AY$6+6&gt;=$G70),1,"")</x:f>
        <x:v>1</x:v>
      </x:c>
      <x:c r="AZ70" s="167" t="str">
        <x:f>IF(AND(AZ$6&lt;=$H70,AZ$6+6&gt;=$G70),1,"")</x:f>
      </x:c>
      <x:c r="BA70" s="167" t="str">
        <x:f>IF(AND(BA$6&lt;=$H70,BA$6+6&gt;=$G70),1,"")</x:f>
      </x:c>
      <x:c r="BB70" s="167" t="str">
        <x:f>IF(AND(BB$6&lt;=$H70,BB$6+6&gt;=$G70),1,"")</x:f>
      </x:c>
      <x:c r="BC70" s="167" t="str">
        <x:f>IF(AND(BC$6&lt;=$H70,BC$6+6&gt;=$G70),1,"")</x:f>
      </x:c>
      <x:c r="BD70" s="167" t="str">
        <x:f>IF(AND(BD$6&lt;=$H70,BD$6+6&gt;=$G70),1,"")</x:f>
      </x:c>
      <x:c r="BE70" s="167" t="str">
        <x:f>IF(AND(BE$6&lt;=$H70,BE$6+6&gt;=$G70),1,"")</x:f>
      </x:c>
      <x:c r="BF70" s="167" t="str">
        <x:f>IF(AND(BF$6&lt;=$H70,BF$6+6&gt;=$G70),1,"")</x:f>
      </x:c>
      <x:c r="BG70" s="167" t="str">
        <x:f>IF(AND(BG$6&lt;=$H70,BG$6+6&gt;=$G70),1,"")</x:f>
      </x:c>
      <x:c r="BH70" s="167" t="str">
        <x:f>IF(AND(BH$6&lt;=$H70,BH$6+6&gt;=$G70),1,"")</x:f>
      </x:c>
      <x:c r="BI70" s="167" t="str">
        <x:f>IF(AND(BI$6&lt;=$H70,BI$6+6&gt;=$G70),1,"")</x:f>
      </x:c>
      <x:c r="BJ70" s="167" t="str">
        <x:f>IF(AND(BJ$6&lt;=$H70,BJ$6+6&gt;=$G70),1,"")</x:f>
      </x:c>
      <x:c r="BK70" s="168" t="str">
        <x:f>IF(AND(BK$6&lt;=$H70,BK$6+6&gt;=$G70),1,"")</x:f>
      </x:c>
    </x:row>
    <x:row r="71" ht="24" customHeight="1">
      <x:c r="A71" s="68" t="str">
        <x:f>'Research Tasks'!A69</x:f>
        <x:v>T-811</x:v>
      </x:c>
      <x:c r="B71" s="68" t="str">
        <x:f>'Research Tasks'!B69</x:f>
        <x:v>M8</x:v>
      </x:c>
      <x:c r="C71" s="68" t="str">
        <x:f>'Research Tasks'!C69</x:f>
        <x:v>Research/Epistemic Policy</x:v>
      </x:c>
      <x:c r="D71" s="68" t="str">
        <x:f>'Research Tasks'!D69</x:f>
        <x:v>Test H5: epistemic action and pathology</x:v>
      </x:c>
      <x:c r="E71" s="68" t="str">
        <x:f>'Research Tasks'!E69</x:f>
        <x:v>AI-309, AI-313, T-804, T-805</x:v>
      </x:c>
      <x:c r="F71" s="68" t="str">
        <x:f>'Research Tasks'!F69</x:f>
        <x:v>Blocked</x:v>
      </x:c>
      <x:c r="G71" s="94" t="n">
        <x:f>'Research Tasks'!I69</x:f>
        <x:v>46535</x:v>
      </x:c>
      <x:c r="H71" s="94" t="n">
        <x:f>'Research Tasks'!J69</x:f>
        <x:v>46545</x:v>
      </x:c>
      <x:c r="I71" s="166" t="str">
        <x:f>IF(AND(I$6&lt;=$H71,I$6+6&gt;=$G71),1,"")</x:f>
      </x:c>
      <x:c r="J71" s="167" t="str">
        <x:f>IF(AND(J$6&lt;=$H71,J$6+6&gt;=$G71),1,"")</x:f>
      </x:c>
      <x:c r="K71" s="167" t="str">
        <x:f>IF(AND(K$6&lt;=$H71,K$6+6&gt;=$G71),1,"")</x:f>
      </x:c>
      <x:c r="L71" s="167" t="str">
        <x:f>IF(AND(L$6&lt;=$H71,L$6+6&gt;=$G71),1,"")</x:f>
      </x:c>
      <x:c r="M71" s="167" t="str">
        <x:f>IF(AND(M$6&lt;=$H71,M$6+6&gt;=$G71),1,"")</x:f>
      </x:c>
      <x:c r="N71" s="167" t="str">
        <x:f>IF(AND(N$6&lt;=$H71,N$6+6&gt;=$G71),1,"")</x:f>
      </x:c>
      <x:c r="O71" s="167" t="str">
        <x:f>IF(AND(O$6&lt;=$H71,O$6+6&gt;=$G71),1,"")</x:f>
      </x:c>
      <x:c r="P71" s="167" t="str">
        <x:f>IF(AND(P$6&lt;=$H71,P$6+6&gt;=$G71),1,"")</x:f>
      </x:c>
      <x:c r="Q71" s="167" t="str">
        <x:f>IF(AND(Q$6&lt;=$H71,Q$6+6&gt;=$G71),1,"")</x:f>
      </x:c>
      <x:c r="R71" s="167" t="str">
        <x:f>IF(AND(R$6&lt;=$H71,R$6+6&gt;=$G71),1,"")</x:f>
      </x:c>
      <x:c r="S71" s="167" t="str">
        <x:f>IF(AND(S$6&lt;=$H71,S$6+6&gt;=$G71),1,"")</x:f>
      </x:c>
      <x:c r="T71" s="167" t="str">
        <x:f>IF(AND(T$6&lt;=$H71,T$6+6&gt;=$G71),1,"")</x:f>
      </x:c>
      <x:c r="U71" s="167" t="str">
        <x:f>IF(AND(U$6&lt;=$H71,U$6+6&gt;=$G71),1,"")</x:f>
      </x:c>
      <x:c r="V71" s="167" t="str">
        <x:f>IF(AND(V$6&lt;=$H71,V$6+6&gt;=$G71),1,"")</x:f>
      </x:c>
      <x:c r="W71" s="167" t="str">
        <x:f>IF(AND(W$6&lt;=$H71,W$6+6&gt;=$G71),1,"")</x:f>
      </x:c>
      <x:c r="X71" s="167" t="str">
        <x:f>IF(AND(X$6&lt;=$H71,X$6+6&gt;=$G71),1,"")</x:f>
      </x:c>
      <x:c r="Y71" s="167" t="str">
        <x:f>IF(AND(Y$6&lt;=$H71,Y$6+6&gt;=$G71),1,"")</x:f>
      </x:c>
      <x:c r="Z71" s="167" t="str">
        <x:f>IF(AND(Z$6&lt;=$H71,Z$6+6&gt;=$G71),1,"")</x:f>
      </x:c>
      <x:c r="AA71" s="167" t="str">
        <x:f>IF(AND(AA$6&lt;=$H71,AA$6+6&gt;=$G71),1,"")</x:f>
      </x:c>
      <x:c r="AB71" s="167" t="str">
        <x:f>IF(AND(AB$6&lt;=$H71,AB$6+6&gt;=$G71),1,"")</x:f>
      </x:c>
      <x:c r="AC71" s="167" t="str">
        <x:f>IF(AND(AC$6&lt;=$H71,AC$6+6&gt;=$G71),1,"")</x:f>
      </x:c>
      <x:c r="AD71" s="167" t="str">
        <x:f>IF(AND(AD$6&lt;=$H71,AD$6+6&gt;=$G71),1,"")</x:f>
      </x:c>
      <x:c r="AE71" s="167" t="str">
        <x:f>IF(AND(AE$6&lt;=$H71,AE$6+6&gt;=$G71),1,"")</x:f>
      </x:c>
      <x:c r="AF71" s="167" t="str">
        <x:f>IF(AND(AF$6&lt;=$H71,AF$6+6&gt;=$G71),1,"")</x:f>
      </x:c>
      <x:c r="AG71" s="167" t="str">
        <x:f>IF(AND(AG$6&lt;=$H71,AG$6+6&gt;=$G71),1,"")</x:f>
      </x:c>
      <x:c r="AH71" s="167" t="str">
        <x:f>IF(AND(AH$6&lt;=$H71,AH$6+6&gt;=$G71),1,"")</x:f>
      </x:c>
      <x:c r="AI71" s="167" t="str">
        <x:f>IF(AND(AI$6&lt;=$H71,AI$6+6&gt;=$G71),1,"")</x:f>
      </x:c>
      <x:c r="AJ71" s="167" t="str">
        <x:f>IF(AND(AJ$6&lt;=$H71,AJ$6+6&gt;=$G71),1,"")</x:f>
      </x:c>
      <x:c r="AK71" s="167" t="str">
        <x:f>IF(AND(AK$6&lt;=$H71,AK$6+6&gt;=$G71),1,"")</x:f>
      </x:c>
      <x:c r="AL71" s="167" t="str">
        <x:f>IF(AND(AL$6&lt;=$H71,AL$6+6&gt;=$G71),1,"")</x:f>
      </x:c>
      <x:c r="AM71" s="167" t="str">
        <x:f>IF(AND(AM$6&lt;=$H71,AM$6+6&gt;=$G71),1,"")</x:f>
      </x:c>
      <x:c r="AN71" s="167" t="str">
        <x:f>IF(AND(AN$6&lt;=$H71,AN$6+6&gt;=$G71),1,"")</x:f>
      </x:c>
      <x:c r="AO71" s="167" t="str">
        <x:f>IF(AND(AO$6&lt;=$H71,AO$6+6&gt;=$G71),1,"")</x:f>
      </x:c>
      <x:c r="AP71" s="167" t="str">
        <x:f>IF(AND(AP$6&lt;=$H71,AP$6+6&gt;=$G71),1,"")</x:f>
      </x:c>
      <x:c r="AQ71" s="167" t="str">
        <x:f>IF(AND(AQ$6&lt;=$H71,AQ$6+6&gt;=$G71),1,"")</x:f>
      </x:c>
      <x:c r="AR71" s="167" t="str">
        <x:f>IF(AND(AR$6&lt;=$H71,AR$6+6&gt;=$G71),1,"")</x:f>
      </x:c>
      <x:c r="AS71" s="167" t="str">
        <x:f>IF(AND(AS$6&lt;=$H71,AS$6+6&gt;=$G71),1,"")</x:f>
      </x:c>
      <x:c r="AT71" s="167" t="str">
        <x:f>IF(AND(AT$6&lt;=$H71,AT$6+6&gt;=$G71),1,"")</x:f>
      </x:c>
      <x:c r="AU71" s="167" t="str">
        <x:f>IF(AND(AU$6&lt;=$H71,AU$6+6&gt;=$G71),1,"")</x:f>
      </x:c>
      <x:c r="AV71" s="167" t="str">
        <x:f>IF(AND(AV$6&lt;=$H71,AV$6+6&gt;=$G71),1,"")</x:f>
      </x:c>
      <x:c r="AW71" s="167" t="str">
        <x:f>IF(AND(AW$6&lt;=$H71,AW$6+6&gt;=$G71),1,"")</x:f>
      </x:c>
      <x:c r="AX71" s="167" t="str">
        <x:f>IF(AND(AX$6&lt;=$H71,AX$6+6&gt;=$G71),1,"")</x:f>
      </x:c>
      <x:c r="AY71" s="167" t="n">
        <x:f>IF(AND(AY$6&lt;=$H71,AY$6+6&gt;=$G71),1,"")</x:f>
        <x:v>1</x:v>
      </x:c>
      <x:c r="AZ71" s="167" t="n">
        <x:f>IF(AND(AZ$6&lt;=$H71,AZ$6+6&gt;=$G71),1,"")</x:f>
        <x:v>1</x:v>
      </x:c>
      <x:c r="BA71" s="167" t="n">
        <x:f>IF(AND(BA$6&lt;=$H71,BA$6+6&gt;=$G71),1,"")</x:f>
        <x:v>1</x:v>
      </x:c>
      <x:c r="BB71" s="167" t="str">
        <x:f>IF(AND(BB$6&lt;=$H71,BB$6+6&gt;=$G71),1,"")</x:f>
      </x:c>
      <x:c r="BC71" s="167" t="str">
        <x:f>IF(AND(BC$6&lt;=$H71,BC$6+6&gt;=$G71),1,"")</x:f>
      </x:c>
      <x:c r="BD71" s="167" t="str">
        <x:f>IF(AND(BD$6&lt;=$H71,BD$6+6&gt;=$G71),1,"")</x:f>
      </x:c>
      <x:c r="BE71" s="167" t="str">
        <x:f>IF(AND(BE$6&lt;=$H71,BE$6+6&gt;=$G71),1,"")</x:f>
      </x:c>
      <x:c r="BF71" s="167" t="str">
        <x:f>IF(AND(BF$6&lt;=$H71,BF$6+6&gt;=$G71),1,"")</x:f>
      </x:c>
      <x:c r="BG71" s="167" t="str">
        <x:f>IF(AND(BG$6&lt;=$H71,BG$6+6&gt;=$G71),1,"")</x:f>
      </x:c>
      <x:c r="BH71" s="167" t="str">
        <x:f>IF(AND(BH$6&lt;=$H71,BH$6+6&gt;=$G71),1,"")</x:f>
      </x:c>
      <x:c r="BI71" s="167" t="str">
        <x:f>IF(AND(BI$6&lt;=$H71,BI$6+6&gt;=$G71),1,"")</x:f>
      </x:c>
      <x:c r="BJ71" s="167" t="str">
        <x:f>IF(AND(BJ$6&lt;=$H71,BJ$6+6&gt;=$G71),1,"")</x:f>
      </x:c>
      <x:c r="BK71" s="168" t="str">
        <x:f>IF(AND(BK$6&lt;=$H71,BK$6+6&gt;=$G71),1,"")</x:f>
      </x:c>
    </x:row>
    <x:row r="72" ht="24" customHeight="1">
      <x:c r="A72" s="68" t="str">
        <x:f>'Research Tasks'!A70</x:f>
        <x:v>T-812</x:v>
      </x:c>
      <x:c r="B72" s="68" t="str">
        <x:f>'Research Tasks'!B70</x:f>
        <x:v>M8</x:v>
      </x:c>
      <x:c r="C72" s="68" t="str">
        <x:f>'Research Tasks'!C70</x:f>
        <x:v>Research/Pretraining</x:v>
      </x:c>
      <x:c r="D72" s="68" t="str">
        <x:f>'Research Tasks'!D70</x:f>
        <x:v>Test H6: inherited pretrained perception</x:v>
      </x:c>
      <x:c r="E72" s="68" t="str">
        <x:f>'Research Tasks'!E70</x:f>
        <x:v>AI-314, T-804, T-805</x:v>
      </x:c>
      <x:c r="F72" s="68" t="str">
        <x:f>'Research Tasks'!F70</x:f>
        <x:v>Blocked</x:v>
      </x:c>
      <x:c r="G72" s="94" t="n">
        <x:f>'Research Tasks'!I70</x:f>
        <x:v>46546</x:v>
      </x:c>
      <x:c r="H72" s="94" t="n">
        <x:f>'Research Tasks'!J70</x:f>
        <x:v>46554</x:v>
      </x:c>
      <x:c r="I72" s="166" t="str">
        <x:f>IF(AND(I$6&lt;=$H72,I$6+6&gt;=$G72),1,"")</x:f>
      </x:c>
      <x:c r="J72" s="167" t="str">
        <x:f>IF(AND(J$6&lt;=$H72,J$6+6&gt;=$G72),1,"")</x:f>
      </x:c>
      <x:c r="K72" s="167" t="str">
        <x:f>IF(AND(K$6&lt;=$H72,K$6+6&gt;=$G72),1,"")</x:f>
      </x:c>
      <x:c r="L72" s="167" t="str">
        <x:f>IF(AND(L$6&lt;=$H72,L$6+6&gt;=$G72),1,"")</x:f>
      </x:c>
      <x:c r="M72" s="167" t="str">
        <x:f>IF(AND(M$6&lt;=$H72,M$6+6&gt;=$G72),1,"")</x:f>
      </x:c>
      <x:c r="N72" s="167" t="str">
        <x:f>IF(AND(N$6&lt;=$H72,N$6+6&gt;=$G72),1,"")</x:f>
      </x:c>
      <x:c r="O72" s="167" t="str">
        <x:f>IF(AND(O$6&lt;=$H72,O$6+6&gt;=$G72),1,"")</x:f>
      </x:c>
      <x:c r="P72" s="167" t="str">
        <x:f>IF(AND(P$6&lt;=$H72,P$6+6&gt;=$G72),1,"")</x:f>
      </x:c>
      <x:c r="Q72" s="167" t="str">
        <x:f>IF(AND(Q$6&lt;=$H72,Q$6+6&gt;=$G72),1,"")</x:f>
      </x:c>
      <x:c r="R72" s="167" t="str">
        <x:f>IF(AND(R$6&lt;=$H72,R$6+6&gt;=$G72),1,"")</x:f>
      </x:c>
      <x:c r="S72" s="167" t="str">
        <x:f>IF(AND(S$6&lt;=$H72,S$6+6&gt;=$G72),1,"")</x:f>
      </x:c>
      <x:c r="T72" s="167" t="str">
        <x:f>IF(AND(T$6&lt;=$H72,T$6+6&gt;=$G72),1,"")</x:f>
      </x:c>
      <x:c r="U72" s="167" t="str">
        <x:f>IF(AND(U$6&lt;=$H72,U$6+6&gt;=$G72),1,"")</x:f>
      </x:c>
      <x:c r="V72" s="167" t="str">
        <x:f>IF(AND(V$6&lt;=$H72,V$6+6&gt;=$G72),1,"")</x:f>
      </x:c>
      <x:c r="W72" s="167" t="str">
        <x:f>IF(AND(W$6&lt;=$H72,W$6+6&gt;=$G72),1,"")</x:f>
      </x:c>
      <x:c r="X72" s="167" t="str">
        <x:f>IF(AND(X$6&lt;=$H72,X$6+6&gt;=$G72),1,"")</x:f>
      </x:c>
      <x:c r="Y72" s="167" t="str">
        <x:f>IF(AND(Y$6&lt;=$H72,Y$6+6&gt;=$G72),1,"")</x:f>
      </x:c>
      <x:c r="Z72" s="167" t="str">
        <x:f>IF(AND(Z$6&lt;=$H72,Z$6+6&gt;=$G72),1,"")</x:f>
      </x:c>
      <x:c r="AA72" s="167" t="str">
        <x:f>IF(AND(AA$6&lt;=$H72,AA$6+6&gt;=$G72),1,"")</x:f>
      </x:c>
      <x:c r="AB72" s="167" t="str">
        <x:f>IF(AND(AB$6&lt;=$H72,AB$6+6&gt;=$G72),1,"")</x:f>
      </x:c>
      <x:c r="AC72" s="167" t="str">
        <x:f>IF(AND(AC$6&lt;=$H72,AC$6+6&gt;=$G72),1,"")</x:f>
      </x:c>
      <x:c r="AD72" s="167" t="str">
        <x:f>IF(AND(AD$6&lt;=$H72,AD$6+6&gt;=$G72),1,"")</x:f>
      </x:c>
      <x:c r="AE72" s="167" t="str">
        <x:f>IF(AND(AE$6&lt;=$H72,AE$6+6&gt;=$G72),1,"")</x:f>
      </x:c>
      <x:c r="AF72" s="167" t="str">
        <x:f>IF(AND(AF$6&lt;=$H72,AF$6+6&gt;=$G72),1,"")</x:f>
      </x:c>
      <x:c r="AG72" s="167" t="str">
        <x:f>IF(AND(AG$6&lt;=$H72,AG$6+6&gt;=$G72),1,"")</x:f>
      </x:c>
      <x:c r="AH72" s="167" t="str">
        <x:f>IF(AND(AH$6&lt;=$H72,AH$6+6&gt;=$G72),1,"")</x:f>
      </x:c>
      <x:c r="AI72" s="167" t="str">
        <x:f>IF(AND(AI$6&lt;=$H72,AI$6+6&gt;=$G72),1,"")</x:f>
      </x:c>
      <x:c r="AJ72" s="167" t="str">
        <x:f>IF(AND(AJ$6&lt;=$H72,AJ$6+6&gt;=$G72),1,"")</x:f>
      </x:c>
      <x:c r="AK72" s="167" t="str">
        <x:f>IF(AND(AK$6&lt;=$H72,AK$6+6&gt;=$G72),1,"")</x:f>
      </x:c>
      <x:c r="AL72" s="167" t="str">
        <x:f>IF(AND(AL$6&lt;=$H72,AL$6+6&gt;=$G72),1,"")</x:f>
      </x:c>
      <x:c r="AM72" s="167" t="str">
        <x:f>IF(AND(AM$6&lt;=$H72,AM$6+6&gt;=$G72),1,"")</x:f>
      </x:c>
      <x:c r="AN72" s="167" t="str">
        <x:f>IF(AND(AN$6&lt;=$H72,AN$6+6&gt;=$G72),1,"")</x:f>
      </x:c>
      <x:c r="AO72" s="167" t="str">
        <x:f>IF(AND(AO$6&lt;=$H72,AO$6+6&gt;=$G72),1,"")</x:f>
      </x:c>
      <x:c r="AP72" s="167" t="str">
        <x:f>IF(AND(AP$6&lt;=$H72,AP$6+6&gt;=$G72),1,"")</x:f>
      </x:c>
      <x:c r="AQ72" s="167" t="str">
        <x:f>IF(AND(AQ$6&lt;=$H72,AQ$6+6&gt;=$G72),1,"")</x:f>
      </x:c>
      <x:c r="AR72" s="167" t="str">
        <x:f>IF(AND(AR$6&lt;=$H72,AR$6+6&gt;=$G72),1,"")</x:f>
      </x:c>
      <x:c r="AS72" s="167" t="str">
        <x:f>IF(AND(AS$6&lt;=$H72,AS$6+6&gt;=$G72),1,"")</x:f>
      </x:c>
      <x:c r="AT72" s="167" t="str">
        <x:f>IF(AND(AT$6&lt;=$H72,AT$6+6&gt;=$G72),1,"")</x:f>
      </x:c>
      <x:c r="AU72" s="167" t="str">
        <x:f>IF(AND(AU$6&lt;=$H72,AU$6+6&gt;=$G72),1,"")</x:f>
      </x:c>
      <x:c r="AV72" s="167" t="str">
        <x:f>IF(AND(AV$6&lt;=$H72,AV$6+6&gt;=$G72),1,"")</x:f>
      </x:c>
      <x:c r="AW72" s="167" t="str">
        <x:f>IF(AND(AW$6&lt;=$H72,AW$6+6&gt;=$G72),1,"")</x:f>
      </x:c>
      <x:c r="AX72" s="167" t="str">
        <x:f>IF(AND(AX$6&lt;=$H72,AX$6+6&gt;=$G72),1,"")</x:f>
      </x:c>
      <x:c r="AY72" s="167" t="str">
        <x:f>IF(AND(AY$6&lt;=$H72,AY$6+6&gt;=$G72),1,"")</x:f>
      </x:c>
      <x:c r="AZ72" s="167" t="str">
        <x:f>IF(AND(AZ$6&lt;=$H72,AZ$6+6&gt;=$G72),1,"")</x:f>
      </x:c>
      <x:c r="BA72" s="167" t="n">
        <x:f>IF(AND(BA$6&lt;=$H72,BA$6+6&gt;=$G72),1,"")</x:f>
        <x:v>1</x:v>
      </x:c>
      <x:c r="BB72" s="167" t="n">
        <x:f>IF(AND(BB$6&lt;=$H72,BB$6+6&gt;=$G72),1,"")</x:f>
        <x:v>1</x:v>
      </x:c>
      <x:c r="BC72" s="167" t="str">
        <x:f>IF(AND(BC$6&lt;=$H72,BC$6+6&gt;=$G72),1,"")</x:f>
      </x:c>
      <x:c r="BD72" s="167" t="str">
        <x:f>IF(AND(BD$6&lt;=$H72,BD$6+6&gt;=$G72),1,"")</x:f>
      </x:c>
      <x:c r="BE72" s="167" t="str">
        <x:f>IF(AND(BE$6&lt;=$H72,BE$6+6&gt;=$G72),1,"")</x:f>
      </x:c>
      <x:c r="BF72" s="167" t="str">
        <x:f>IF(AND(BF$6&lt;=$H72,BF$6+6&gt;=$G72),1,"")</x:f>
      </x:c>
      <x:c r="BG72" s="167" t="str">
        <x:f>IF(AND(BG$6&lt;=$H72,BG$6+6&gt;=$G72),1,"")</x:f>
      </x:c>
      <x:c r="BH72" s="167" t="str">
        <x:f>IF(AND(BH$6&lt;=$H72,BH$6+6&gt;=$G72),1,"")</x:f>
      </x:c>
      <x:c r="BI72" s="167" t="str">
        <x:f>IF(AND(BI$6&lt;=$H72,BI$6+6&gt;=$G72),1,"")</x:f>
      </x:c>
      <x:c r="BJ72" s="167" t="str">
        <x:f>IF(AND(BJ$6&lt;=$H72,BJ$6+6&gt;=$G72),1,"")</x:f>
      </x:c>
      <x:c r="BK72" s="168" t="str">
        <x:f>IF(AND(BK$6&lt;=$H72,BK$6+6&gt;=$G72),1,"")</x:f>
      </x:c>
    </x:row>
    <x:row r="73" ht="24" customHeight="1">
      <x:c r="A73" s="68" t="str">
        <x:f>'Research Tasks'!A71</x:f>
        <x:v>T-813</x:v>
      </x:c>
      <x:c r="B73" s="68" t="str">
        <x:f>'Research Tasks'!B71</x:f>
        <x:v>M8</x:v>
      </x:c>
      <x:c r="C73" s="68" t="str">
        <x:f>'Research Tasks'!C71</x:f>
        <x:v>Research/Continual Learning</x:v>
      </x:c>
      <x:c r="D73" s="68" t="str">
        <x:f>'Research Tasks'!D71</x:f>
        <x:v>Test online development and inheritance</x:v>
      </x:c>
      <x:c r="E73" s="68" t="str">
        <x:f>'Research Tasks'!E71</x:f>
        <x:v>AI-312, T-802, T-804, T-805</x:v>
      </x:c>
      <x:c r="F73" s="68" t="str">
        <x:f>'Research Tasks'!F71</x:f>
        <x:v>Blocked</x:v>
      </x:c>
      <x:c r="G73" s="94" t="n">
        <x:f>'Research Tasks'!I71</x:f>
        <x:v>46555</x:v>
      </x:c>
      <x:c r="H73" s="94" t="n">
        <x:f>'Research Tasks'!J71</x:f>
        <x:v>46566</x:v>
      </x:c>
      <x:c r="I73" s="166" t="str">
        <x:f>IF(AND(I$6&lt;=$H73,I$6+6&gt;=$G73),1,"")</x:f>
      </x:c>
      <x:c r="J73" s="167" t="str">
        <x:f>IF(AND(J$6&lt;=$H73,J$6+6&gt;=$G73),1,"")</x:f>
      </x:c>
      <x:c r="K73" s="167" t="str">
        <x:f>IF(AND(K$6&lt;=$H73,K$6+6&gt;=$G73),1,"")</x:f>
      </x:c>
      <x:c r="L73" s="167" t="str">
        <x:f>IF(AND(L$6&lt;=$H73,L$6+6&gt;=$G73),1,"")</x:f>
      </x:c>
      <x:c r="M73" s="167" t="str">
        <x:f>IF(AND(M$6&lt;=$H73,M$6+6&gt;=$G73),1,"")</x:f>
      </x:c>
      <x:c r="N73" s="167" t="str">
        <x:f>IF(AND(N$6&lt;=$H73,N$6+6&gt;=$G73),1,"")</x:f>
      </x:c>
      <x:c r="O73" s="167" t="str">
        <x:f>IF(AND(O$6&lt;=$H73,O$6+6&gt;=$G73),1,"")</x:f>
      </x:c>
      <x:c r="P73" s="167" t="str">
        <x:f>IF(AND(P$6&lt;=$H73,P$6+6&gt;=$G73),1,"")</x:f>
      </x:c>
      <x:c r="Q73" s="167" t="str">
        <x:f>IF(AND(Q$6&lt;=$H73,Q$6+6&gt;=$G73),1,"")</x:f>
      </x:c>
      <x:c r="R73" s="167" t="str">
        <x:f>IF(AND(R$6&lt;=$H73,R$6+6&gt;=$G73),1,"")</x:f>
      </x:c>
      <x:c r="S73" s="167" t="str">
        <x:f>IF(AND(S$6&lt;=$H73,S$6+6&gt;=$G73),1,"")</x:f>
      </x:c>
      <x:c r="T73" s="167" t="str">
        <x:f>IF(AND(T$6&lt;=$H73,T$6+6&gt;=$G73),1,"")</x:f>
      </x:c>
      <x:c r="U73" s="167" t="str">
        <x:f>IF(AND(U$6&lt;=$H73,U$6+6&gt;=$G73),1,"")</x:f>
      </x:c>
      <x:c r="V73" s="167" t="str">
        <x:f>IF(AND(V$6&lt;=$H73,V$6+6&gt;=$G73),1,"")</x:f>
      </x:c>
      <x:c r="W73" s="167" t="str">
        <x:f>IF(AND(W$6&lt;=$H73,W$6+6&gt;=$G73),1,"")</x:f>
      </x:c>
      <x:c r="X73" s="167" t="str">
        <x:f>IF(AND(X$6&lt;=$H73,X$6+6&gt;=$G73),1,"")</x:f>
      </x:c>
      <x:c r="Y73" s="167" t="str">
        <x:f>IF(AND(Y$6&lt;=$H73,Y$6+6&gt;=$G73),1,"")</x:f>
      </x:c>
      <x:c r="Z73" s="167" t="str">
        <x:f>IF(AND(Z$6&lt;=$H73,Z$6+6&gt;=$G73),1,"")</x:f>
      </x:c>
      <x:c r="AA73" s="167" t="str">
        <x:f>IF(AND(AA$6&lt;=$H73,AA$6+6&gt;=$G73),1,"")</x:f>
      </x:c>
      <x:c r="AB73" s="167" t="str">
        <x:f>IF(AND(AB$6&lt;=$H73,AB$6+6&gt;=$G73),1,"")</x:f>
      </x:c>
      <x:c r="AC73" s="167" t="str">
        <x:f>IF(AND(AC$6&lt;=$H73,AC$6+6&gt;=$G73),1,"")</x:f>
      </x:c>
      <x:c r="AD73" s="167" t="str">
        <x:f>IF(AND(AD$6&lt;=$H73,AD$6+6&gt;=$G73),1,"")</x:f>
      </x:c>
      <x:c r="AE73" s="167" t="str">
        <x:f>IF(AND(AE$6&lt;=$H73,AE$6+6&gt;=$G73),1,"")</x:f>
      </x:c>
      <x:c r="AF73" s="167" t="str">
        <x:f>IF(AND(AF$6&lt;=$H73,AF$6+6&gt;=$G73),1,"")</x:f>
      </x:c>
      <x:c r="AG73" s="167" t="str">
        <x:f>IF(AND(AG$6&lt;=$H73,AG$6+6&gt;=$G73),1,"")</x:f>
      </x:c>
      <x:c r="AH73" s="167" t="str">
        <x:f>IF(AND(AH$6&lt;=$H73,AH$6+6&gt;=$G73),1,"")</x:f>
      </x:c>
      <x:c r="AI73" s="167" t="str">
        <x:f>IF(AND(AI$6&lt;=$H73,AI$6+6&gt;=$G73),1,"")</x:f>
      </x:c>
      <x:c r="AJ73" s="167" t="str">
        <x:f>IF(AND(AJ$6&lt;=$H73,AJ$6+6&gt;=$G73),1,"")</x:f>
      </x:c>
      <x:c r="AK73" s="167" t="str">
        <x:f>IF(AND(AK$6&lt;=$H73,AK$6+6&gt;=$G73),1,"")</x:f>
      </x:c>
      <x:c r="AL73" s="167" t="str">
        <x:f>IF(AND(AL$6&lt;=$H73,AL$6+6&gt;=$G73),1,"")</x:f>
      </x:c>
      <x:c r="AM73" s="167" t="str">
        <x:f>IF(AND(AM$6&lt;=$H73,AM$6+6&gt;=$G73),1,"")</x:f>
      </x:c>
      <x:c r="AN73" s="167" t="str">
        <x:f>IF(AND(AN$6&lt;=$H73,AN$6+6&gt;=$G73),1,"")</x:f>
      </x:c>
      <x:c r="AO73" s="167" t="str">
        <x:f>IF(AND(AO$6&lt;=$H73,AO$6+6&gt;=$G73),1,"")</x:f>
      </x:c>
      <x:c r="AP73" s="167" t="str">
        <x:f>IF(AND(AP$6&lt;=$H73,AP$6+6&gt;=$G73),1,"")</x:f>
      </x:c>
      <x:c r="AQ73" s="167" t="str">
        <x:f>IF(AND(AQ$6&lt;=$H73,AQ$6+6&gt;=$G73),1,"")</x:f>
      </x:c>
      <x:c r="AR73" s="167" t="str">
        <x:f>IF(AND(AR$6&lt;=$H73,AR$6+6&gt;=$G73),1,"")</x:f>
      </x:c>
      <x:c r="AS73" s="167" t="str">
        <x:f>IF(AND(AS$6&lt;=$H73,AS$6+6&gt;=$G73),1,"")</x:f>
      </x:c>
      <x:c r="AT73" s="167" t="str">
        <x:f>IF(AND(AT$6&lt;=$H73,AT$6+6&gt;=$G73),1,"")</x:f>
      </x:c>
      <x:c r="AU73" s="167" t="str">
        <x:f>IF(AND(AU$6&lt;=$H73,AU$6+6&gt;=$G73),1,"")</x:f>
      </x:c>
      <x:c r="AV73" s="167" t="str">
        <x:f>IF(AND(AV$6&lt;=$H73,AV$6+6&gt;=$G73),1,"")</x:f>
      </x:c>
      <x:c r="AW73" s="167" t="str">
        <x:f>IF(AND(AW$6&lt;=$H73,AW$6+6&gt;=$G73),1,"")</x:f>
      </x:c>
      <x:c r="AX73" s="167" t="str">
        <x:f>IF(AND(AX$6&lt;=$H73,AX$6+6&gt;=$G73),1,"")</x:f>
      </x:c>
      <x:c r="AY73" s="167" t="str">
        <x:f>IF(AND(AY$6&lt;=$H73,AY$6+6&gt;=$G73),1,"")</x:f>
      </x:c>
      <x:c r="AZ73" s="167" t="str">
        <x:f>IF(AND(AZ$6&lt;=$H73,AZ$6+6&gt;=$G73),1,"")</x:f>
      </x:c>
      <x:c r="BA73" s="167" t="str">
        <x:f>IF(AND(BA$6&lt;=$H73,BA$6+6&gt;=$G73),1,"")</x:f>
      </x:c>
      <x:c r="BB73" s="167" t="n">
        <x:f>IF(AND(BB$6&lt;=$H73,BB$6+6&gt;=$G73),1,"")</x:f>
        <x:v>1</x:v>
      </x:c>
      <x:c r="BC73" s="167" t="n">
        <x:f>IF(AND(BC$6&lt;=$H73,BC$6+6&gt;=$G73),1,"")</x:f>
        <x:v>1</x:v>
      </x:c>
      <x:c r="BD73" s="167" t="n">
        <x:f>IF(AND(BD$6&lt;=$H73,BD$6+6&gt;=$G73),1,"")</x:f>
        <x:v>1</x:v>
      </x:c>
      <x:c r="BE73" s="167" t="str">
        <x:f>IF(AND(BE$6&lt;=$H73,BE$6+6&gt;=$G73),1,"")</x:f>
      </x:c>
      <x:c r="BF73" s="167" t="str">
        <x:f>IF(AND(BF$6&lt;=$H73,BF$6+6&gt;=$G73),1,"")</x:f>
      </x:c>
      <x:c r="BG73" s="167" t="str">
        <x:f>IF(AND(BG$6&lt;=$H73,BG$6+6&gt;=$G73),1,"")</x:f>
      </x:c>
      <x:c r="BH73" s="167" t="str">
        <x:f>IF(AND(BH$6&lt;=$H73,BH$6+6&gt;=$G73),1,"")</x:f>
      </x:c>
      <x:c r="BI73" s="167" t="str">
        <x:f>IF(AND(BI$6&lt;=$H73,BI$6+6&gt;=$G73),1,"")</x:f>
      </x:c>
      <x:c r="BJ73" s="167" t="str">
        <x:f>IF(AND(BJ$6&lt;=$H73,BJ$6+6&gt;=$G73),1,"")</x:f>
      </x:c>
      <x:c r="BK73" s="168" t="str">
        <x:f>IF(AND(BK$6&lt;=$H73,BK$6+6&gt;=$G73),1,"")</x:f>
      </x:c>
    </x:row>
    <x:row r="74" ht="24" customHeight="1">
      <x:c r="A74" s="68" t="str">
        <x:f>'Research Tasks'!A72</x:f>
        <x:v>T-814</x:v>
      </x:c>
      <x:c r="B74" s="68" t="str">
        <x:f>'Research Tasks'!B72</x:f>
        <x:v>M8</x:v>
      </x:c>
      <x:c r="C74" s="68" t="str">
        <x:f>'Research Tasks'!C72</x:f>
        <x:v>Research/Interactions</x:v>
      </x:c>
      <x:c r="D74" s="68" t="str">
        <x:f>'Research Tasks'!D72</x:f>
        <x:v>Run selected interaction studies</x:v>
      </x:c>
      <x:c r="E74" s="68" t="str">
        <x:f>'Research Tasks'!E72</x:f>
        <x:v>T-807, T-808, T-809, T-810, T-811</x:v>
      </x:c>
      <x:c r="F74" s="68" t="str">
        <x:f>'Research Tasks'!F72</x:f>
        <x:v>Blocked</x:v>
      </x:c>
      <x:c r="G74" s="94" t="n">
        <x:f>'Research Tasks'!I72</x:f>
        <x:v>46567</x:v>
      </x:c>
      <x:c r="H74" s="94" t="n">
        <x:f>'Research Tasks'!J72</x:f>
        <x:v>46576</x:v>
      </x:c>
      <x:c r="I74" s="166" t="str">
        <x:f>IF(AND(I$6&lt;=$H74,I$6+6&gt;=$G74),1,"")</x:f>
      </x:c>
      <x:c r="J74" s="167" t="str">
        <x:f>IF(AND(J$6&lt;=$H74,J$6+6&gt;=$G74),1,"")</x:f>
      </x:c>
      <x:c r="K74" s="167" t="str">
        <x:f>IF(AND(K$6&lt;=$H74,K$6+6&gt;=$G74),1,"")</x:f>
      </x:c>
      <x:c r="L74" s="167" t="str">
        <x:f>IF(AND(L$6&lt;=$H74,L$6+6&gt;=$G74),1,"")</x:f>
      </x:c>
      <x:c r="M74" s="167" t="str">
        <x:f>IF(AND(M$6&lt;=$H74,M$6+6&gt;=$G74),1,"")</x:f>
      </x:c>
      <x:c r="N74" s="167" t="str">
        <x:f>IF(AND(N$6&lt;=$H74,N$6+6&gt;=$G74),1,"")</x:f>
      </x:c>
      <x:c r="O74" s="167" t="str">
        <x:f>IF(AND(O$6&lt;=$H74,O$6+6&gt;=$G74),1,"")</x:f>
      </x:c>
      <x:c r="P74" s="167" t="str">
        <x:f>IF(AND(P$6&lt;=$H74,P$6+6&gt;=$G74),1,"")</x:f>
      </x:c>
      <x:c r="Q74" s="167" t="str">
        <x:f>IF(AND(Q$6&lt;=$H74,Q$6+6&gt;=$G74),1,"")</x:f>
      </x:c>
      <x:c r="R74" s="167" t="str">
        <x:f>IF(AND(R$6&lt;=$H74,R$6+6&gt;=$G74),1,"")</x:f>
      </x:c>
      <x:c r="S74" s="167" t="str">
        <x:f>IF(AND(S$6&lt;=$H74,S$6+6&gt;=$G74),1,"")</x:f>
      </x:c>
      <x:c r="T74" s="167" t="str">
        <x:f>IF(AND(T$6&lt;=$H74,T$6+6&gt;=$G74),1,"")</x:f>
      </x:c>
      <x:c r="U74" s="167" t="str">
        <x:f>IF(AND(U$6&lt;=$H74,U$6+6&gt;=$G74),1,"")</x:f>
      </x:c>
      <x:c r="V74" s="167" t="str">
        <x:f>IF(AND(V$6&lt;=$H74,V$6+6&gt;=$G74),1,"")</x:f>
      </x:c>
      <x:c r="W74" s="167" t="str">
        <x:f>IF(AND(W$6&lt;=$H74,W$6+6&gt;=$G74),1,"")</x:f>
      </x:c>
      <x:c r="X74" s="167" t="str">
        <x:f>IF(AND(X$6&lt;=$H74,X$6+6&gt;=$G74),1,"")</x:f>
      </x:c>
      <x:c r="Y74" s="167" t="str">
        <x:f>IF(AND(Y$6&lt;=$H74,Y$6+6&gt;=$G74),1,"")</x:f>
      </x:c>
      <x:c r="Z74" s="167" t="str">
        <x:f>IF(AND(Z$6&lt;=$H74,Z$6+6&gt;=$G74),1,"")</x:f>
      </x:c>
      <x:c r="AA74" s="167" t="str">
        <x:f>IF(AND(AA$6&lt;=$H74,AA$6+6&gt;=$G74),1,"")</x:f>
      </x:c>
      <x:c r="AB74" s="167" t="str">
        <x:f>IF(AND(AB$6&lt;=$H74,AB$6+6&gt;=$G74),1,"")</x:f>
      </x:c>
      <x:c r="AC74" s="167" t="str">
        <x:f>IF(AND(AC$6&lt;=$H74,AC$6+6&gt;=$G74),1,"")</x:f>
      </x:c>
      <x:c r="AD74" s="167" t="str">
        <x:f>IF(AND(AD$6&lt;=$H74,AD$6+6&gt;=$G74),1,"")</x:f>
      </x:c>
      <x:c r="AE74" s="167" t="str">
        <x:f>IF(AND(AE$6&lt;=$H74,AE$6+6&gt;=$G74),1,"")</x:f>
      </x:c>
      <x:c r="AF74" s="167" t="str">
        <x:f>IF(AND(AF$6&lt;=$H74,AF$6+6&gt;=$G74),1,"")</x:f>
      </x:c>
      <x:c r="AG74" s="167" t="str">
        <x:f>IF(AND(AG$6&lt;=$H74,AG$6+6&gt;=$G74),1,"")</x:f>
      </x:c>
      <x:c r="AH74" s="167" t="str">
        <x:f>IF(AND(AH$6&lt;=$H74,AH$6+6&gt;=$G74),1,"")</x:f>
      </x:c>
      <x:c r="AI74" s="167" t="str">
        <x:f>IF(AND(AI$6&lt;=$H74,AI$6+6&gt;=$G74),1,"")</x:f>
      </x:c>
      <x:c r="AJ74" s="167" t="str">
        <x:f>IF(AND(AJ$6&lt;=$H74,AJ$6+6&gt;=$G74),1,"")</x:f>
      </x:c>
      <x:c r="AK74" s="167" t="str">
        <x:f>IF(AND(AK$6&lt;=$H74,AK$6+6&gt;=$G74),1,"")</x:f>
      </x:c>
      <x:c r="AL74" s="167" t="str">
        <x:f>IF(AND(AL$6&lt;=$H74,AL$6+6&gt;=$G74),1,"")</x:f>
      </x:c>
      <x:c r="AM74" s="167" t="str">
        <x:f>IF(AND(AM$6&lt;=$H74,AM$6+6&gt;=$G74),1,"")</x:f>
      </x:c>
      <x:c r="AN74" s="167" t="str">
        <x:f>IF(AND(AN$6&lt;=$H74,AN$6+6&gt;=$G74),1,"")</x:f>
      </x:c>
      <x:c r="AO74" s="167" t="str">
        <x:f>IF(AND(AO$6&lt;=$H74,AO$6+6&gt;=$G74),1,"")</x:f>
      </x:c>
      <x:c r="AP74" s="167" t="str">
        <x:f>IF(AND(AP$6&lt;=$H74,AP$6+6&gt;=$G74),1,"")</x:f>
      </x:c>
      <x:c r="AQ74" s="167" t="str">
        <x:f>IF(AND(AQ$6&lt;=$H74,AQ$6+6&gt;=$G74),1,"")</x:f>
      </x:c>
      <x:c r="AR74" s="167" t="str">
        <x:f>IF(AND(AR$6&lt;=$H74,AR$6+6&gt;=$G74),1,"")</x:f>
      </x:c>
      <x:c r="AS74" s="167" t="str">
        <x:f>IF(AND(AS$6&lt;=$H74,AS$6+6&gt;=$G74),1,"")</x:f>
      </x:c>
      <x:c r="AT74" s="167" t="str">
        <x:f>IF(AND(AT$6&lt;=$H74,AT$6+6&gt;=$G74),1,"")</x:f>
      </x:c>
      <x:c r="AU74" s="167" t="str">
        <x:f>IF(AND(AU$6&lt;=$H74,AU$6+6&gt;=$G74),1,"")</x:f>
      </x:c>
      <x:c r="AV74" s="167" t="str">
        <x:f>IF(AND(AV$6&lt;=$H74,AV$6+6&gt;=$G74),1,"")</x:f>
      </x:c>
      <x:c r="AW74" s="167" t="str">
        <x:f>IF(AND(AW$6&lt;=$H74,AW$6+6&gt;=$G74),1,"")</x:f>
      </x:c>
      <x:c r="AX74" s="167" t="str">
        <x:f>IF(AND(AX$6&lt;=$H74,AX$6+6&gt;=$G74),1,"")</x:f>
      </x:c>
      <x:c r="AY74" s="167" t="str">
        <x:f>IF(AND(AY$6&lt;=$H74,AY$6+6&gt;=$G74),1,"")</x:f>
      </x:c>
      <x:c r="AZ74" s="167" t="str">
        <x:f>IF(AND(AZ$6&lt;=$H74,AZ$6+6&gt;=$G74),1,"")</x:f>
      </x:c>
      <x:c r="BA74" s="167" t="str">
        <x:f>IF(AND(BA$6&lt;=$H74,BA$6+6&gt;=$G74),1,"")</x:f>
      </x:c>
      <x:c r="BB74" s="167" t="str">
        <x:f>IF(AND(BB$6&lt;=$H74,BB$6+6&gt;=$G74),1,"")</x:f>
      </x:c>
      <x:c r="BC74" s="167" t="str">
        <x:f>IF(AND(BC$6&lt;=$H74,BC$6+6&gt;=$G74),1,"")</x:f>
      </x:c>
      <x:c r="BD74" s="167" t="n">
        <x:f>IF(AND(BD$6&lt;=$H74,BD$6+6&gt;=$G74),1,"")</x:f>
        <x:v>1</x:v>
      </x:c>
      <x:c r="BE74" s="167" t="n">
        <x:f>IF(AND(BE$6&lt;=$H74,BE$6+6&gt;=$G74),1,"")</x:f>
        <x:v>1</x:v>
      </x:c>
      <x:c r="BF74" s="167" t="str">
        <x:f>IF(AND(BF$6&lt;=$H74,BF$6+6&gt;=$G74),1,"")</x:f>
      </x:c>
      <x:c r="BG74" s="167" t="str">
        <x:f>IF(AND(BG$6&lt;=$H74,BG$6+6&gt;=$G74),1,"")</x:f>
      </x:c>
      <x:c r="BH74" s="167" t="str">
        <x:f>IF(AND(BH$6&lt;=$H74,BH$6+6&gt;=$G74),1,"")</x:f>
      </x:c>
      <x:c r="BI74" s="167" t="str">
        <x:f>IF(AND(BI$6&lt;=$H74,BI$6+6&gt;=$G74),1,"")</x:f>
      </x:c>
      <x:c r="BJ74" s="167" t="str">
        <x:f>IF(AND(BJ$6&lt;=$H74,BJ$6+6&gt;=$G74),1,"")</x:f>
      </x:c>
      <x:c r="BK74" s="168" t="str">
        <x:f>IF(AND(BK$6&lt;=$H74,BK$6+6&gt;=$G74),1,"")</x:f>
      </x:c>
    </x:row>
    <x:row r="75" ht="24" customHeight="1">
      <x:c r="A75" s="68" t="str">
        <x:f>'Research Tasks'!A73</x:f>
        <x:v>T-815</x:v>
      </x:c>
      <x:c r="B75" s="68" t="str">
        <x:f>'Research Tasks'!B73</x:f>
        <x:v>M8</x:v>
      </x:c>
      <x:c r="C75" s="68" t="str">
        <x:f>'Research Tasks'!C73</x:f>
        <x:v>Research/Transfer</x:v>
      </x:c>
      <x:c r="D75" s="68" t="str">
        <x:f>'Research Tasks'!D73</x:f>
        <x:v>Run simulator and hardware transfer studies</x:v>
      </x:c>
      <x:c r="E75" s="68" t="str">
        <x:f>'Research Tasks'!E73</x:f>
        <x:v>M2, T-410, T-716, T-804, T-805</x:v>
      </x:c>
      <x:c r="F75" s="68" t="str">
        <x:f>'Research Tasks'!F73</x:f>
        <x:v>Blocked</x:v>
      </x:c>
      <x:c r="G75" s="94" t="n">
        <x:f>'Research Tasks'!I73</x:f>
        <x:v>46577</x:v>
      </x:c>
      <x:c r="H75" s="94" t="n">
        <x:f>'Research Tasks'!J73</x:f>
        <x:v>46588</x:v>
      </x:c>
      <x:c r="I75" s="166" t="str">
        <x:f>IF(AND(I$6&lt;=$H75,I$6+6&gt;=$G75),1,"")</x:f>
      </x:c>
      <x:c r="J75" s="167" t="str">
        <x:f>IF(AND(J$6&lt;=$H75,J$6+6&gt;=$G75),1,"")</x:f>
      </x:c>
      <x:c r="K75" s="167" t="str">
        <x:f>IF(AND(K$6&lt;=$H75,K$6+6&gt;=$G75),1,"")</x:f>
      </x:c>
      <x:c r="L75" s="167" t="str">
        <x:f>IF(AND(L$6&lt;=$H75,L$6+6&gt;=$G75),1,"")</x:f>
      </x:c>
      <x:c r="M75" s="167" t="str">
        <x:f>IF(AND(M$6&lt;=$H75,M$6+6&gt;=$G75),1,"")</x:f>
      </x:c>
      <x:c r="N75" s="167" t="str">
        <x:f>IF(AND(N$6&lt;=$H75,N$6+6&gt;=$G75),1,"")</x:f>
      </x:c>
      <x:c r="O75" s="167" t="str">
        <x:f>IF(AND(O$6&lt;=$H75,O$6+6&gt;=$G75),1,"")</x:f>
      </x:c>
      <x:c r="P75" s="167" t="str">
        <x:f>IF(AND(P$6&lt;=$H75,P$6+6&gt;=$G75),1,"")</x:f>
      </x:c>
      <x:c r="Q75" s="167" t="str">
        <x:f>IF(AND(Q$6&lt;=$H75,Q$6+6&gt;=$G75),1,"")</x:f>
      </x:c>
      <x:c r="R75" s="167" t="str">
        <x:f>IF(AND(R$6&lt;=$H75,R$6+6&gt;=$G75),1,"")</x:f>
      </x:c>
      <x:c r="S75" s="167" t="str">
        <x:f>IF(AND(S$6&lt;=$H75,S$6+6&gt;=$G75),1,"")</x:f>
      </x:c>
      <x:c r="T75" s="167" t="str">
        <x:f>IF(AND(T$6&lt;=$H75,T$6+6&gt;=$G75),1,"")</x:f>
      </x:c>
      <x:c r="U75" s="167" t="str">
        <x:f>IF(AND(U$6&lt;=$H75,U$6+6&gt;=$G75),1,"")</x:f>
      </x:c>
      <x:c r="V75" s="167" t="str">
        <x:f>IF(AND(V$6&lt;=$H75,V$6+6&gt;=$G75),1,"")</x:f>
      </x:c>
      <x:c r="W75" s="167" t="str">
        <x:f>IF(AND(W$6&lt;=$H75,W$6+6&gt;=$G75),1,"")</x:f>
      </x:c>
      <x:c r="X75" s="167" t="str">
        <x:f>IF(AND(X$6&lt;=$H75,X$6+6&gt;=$G75),1,"")</x:f>
      </x:c>
      <x:c r="Y75" s="167" t="str">
        <x:f>IF(AND(Y$6&lt;=$H75,Y$6+6&gt;=$G75),1,"")</x:f>
      </x:c>
      <x:c r="Z75" s="167" t="str">
        <x:f>IF(AND(Z$6&lt;=$H75,Z$6+6&gt;=$G75),1,"")</x:f>
      </x:c>
      <x:c r="AA75" s="167" t="str">
        <x:f>IF(AND(AA$6&lt;=$H75,AA$6+6&gt;=$G75),1,"")</x:f>
      </x:c>
      <x:c r="AB75" s="167" t="str">
        <x:f>IF(AND(AB$6&lt;=$H75,AB$6+6&gt;=$G75),1,"")</x:f>
      </x:c>
      <x:c r="AC75" s="167" t="str">
        <x:f>IF(AND(AC$6&lt;=$H75,AC$6+6&gt;=$G75),1,"")</x:f>
      </x:c>
      <x:c r="AD75" s="167" t="str">
        <x:f>IF(AND(AD$6&lt;=$H75,AD$6+6&gt;=$G75),1,"")</x:f>
      </x:c>
      <x:c r="AE75" s="167" t="str">
        <x:f>IF(AND(AE$6&lt;=$H75,AE$6+6&gt;=$G75),1,"")</x:f>
      </x:c>
      <x:c r="AF75" s="167" t="str">
        <x:f>IF(AND(AF$6&lt;=$H75,AF$6+6&gt;=$G75),1,"")</x:f>
      </x:c>
      <x:c r="AG75" s="167" t="str">
        <x:f>IF(AND(AG$6&lt;=$H75,AG$6+6&gt;=$G75),1,"")</x:f>
      </x:c>
      <x:c r="AH75" s="167" t="str">
        <x:f>IF(AND(AH$6&lt;=$H75,AH$6+6&gt;=$G75),1,"")</x:f>
      </x:c>
      <x:c r="AI75" s="167" t="str">
        <x:f>IF(AND(AI$6&lt;=$H75,AI$6+6&gt;=$G75),1,"")</x:f>
      </x:c>
      <x:c r="AJ75" s="167" t="str">
        <x:f>IF(AND(AJ$6&lt;=$H75,AJ$6+6&gt;=$G75),1,"")</x:f>
      </x:c>
      <x:c r="AK75" s="167" t="str">
        <x:f>IF(AND(AK$6&lt;=$H75,AK$6+6&gt;=$G75),1,"")</x:f>
      </x:c>
      <x:c r="AL75" s="167" t="str">
        <x:f>IF(AND(AL$6&lt;=$H75,AL$6+6&gt;=$G75),1,"")</x:f>
      </x:c>
      <x:c r="AM75" s="167" t="str">
        <x:f>IF(AND(AM$6&lt;=$H75,AM$6+6&gt;=$G75),1,"")</x:f>
      </x:c>
      <x:c r="AN75" s="167" t="str">
        <x:f>IF(AND(AN$6&lt;=$H75,AN$6+6&gt;=$G75),1,"")</x:f>
      </x:c>
      <x:c r="AO75" s="167" t="str">
        <x:f>IF(AND(AO$6&lt;=$H75,AO$6+6&gt;=$G75),1,"")</x:f>
      </x:c>
      <x:c r="AP75" s="167" t="str">
        <x:f>IF(AND(AP$6&lt;=$H75,AP$6+6&gt;=$G75),1,"")</x:f>
      </x:c>
      <x:c r="AQ75" s="167" t="str">
        <x:f>IF(AND(AQ$6&lt;=$H75,AQ$6+6&gt;=$G75),1,"")</x:f>
      </x:c>
      <x:c r="AR75" s="167" t="str">
        <x:f>IF(AND(AR$6&lt;=$H75,AR$6+6&gt;=$G75),1,"")</x:f>
      </x:c>
      <x:c r="AS75" s="167" t="str">
        <x:f>IF(AND(AS$6&lt;=$H75,AS$6+6&gt;=$G75),1,"")</x:f>
      </x:c>
      <x:c r="AT75" s="167" t="str">
        <x:f>IF(AND(AT$6&lt;=$H75,AT$6+6&gt;=$G75),1,"")</x:f>
      </x:c>
      <x:c r="AU75" s="167" t="str">
        <x:f>IF(AND(AU$6&lt;=$H75,AU$6+6&gt;=$G75),1,"")</x:f>
      </x:c>
      <x:c r="AV75" s="167" t="str">
        <x:f>IF(AND(AV$6&lt;=$H75,AV$6+6&gt;=$G75),1,"")</x:f>
      </x:c>
      <x:c r="AW75" s="167" t="str">
        <x:f>IF(AND(AW$6&lt;=$H75,AW$6+6&gt;=$G75),1,"")</x:f>
      </x:c>
      <x:c r="AX75" s="167" t="str">
        <x:f>IF(AND(AX$6&lt;=$H75,AX$6+6&gt;=$G75),1,"")</x:f>
      </x:c>
      <x:c r="AY75" s="167" t="str">
        <x:f>IF(AND(AY$6&lt;=$H75,AY$6+6&gt;=$G75),1,"")</x:f>
      </x:c>
      <x:c r="AZ75" s="167" t="str">
        <x:f>IF(AND(AZ$6&lt;=$H75,AZ$6+6&gt;=$G75),1,"")</x:f>
      </x:c>
      <x:c r="BA75" s="167" t="str">
        <x:f>IF(AND(BA$6&lt;=$H75,BA$6+6&gt;=$G75),1,"")</x:f>
      </x:c>
      <x:c r="BB75" s="167" t="str">
        <x:f>IF(AND(BB$6&lt;=$H75,BB$6+6&gt;=$G75),1,"")</x:f>
      </x:c>
      <x:c r="BC75" s="167" t="str">
        <x:f>IF(AND(BC$6&lt;=$H75,BC$6+6&gt;=$G75),1,"")</x:f>
      </x:c>
      <x:c r="BD75" s="167" t="str">
        <x:f>IF(AND(BD$6&lt;=$H75,BD$6+6&gt;=$G75),1,"")</x:f>
      </x:c>
      <x:c r="BE75" s="167" t="n">
        <x:f>IF(AND(BE$6&lt;=$H75,BE$6+6&gt;=$G75),1,"")</x:f>
        <x:v>1</x:v>
      </x:c>
      <x:c r="BF75" s="167" t="n">
        <x:f>IF(AND(BF$6&lt;=$H75,BF$6+6&gt;=$G75),1,"")</x:f>
        <x:v>1</x:v>
      </x:c>
      <x:c r="BG75" s="167" t="n">
        <x:f>IF(AND(BG$6&lt;=$H75,BG$6+6&gt;=$G75),1,"")</x:f>
        <x:v>1</x:v>
      </x:c>
      <x:c r="BH75" s="167" t="str">
        <x:f>IF(AND(BH$6&lt;=$H75,BH$6+6&gt;=$G75),1,"")</x:f>
      </x:c>
      <x:c r="BI75" s="167" t="str">
        <x:f>IF(AND(BI$6&lt;=$H75,BI$6+6&gt;=$G75),1,"")</x:f>
      </x:c>
      <x:c r="BJ75" s="167" t="str">
        <x:f>IF(AND(BJ$6&lt;=$H75,BJ$6+6&gt;=$G75),1,"")</x:f>
      </x:c>
      <x:c r="BK75" s="168" t="str">
        <x:f>IF(AND(BK$6&lt;=$H75,BK$6+6&gt;=$G75),1,"")</x:f>
      </x:c>
    </x:row>
    <x:row r="76" ht="24" customHeight="1">
      <x:c r="A76" s="68" t="str">
        <x:f>'Research Tasks'!A74</x:f>
        <x:v>T-817</x:v>
      </x:c>
      <x:c r="B76" s="68" t="str">
        <x:f>'Research Tasks'!B74</x:f>
        <x:v>M8</x:v>
      </x:c>
      <x:c r="C76" s="68" t="str">
        <x:f>'Research Tasks'!C74</x:f>
        <x:v>Research Synthesis</x:v>
      </x:c>
      <x:c r="D76" s="68" t="str">
        <x:f>'Research Tasks'!D74</x:f>
        <x:v>M8 synthesis and research-decision gate</x:v>
      </x:c>
      <x:c r="E76" s="68" t="str">
        <x:f>'Research Tasks'!E74</x:f>
        <x:v>T-806, T-807, T-808, T-809, T-810, T-811, T-812, T-813, T-814, T-815, T-816</x:v>
      </x:c>
      <x:c r="F76" s="68" t="str">
        <x:f>'Research Tasks'!F74</x:f>
        <x:v>Blocked</x:v>
      </x:c>
      <x:c r="G76" s="94" t="n">
        <x:f>'Research Tasks'!I74</x:f>
        <x:v>46589</x:v>
      </x:c>
      <x:c r="H76" s="94" t="n">
        <x:f>'Research Tasks'!J74</x:f>
        <x:v>46597</x:v>
      </x:c>
      <x:c r="I76" s="169" t="str">
        <x:f>IF(AND(I$6&lt;=$H76,I$6+6&gt;=$G76),1,"")</x:f>
      </x:c>
      <x:c r="J76" s="170" t="str">
        <x:f>IF(AND(J$6&lt;=$H76,J$6+6&gt;=$G76),1,"")</x:f>
      </x:c>
      <x:c r="K76" s="170" t="str">
        <x:f>IF(AND(K$6&lt;=$H76,K$6+6&gt;=$G76),1,"")</x:f>
      </x:c>
      <x:c r="L76" s="170" t="str">
        <x:f>IF(AND(L$6&lt;=$H76,L$6+6&gt;=$G76),1,"")</x:f>
      </x:c>
      <x:c r="M76" s="170" t="str">
        <x:f>IF(AND(M$6&lt;=$H76,M$6+6&gt;=$G76),1,"")</x:f>
      </x:c>
      <x:c r="N76" s="170" t="str">
        <x:f>IF(AND(N$6&lt;=$H76,N$6+6&gt;=$G76),1,"")</x:f>
      </x:c>
      <x:c r="O76" s="170" t="str">
        <x:f>IF(AND(O$6&lt;=$H76,O$6+6&gt;=$G76),1,"")</x:f>
      </x:c>
      <x:c r="P76" s="170" t="str">
        <x:f>IF(AND(P$6&lt;=$H76,P$6+6&gt;=$G76),1,"")</x:f>
      </x:c>
      <x:c r="Q76" s="170" t="str">
        <x:f>IF(AND(Q$6&lt;=$H76,Q$6+6&gt;=$G76),1,"")</x:f>
      </x:c>
      <x:c r="R76" s="170" t="str">
        <x:f>IF(AND(R$6&lt;=$H76,R$6+6&gt;=$G76),1,"")</x:f>
      </x:c>
      <x:c r="S76" s="170" t="str">
        <x:f>IF(AND(S$6&lt;=$H76,S$6+6&gt;=$G76),1,"")</x:f>
      </x:c>
      <x:c r="T76" s="170" t="str">
        <x:f>IF(AND(T$6&lt;=$H76,T$6+6&gt;=$G76),1,"")</x:f>
      </x:c>
      <x:c r="U76" s="170" t="str">
        <x:f>IF(AND(U$6&lt;=$H76,U$6+6&gt;=$G76),1,"")</x:f>
      </x:c>
      <x:c r="V76" s="170" t="str">
        <x:f>IF(AND(V$6&lt;=$H76,V$6+6&gt;=$G76),1,"")</x:f>
      </x:c>
      <x:c r="W76" s="170" t="str">
        <x:f>IF(AND(W$6&lt;=$H76,W$6+6&gt;=$G76),1,"")</x:f>
      </x:c>
      <x:c r="X76" s="170" t="str">
        <x:f>IF(AND(X$6&lt;=$H76,X$6+6&gt;=$G76),1,"")</x:f>
      </x:c>
      <x:c r="Y76" s="170" t="str">
        <x:f>IF(AND(Y$6&lt;=$H76,Y$6+6&gt;=$G76),1,"")</x:f>
      </x:c>
      <x:c r="Z76" s="170" t="str">
        <x:f>IF(AND(Z$6&lt;=$H76,Z$6+6&gt;=$G76),1,"")</x:f>
      </x:c>
      <x:c r="AA76" s="170" t="str">
        <x:f>IF(AND(AA$6&lt;=$H76,AA$6+6&gt;=$G76),1,"")</x:f>
      </x:c>
      <x:c r="AB76" s="170" t="str">
        <x:f>IF(AND(AB$6&lt;=$H76,AB$6+6&gt;=$G76),1,"")</x:f>
      </x:c>
      <x:c r="AC76" s="170" t="str">
        <x:f>IF(AND(AC$6&lt;=$H76,AC$6+6&gt;=$G76),1,"")</x:f>
      </x:c>
      <x:c r="AD76" s="170" t="str">
        <x:f>IF(AND(AD$6&lt;=$H76,AD$6+6&gt;=$G76),1,"")</x:f>
      </x:c>
      <x:c r="AE76" s="170" t="str">
        <x:f>IF(AND(AE$6&lt;=$H76,AE$6+6&gt;=$G76),1,"")</x:f>
      </x:c>
      <x:c r="AF76" s="170" t="str">
        <x:f>IF(AND(AF$6&lt;=$H76,AF$6+6&gt;=$G76),1,"")</x:f>
      </x:c>
      <x:c r="AG76" s="170" t="str">
        <x:f>IF(AND(AG$6&lt;=$H76,AG$6+6&gt;=$G76),1,"")</x:f>
      </x:c>
      <x:c r="AH76" s="170" t="str">
        <x:f>IF(AND(AH$6&lt;=$H76,AH$6+6&gt;=$G76),1,"")</x:f>
      </x:c>
      <x:c r="AI76" s="170" t="str">
        <x:f>IF(AND(AI$6&lt;=$H76,AI$6+6&gt;=$G76),1,"")</x:f>
      </x:c>
      <x:c r="AJ76" s="170" t="str">
        <x:f>IF(AND(AJ$6&lt;=$H76,AJ$6+6&gt;=$G76),1,"")</x:f>
      </x:c>
      <x:c r="AK76" s="170" t="str">
        <x:f>IF(AND(AK$6&lt;=$H76,AK$6+6&gt;=$G76),1,"")</x:f>
      </x:c>
      <x:c r="AL76" s="170" t="str">
        <x:f>IF(AND(AL$6&lt;=$H76,AL$6+6&gt;=$G76),1,"")</x:f>
      </x:c>
      <x:c r="AM76" s="170" t="str">
        <x:f>IF(AND(AM$6&lt;=$H76,AM$6+6&gt;=$G76),1,"")</x:f>
      </x:c>
      <x:c r="AN76" s="170" t="str">
        <x:f>IF(AND(AN$6&lt;=$H76,AN$6+6&gt;=$G76),1,"")</x:f>
      </x:c>
      <x:c r="AO76" s="170" t="str">
        <x:f>IF(AND(AO$6&lt;=$H76,AO$6+6&gt;=$G76),1,"")</x:f>
      </x:c>
      <x:c r="AP76" s="170" t="str">
        <x:f>IF(AND(AP$6&lt;=$H76,AP$6+6&gt;=$G76),1,"")</x:f>
      </x:c>
      <x:c r="AQ76" s="170" t="str">
        <x:f>IF(AND(AQ$6&lt;=$H76,AQ$6+6&gt;=$G76),1,"")</x:f>
      </x:c>
      <x:c r="AR76" s="170" t="str">
        <x:f>IF(AND(AR$6&lt;=$H76,AR$6+6&gt;=$G76),1,"")</x:f>
      </x:c>
      <x:c r="AS76" s="170" t="str">
        <x:f>IF(AND(AS$6&lt;=$H76,AS$6+6&gt;=$G76),1,"")</x:f>
      </x:c>
      <x:c r="AT76" s="170" t="str">
        <x:f>IF(AND(AT$6&lt;=$H76,AT$6+6&gt;=$G76),1,"")</x:f>
      </x:c>
      <x:c r="AU76" s="170" t="str">
        <x:f>IF(AND(AU$6&lt;=$H76,AU$6+6&gt;=$G76),1,"")</x:f>
      </x:c>
      <x:c r="AV76" s="170" t="str">
        <x:f>IF(AND(AV$6&lt;=$H76,AV$6+6&gt;=$G76),1,"")</x:f>
      </x:c>
      <x:c r="AW76" s="170" t="str">
        <x:f>IF(AND(AW$6&lt;=$H76,AW$6+6&gt;=$G76),1,"")</x:f>
      </x:c>
      <x:c r="AX76" s="170" t="str">
        <x:f>IF(AND(AX$6&lt;=$H76,AX$6+6&gt;=$G76),1,"")</x:f>
      </x:c>
      <x:c r="AY76" s="170" t="str">
        <x:f>IF(AND(AY$6&lt;=$H76,AY$6+6&gt;=$G76),1,"")</x:f>
      </x:c>
      <x:c r="AZ76" s="170" t="str">
        <x:f>IF(AND(AZ$6&lt;=$H76,AZ$6+6&gt;=$G76),1,"")</x:f>
      </x:c>
      <x:c r="BA76" s="170" t="str">
        <x:f>IF(AND(BA$6&lt;=$H76,BA$6+6&gt;=$G76),1,"")</x:f>
      </x:c>
      <x:c r="BB76" s="170" t="str">
        <x:f>IF(AND(BB$6&lt;=$H76,BB$6+6&gt;=$G76),1,"")</x:f>
      </x:c>
      <x:c r="BC76" s="170" t="str">
        <x:f>IF(AND(BC$6&lt;=$H76,BC$6+6&gt;=$G76),1,"")</x:f>
      </x:c>
      <x:c r="BD76" s="170" t="str">
        <x:f>IF(AND(BD$6&lt;=$H76,BD$6+6&gt;=$G76),1,"")</x:f>
      </x:c>
      <x:c r="BE76" s="170" t="str">
        <x:f>IF(AND(BE$6&lt;=$H76,BE$6+6&gt;=$G76),1,"")</x:f>
      </x:c>
      <x:c r="BF76" s="170" t="str">
        <x:f>IF(AND(BF$6&lt;=$H76,BF$6+6&gt;=$G76),1,"")</x:f>
      </x:c>
      <x:c r="BG76" s="170" t="n">
        <x:f>IF(AND(BG$6&lt;=$H76,BG$6+6&gt;=$G76),1,"")</x:f>
        <x:v>1</x:v>
      </x:c>
      <x:c r="BH76" s="170" t="n">
        <x:f>IF(AND(BH$6&lt;=$H76,BH$6+6&gt;=$G76),1,"")</x:f>
        <x:v>1</x:v>
      </x:c>
      <x:c r="BI76" s="170" t="str">
        <x:f>IF(AND(BI$6&lt;=$H76,BI$6+6&gt;=$G76),1,"")</x:f>
      </x:c>
      <x:c r="BJ76" s="170" t="str">
        <x:f>IF(AND(BJ$6&lt;=$H76,BJ$6+6&gt;=$G76),1,"")</x:f>
      </x:c>
      <x:c r="BK76" s="171" t="str">
        <x:f>IF(AND(BK$6&lt;=$H76,BK$6+6&gt;=$G76),1,"")</x:f>
      </x:c>
    </x:row>
  </x:sheetData>
  <x:mergeCells>
    <x:mergeCell ref="A1:BK1"/>
    <x:mergeCell ref="A2:BK2"/>
    <x:mergeCell ref="A4:A6"/>
    <x:mergeCell ref="B4:B6"/>
    <x:mergeCell ref="C4:C6"/>
    <x:mergeCell ref="D4:D6"/>
    <x:mergeCell ref="E4:E6"/>
    <x:mergeCell ref="F4:F6"/>
    <x:mergeCell ref="G4:G6"/>
    <x:mergeCell ref="H4:H6"/>
    <x:mergeCell ref="I4:M4"/>
    <x:mergeCell ref="N4:Q4"/>
    <x:mergeCell ref="R4:U4"/>
    <x:mergeCell ref="V4:Z4"/>
    <x:mergeCell ref="AA4:AD4"/>
    <x:mergeCell ref="AE4:AH4"/>
    <x:mergeCell ref="AI4:AL4"/>
    <x:mergeCell ref="AM4:AQ4"/>
    <x:mergeCell ref="AR4:AU4"/>
    <x:mergeCell ref="AV4:AZ4"/>
    <x:mergeCell ref="BA4:BD4"/>
    <x:mergeCell ref="BE4:BH4"/>
    <x:mergeCell ref="BI4:BK4"/>
    <x:mergeCell ref="I5:BK5"/>
  </x:mergeCells>
  <x:conditionalFormatting sqref="I7:BK7">
    <x:cfRule type="cellIs" dxfId="0" priority="1" operator="equal">
      <x:formula>1</x:formula>
    </x:cfRule>
  </x:conditionalFormatting>
  <x:conditionalFormatting sqref="I8:BK8">
    <x:cfRule type="cellIs" dxfId="1" priority="2" operator="equal">
      <x:formula>1</x:formula>
    </x:cfRule>
  </x:conditionalFormatting>
  <x:conditionalFormatting sqref="I9:BK9">
    <x:cfRule type="cellIs" dxfId="2" priority="3" operator="equal">
      <x:formula>1</x:formula>
    </x:cfRule>
  </x:conditionalFormatting>
  <x:conditionalFormatting sqref="I10:BK10">
    <x:cfRule type="cellIs" dxfId="3" priority="4" operator="equal">
      <x:formula>1</x:formula>
    </x:cfRule>
  </x:conditionalFormatting>
  <x:conditionalFormatting sqref="I11:BK11">
    <x:cfRule type="cellIs" dxfId="4" priority="5" operator="equal">
      <x:formula>1</x:formula>
    </x:cfRule>
  </x:conditionalFormatting>
  <x:conditionalFormatting sqref="I12:BK12">
    <x:cfRule type="cellIs" dxfId="5" priority="6" operator="equal">
      <x:formula>1</x:formula>
    </x:cfRule>
  </x:conditionalFormatting>
  <x:conditionalFormatting sqref="I13:BK13">
    <x:cfRule type="cellIs" dxfId="6" priority="7" operator="equal">
      <x:formula>1</x:formula>
    </x:cfRule>
  </x:conditionalFormatting>
  <x:conditionalFormatting sqref="I14:BK14">
    <x:cfRule type="cellIs" dxfId="7" priority="8" operator="equal">
      <x:formula>1</x:formula>
    </x:cfRule>
  </x:conditionalFormatting>
  <x:conditionalFormatting sqref="I15:BK15">
    <x:cfRule type="cellIs" dxfId="8" priority="9" operator="equal">
      <x:formula>1</x:formula>
    </x:cfRule>
  </x:conditionalFormatting>
  <x:conditionalFormatting sqref="I16:BK16">
    <x:cfRule type="cellIs" dxfId="9" priority="10" operator="equal">
      <x:formula>1</x:formula>
    </x:cfRule>
  </x:conditionalFormatting>
  <x:conditionalFormatting sqref="I17:BK17">
    <x:cfRule type="cellIs" dxfId="10" priority="11" operator="equal">
      <x:formula>1</x:formula>
    </x:cfRule>
  </x:conditionalFormatting>
  <x:conditionalFormatting sqref="I18:BK18">
    <x:cfRule type="cellIs" dxfId="11" priority="12" operator="equal">
      <x:formula>1</x:formula>
    </x:cfRule>
  </x:conditionalFormatting>
  <x:conditionalFormatting sqref="I19:BK19">
    <x:cfRule type="cellIs" dxfId="12" priority="13" operator="equal">
      <x:formula>1</x:formula>
    </x:cfRule>
  </x:conditionalFormatting>
  <x:conditionalFormatting sqref="I20:BK20">
    <x:cfRule type="cellIs" dxfId="13" priority="14" operator="equal">
      <x:formula>1</x:formula>
    </x:cfRule>
  </x:conditionalFormatting>
  <x:conditionalFormatting sqref="I21:BK21">
    <x:cfRule type="cellIs" dxfId="14" priority="15" operator="equal">
      <x:formula>1</x:formula>
    </x:cfRule>
  </x:conditionalFormatting>
  <x:conditionalFormatting sqref="I22:BK22">
    <x:cfRule type="cellIs" dxfId="15" priority="16" operator="equal">
      <x:formula>1</x:formula>
    </x:cfRule>
  </x:conditionalFormatting>
  <x:conditionalFormatting sqref="I23:BK23">
    <x:cfRule type="cellIs" dxfId="16" priority="17" operator="equal">
      <x:formula>1</x:formula>
    </x:cfRule>
  </x:conditionalFormatting>
  <x:conditionalFormatting sqref="I24:BK24">
    <x:cfRule type="cellIs" dxfId="17" priority="18" operator="equal">
      <x:formula>1</x:formula>
    </x:cfRule>
  </x:conditionalFormatting>
  <x:conditionalFormatting sqref="I25:BK25">
    <x:cfRule type="cellIs" dxfId="18" priority="19" operator="equal">
      <x:formula>1</x:formula>
    </x:cfRule>
  </x:conditionalFormatting>
  <x:conditionalFormatting sqref="I26:BK26">
    <x:cfRule type="cellIs" dxfId="19" priority="20" operator="equal">
      <x:formula>1</x:formula>
    </x:cfRule>
  </x:conditionalFormatting>
  <x:conditionalFormatting sqref="I27:BK27">
    <x:cfRule type="cellIs" dxfId="20" priority="21" operator="equal">
      <x:formula>1</x:formula>
    </x:cfRule>
  </x:conditionalFormatting>
  <x:conditionalFormatting sqref="I28:BK28">
    <x:cfRule type="cellIs" dxfId="21" priority="22" operator="equal">
      <x:formula>1</x:formula>
    </x:cfRule>
  </x:conditionalFormatting>
  <x:conditionalFormatting sqref="I29:BK29">
    <x:cfRule type="cellIs" dxfId="22" priority="23" operator="equal">
      <x:formula>1</x:formula>
    </x:cfRule>
  </x:conditionalFormatting>
  <x:conditionalFormatting sqref="I30:BK30">
    <x:cfRule type="cellIs" dxfId="23" priority="24" operator="equal">
      <x:formula>1</x:formula>
    </x:cfRule>
  </x:conditionalFormatting>
  <x:conditionalFormatting sqref="I31:BK31">
    <x:cfRule type="cellIs" dxfId="24" priority="25" operator="equal">
      <x:formula>1</x:formula>
    </x:cfRule>
  </x:conditionalFormatting>
  <x:conditionalFormatting sqref="I32:BK32">
    <x:cfRule type="cellIs" dxfId="25" priority="26" operator="equal">
      <x:formula>1</x:formula>
    </x:cfRule>
  </x:conditionalFormatting>
  <x:conditionalFormatting sqref="I33:BK33">
    <x:cfRule type="cellIs" dxfId="26" priority="27" operator="equal">
      <x:formula>1</x:formula>
    </x:cfRule>
  </x:conditionalFormatting>
  <x:conditionalFormatting sqref="I34:BK34">
    <x:cfRule type="cellIs" dxfId="27" priority="28" operator="equal">
      <x:formula>1</x:formula>
    </x:cfRule>
  </x:conditionalFormatting>
  <x:conditionalFormatting sqref="I35:BK35">
    <x:cfRule type="cellIs" dxfId="28" priority="29" operator="equal">
      <x:formula>1</x:formula>
    </x:cfRule>
  </x:conditionalFormatting>
  <x:conditionalFormatting sqref="I36:BK36">
    <x:cfRule type="cellIs" dxfId="29" priority="30" operator="equal">
      <x:formula>1</x:formula>
    </x:cfRule>
  </x:conditionalFormatting>
  <x:conditionalFormatting sqref="I37:BK37">
    <x:cfRule type="cellIs" dxfId="30" priority="31" operator="equal">
      <x:formula>1</x:formula>
    </x:cfRule>
  </x:conditionalFormatting>
  <x:conditionalFormatting sqref="I38:BK38">
    <x:cfRule type="cellIs" dxfId="31" priority="32" operator="equal">
      <x:formula>1</x:formula>
    </x:cfRule>
  </x:conditionalFormatting>
  <x:conditionalFormatting sqref="I39:BK39">
    <x:cfRule type="cellIs" dxfId="32" priority="33" operator="equal">
      <x:formula>1</x:formula>
    </x:cfRule>
  </x:conditionalFormatting>
  <x:conditionalFormatting sqref="I40:BK40">
    <x:cfRule type="cellIs" dxfId="33" priority="34" operator="equal">
      <x:formula>1</x:formula>
    </x:cfRule>
  </x:conditionalFormatting>
  <x:conditionalFormatting sqref="I41:BK41">
    <x:cfRule type="cellIs" dxfId="34" priority="35" operator="equal">
      <x:formula>1</x:formula>
    </x:cfRule>
  </x:conditionalFormatting>
  <x:conditionalFormatting sqref="I42:BK42">
    <x:cfRule type="cellIs" dxfId="35" priority="36" operator="equal">
      <x:formula>1</x:formula>
    </x:cfRule>
  </x:conditionalFormatting>
  <x:conditionalFormatting sqref="I43:BK43">
    <x:cfRule type="cellIs" dxfId="36" priority="37" operator="equal">
      <x:formula>1</x:formula>
    </x:cfRule>
  </x:conditionalFormatting>
  <x:conditionalFormatting sqref="I44:BK44">
    <x:cfRule type="cellIs" dxfId="37" priority="38" operator="equal">
      <x:formula>1</x:formula>
    </x:cfRule>
  </x:conditionalFormatting>
  <x:conditionalFormatting sqref="I45:BK45">
    <x:cfRule type="cellIs" dxfId="38" priority="39" operator="equal">
      <x:formula>1</x:formula>
    </x:cfRule>
  </x:conditionalFormatting>
  <x:conditionalFormatting sqref="I46:BK46">
    <x:cfRule type="cellIs" dxfId="39" priority="40" operator="equal">
      <x:formula>1</x:formula>
    </x:cfRule>
  </x:conditionalFormatting>
  <x:conditionalFormatting sqref="I47:BK47">
    <x:cfRule type="cellIs" dxfId="40" priority="41" operator="equal">
      <x:formula>1</x:formula>
    </x:cfRule>
  </x:conditionalFormatting>
  <x:conditionalFormatting sqref="I48:BK48">
    <x:cfRule type="cellIs" dxfId="41" priority="42" operator="equal">
      <x:formula>1</x:formula>
    </x:cfRule>
  </x:conditionalFormatting>
  <x:conditionalFormatting sqref="I49:BK49">
    <x:cfRule type="cellIs" dxfId="42" priority="43" operator="equal">
      <x:formula>1</x:formula>
    </x:cfRule>
  </x:conditionalFormatting>
  <x:conditionalFormatting sqref="I50:BK50">
    <x:cfRule type="cellIs" dxfId="43" priority="44" operator="equal">
      <x:formula>1</x:formula>
    </x:cfRule>
  </x:conditionalFormatting>
  <x:conditionalFormatting sqref="I51:BK51">
    <x:cfRule type="cellIs" dxfId="44" priority="45" operator="equal">
      <x:formula>1</x:formula>
    </x:cfRule>
  </x:conditionalFormatting>
  <x:conditionalFormatting sqref="I52:BK52">
    <x:cfRule type="cellIs" dxfId="45" priority="46" operator="equal">
      <x:formula>1</x:formula>
    </x:cfRule>
  </x:conditionalFormatting>
  <x:conditionalFormatting sqref="I53:BK53">
    <x:cfRule type="cellIs" dxfId="46" priority="47" operator="equal">
      <x:formula>1</x:formula>
    </x:cfRule>
  </x:conditionalFormatting>
  <x:conditionalFormatting sqref="I54:BK54">
    <x:cfRule type="cellIs" dxfId="47" priority="48" operator="equal">
      <x:formula>1</x:formula>
    </x:cfRule>
  </x:conditionalFormatting>
  <x:conditionalFormatting sqref="I55:BK55">
    <x:cfRule type="cellIs" dxfId="48" priority="49" operator="equal">
      <x:formula>1</x:formula>
    </x:cfRule>
  </x:conditionalFormatting>
  <x:conditionalFormatting sqref="I56:BK56">
    <x:cfRule type="cellIs" dxfId="49" priority="50" operator="equal">
      <x:formula>1</x:formula>
    </x:cfRule>
  </x:conditionalFormatting>
  <x:conditionalFormatting sqref="I57:BK57">
    <x:cfRule type="cellIs" dxfId="50" priority="51" operator="equal">
      <x:formula>1</x:formula>
    </x:cfRule>
  </x:conditionalFormatting>
  <x:conditionalFormatting sqref="I58:BK58">
    <x:cfRule type="cellIs" dxfId="51" priority="52" operator="equal">
      <x:formula>1</x:formula>
    </x:cfRule>
  </x:conditionalFormatting>
  <x:conditionalFormatting sqref="I59:BK59">
    <x:cfRule type="cellIs" dxfId="52" priority="53" operator="equal">
      <x:formula>1</x:formula>
    </x:cfRule>
  </x:conditionalFormatting>
  <x:conditionalFormatting sqref="I60:BK60">
    <x:cfRule type="cellIs" dxfId="53" priority="54" operator="equal">
      <x:formula>1</x:formula>
    </x:cfRule>
  </x:conditionalFormatting>
  <x:conditionalFormatting sqref="I61:BK61">
    <x:cfRule type="cellIs" dxfId="54" priority="55" operator="equal">
      <x:formula>1</x:formula>
    </x:cfRule>
  </x:conditionalFormatting>
  <x:conditionalFormatting sqref="I62:BK62">
    <x:cfRule type="cellIs" dxfId="55" priority="56" operator="equal">
      <x:formula>1</x:formula>
    </x:cfRule>
  </x:conditionalFormatting>
  <x:conditionalFormatting sqref="I63:BK63">
    <x:cfRule type="cellIs" dxfId="56" priority="57" operator="equal">
      <x:formula>1</x:formula>
    </x:cfRule>
  </x:conditionalFormatting>
  <x:conditionalFormatting sqref="I64:BK64">
    <x:cfRule type="cellIs" dxfId="57" priority="58" operator="equal">
      <x:formula>1</x:formula>
    </x:cfRule>
  </x:conditionalFormatting>
  <x:conditionalFormatting sqref="I65:BK65">
    <x:cfRule type="cellIs" dxfId="58" priority="59" operator="equal">
      <x:formula>1</x:formula>
    </x:cfRule>
  </x:conditionalFormatting>
  <x:conditionalFormatting sqref="I66:BK66">
    <x:cfRule type="cellIs" dxfId="59" priority="60" operator="equal">
      <x:formula>1</x:formula>
    </x:cfRule>
  </x:conditionalFormatting>
  <x:conditionalFormatting sqref="I67:BK67">
    <x:cfRule type="cellIs" dxfId="60" priority="61" operator="equal">
      <x:formula>1</x:formula>
    </x:cfRule>
  </x:conditionalFormatting>
  <x:conditionalFormatting sqref="I68:BK68">
    <x:cfRule type="cellIs" dxfId="61" priority="62" operator="equal">
      <x:formula>1</x:formula>
    </x:cfRule>
  </x:conditionalFormatting>
  <x:conditionalFormatting sqref="I69:BK69">
    <x:cfRule type="cellIs" dxfId="62" priority="63" operator="equal">
      <x:formula>1</x:formula>
    </x:cfRule>
  </x:conditionalFormatting>
  <x:conditionalFormatting sqref="I70:BK70">
    <x:cfRule type="cellIs" dxfId="63" priority="64" operator="equal">
      <x:formula>1</x:formula>
    </x:cfRule>
  </x:conditionalFormatting>
  <x:conditionalFormatting sqref="I71:BK71">
    <x:cfRule type="cellIs" dxfId="64" priority="65" operator="equal">
      <x:formula>1</x:formula>
    </x:cfRule>
  </x:conditionalFormatting>
  <x:conditionalFormatting sqref="I72:BK72">
    <x:cfRule type="cellIs" dxfId="65" priority="66" operator="equal">
      <x:formula>1</x:formula>
    </x:cfRule>
  </x:conditionalFormatting>
  <x:conditionalFormatting sqref="I73:BK73">
    <x:cfRule type="cellIs" dxfId="66" priority="67" operator="equal">
      <x:formula>1</x:formula>
    </x:cfRule>
  </x:conditionalFormatting>
  <x:conditionalFormatting sqref="I74:BK74">
    <x:cfRule type="cellIs" dxfId="67" priority="68" operator="equal">
      <x:formula>1</x:formula>
    </x:cfRule>
  </x:conditionalFormatting>
  <x:conditionalFormatting sqref="I75:BK75">
    <x:cfRule type="cellIs" dxfId="68" priority="69" operator="equal">
      <x:formula>1</x:formula>
    </x:cfRule>
  </x:conditionalFormatting>
  <x:conditionalFormatting sqref="I76:BK76">
    <x:cfRule type="cellIs" dxfId="69" priority="70" operator="equal">
      <x:formula>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7" hidden="0" customWidth="1"/>
    <x:col min="4" max="4" width="48" hidden="0" customWidth="1"/>
    <x:col min="5" max="5" width="27" hidden="0" customWidth="1"/>
    <x:col min="6" max="6" width="12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58" hidden="0" customWidth="1"/>
  </x:cols>
  <x:sheetData>
    <x:row r="1" ht="30" customHeight="1">
      <x:c r="A1" s="3" t="str">
        <x:v>Research &amp; Operations Task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M0-M3 and M8: operating system, active-inference research spine, and capability-gated studies. Focused workdays are editable; formula dates preserve milestone sequencing and declared gate floors.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F3"/>
    </x:row>
    <x:row r="4" ht="34" customHeight="1">
      <x:c r="A4" s="18" t="str">
        <x:v>ID</x:v>
      </x:c>
      <x:c r="B4" s="19" t="str">
        <x:v>Milestone</x:v>
      </x:c>
      <x:c r="C4" s="19" t="str">
        <x:v>Track</x:v>
      </x:c>
      <x:c r="D4" s="19" t="str">
        <x:v>Task</x:v>
      </x:c>
      <x:c r="E4" s="19" t="str">
        <x:v>Dependencies</x:v>
      </x:c>
      <x:c r="F4" s="19" t="str">
        <x:v>Status</x:v>
      </x:c>
      <x:c r="G4" s="19" t="str">
        <x:v>Estimate</x:v>
      </x:c>
      <x:c r="H4" s="19" t="str">
        <x:v>Scheduled Workdays</x:v>
      </x:c>
      <x:c r="I4" s="19" t="str">
        <x:v>Planned Start</x:v>
      </x:c>
      <x:c r="J4" s="19" t="str">
        <x:v>Planned Finish</x:v>
      </x:c>
      <x:c r="K4" s="20" t="str">
        <x:v>Deliverable / Acceptance</x:v>
      </x:c>
    </x:row>
    <x:row r="5" ht="40" customHeight="1">
      <x:c r="A5" s="65" t="str">
        <x:v>T-001</x:v>
      </x:c>
      <x:c r="B5" s="65" t="str">
        <x:v>M0</x:v>
      </x:c>
      <x:c r="C5" s="65" t="str">
        <x:v>Operations</x:v>
      </x:c>
      <x:c r="D5" s="65" t="str">
        <x:v>Define tracker conventions</x:v>
      </x:c>
      <x:c r="E5" s="65" t="str">
        <x:v>none</x:v>
      </x:c>
      <x:c r="F5" s="65" t="str">
        <x:v>Done</x:v>
      </x:c>
      <x:c r="G5" s="65" t="str">
        <x:v>0.5 day</x:v>
      </x:c>
      <x:c r="H5" s="75" t="n">
        <x:v>1</x:v>
      </x:c>
      <x:c r="I5" s="77" t="n">
        <x:f>'Phase Data'!E5</x:f>
        <x:v>46237</x:v>
      </x:c>
      <x:c r="J5" s="77" t="n">
        <x:f>WORKDAY(I5,H5-1)</x:f>
        <x:v>46237</x:v>
      </x:c>
      <x:c r="K5" s="65" t="str">
        <x:v>Task fields, status meanings, dependency rules, and validation rules are documented.</x:v>
      </x:c>
    </x:row>
    <x:row r="6" ht="40" customHeight="1">
      <x:c r="A6" s="68" t="str">
        <x:v>T-002</x:v>
      </x:c>
      <x:c r="B6" s="68" t="str">
        <x:v>M0</x:v>
      </x:c>
      <x:c r="C6" s="68" t="str">
        <x:v>Operations</x:v>
      </x:c>
      <x:c r="D6" s="68" t="str">
        <x:v>Define versioning scheme</x:v>
      </x:c>
      <x:c r="E6" s="68" t="str">
        <x:v>T-001</x:v>
      </x:c>
      <x:c r="F6" s="68" t="str">
        <x:v>Done</x:v>
      </x:c>
      <x:c r="G6" s="68" t="str">
        <x:v>0.5-1 day</x:v>
      </x:c>
      <x:c r="H6" s="76" t="n">
        <x:v>1</x:v>
      </x:c>
      <x:c r="I6" s="78" t="n">
        <x:f>WORKDAY(J5,1)</x:f>
        <x:v>46238</x:v>
      </x:c>
      <x:c r="J6" s="78" t="n">
        <x:f>WORKDAY(I6,H6-1)</x:f>
        <x:v>46238</x:v>
      </x:c>
      <x:c r="K6" s="68" t="str">
        <x:v>Version labels exist for code, MuJoCo XML, CAD, calibration, hardware build, and experiment config.</x:v>
      </x:c>
    </x:row>
    <x:row r="7" ht="40" customHeight="1">
      <x:c r="A7" s="68" t="str">
        <x:v>T-003</x:v>
      </x:c>
      <x:c r="B7" s="68" t="str">
        <x:v>M0</x:v>
      </x:c>
      <x:c r="C7" s="68" t="str">
        <x:v>Research Ops</x:v>
      </x:c>
      <x:c r="D7" s="68" t="str">
        <x:v>Define experiment manifest requirements</x:v>
      </x:c>
      <x:c r="E7" s="68" t="str">
        <x:v>T-001, T-002</x:v>
      </x:c>
      <x:c r="F7" s="68" t="str">
        <x:v>Done</x:v>
      </x:c>
      <x:c r="G7" s="68" t="str">
        <x:v>1 day</x:v>
      </x:c>
      <x:c r="H7" s="76" t="n">
        <x:v>1</x:v>
      </x:c>
      <x:c r="I7" s="78" t="n">
        <x:f>WORKDAY(J6,1)</x:f>
        <x:v>46239</x:v>
      </x:c>
      <x:c r="J7" s="78" t="n">
        <x:f>WORKDAY(I7,H7-1)</x:f>
        <x:v>46239</x:v>
      </x:c>
      <x:c r="K7" s="68" t="str">
        <x:v>Run metadata and required traces are documented.</x:v>
      </x:c>
    </x:row>
    <x:row r="8" ht="40" customHeight="1">
      <x:c r="A8" s="68" t="str">
        <x:v>T-004</x:v>
      </x:c>
      <x:c r="B8" s="68" t="str">
        <x:v>M0</x:v>
      </x:c>
      <x:c r="C8" s="68" t="str">
        <x:v>Validation</x:v>
      </x:c>
      <x:c r="D8" s="68" t="str">
        <x:v>Define failure-mode log</x:v>
      </x:c>
      <x:c r="E8" s="68" t="str">
        <x:v>T-001</x:v>
      </x:c>
      <x:c r="F8" s="68" t="str">
        <x:v>Done</x:v>
      </x:c>
      <x:c r="G8" s="68" t="str">
        <x:v>1 day</x:v>
      </x:c>
      <x:c r="H8" s="76" t="n">
        <x:v>1</x:v>
      </x:c>
      <x:c r="I8" s="78" t="n">
        <x:f>WORKDAY(J7,1)</x:f>
        <x:v>46240</x:v>
      </x:c>
      <x:c r="J8" s="78" t="n">
        <x:f>WORKDAY(I8,H8-1)</x:f>
        <x:v>46240</x:v>
      </x:c>
      <x:c r="K8" s="68" t="str">
        <x:v>Failure categories and log fields are documented.</x:v>
      </x:c>
    </x:row>
    <x:row r="9" ht="40" customHeight="1">
      <x:c r="A9" s="68" t="str">
        <x:v>T-005</x:v>
      </x:c>
      <x:c r="B9" s="68" t="str">
        <x:v>M0</x:v>
      </x:c>
      <x:c r="C9" s="68" t="str">
        <x:v>Validation</x:v>
      </x:c>
      <x:c r="D9" s="68" t="str">
        <x:v>Define validation gates</x:v>
      </x:c>
      <x:c r="E9" s="68" t="str">
        <x:v>T-003, T-004</x:v>
      </x:c>
      <x:c r="F9" s="68" t="str">
        <x:v>Done</x:v>
      </x:c>
      <x:c r="G9" s="68" t="str">
        <x:v>1 day</x:v>
      </x:c>
      <x:c r="H9" s="76" t="n">
        <x:v>1</x:v>
      </x:c>
      <x:c r="I9" s="78" t="n">
        <x:f>WORKDAY(J8,1)</x:f>
        <x:v>46241</x:v>
      </x:c>
      <x:c r="J9" s="78" t="n">
        <x:f>WORKDAY(I9,H9-1)</x:f>
        <x:v>46241</x:v>
      </x:c>
      <x:c r="K9" s="68" t="str">
        <x:v>Each project gate lists required tests, logs, and stop conditions.</x:v>
      </x:c>
    </x:row>
    <x:row r="10" ht="40" customHeight="1">
      <x:c r="A10" s="68" t="str">
        <x:v>T-006</x:v>
      </x:c>
      <x:c r="B10" s="68" t="str">
        <x:v>M0</x:v>
      </x:c>
      <x:c r="C10" s="68" t="str">
        <x:v>Operations</x:v>
      </x:c>
      <x:c r="D10" s="68" t="str">
        <x:v>Create milestone index</x:v>
      </x:c>
      <x:c r="E10" s="68" t="str">
        <x:v>T-001</x:v>
      </x:c>
      <x:c r="F10" s="68" t="str">
        <x:v>Done</x:v>
      </x:c>
      <x:c r="G10" s="68" t="str">
        <x:v>0.5 day</x:v>
      </x:c>
      <x:c r="H10" s="76" t="n">
        <x:v>1</x:v>
      </x:c>
      <x:c r="I10" s="78" t="n">
        <x:f>WORKDAY(J9,1)</x:f>
        <x:v>46244</x:v>
      </x:c>
      <x:c r="J10" s="78" t="n">
        <x:f>WORKDAY(I10,H10-1)</x:f>
        <x:v>46244</x:v>
      </x:c>
      <x:c r="K10" s="68" t="str">
        <x:v>M0-M8 and S0-S2 are indexed with status and dependency summaries.</x:v>
      </x:c>
    </x:row>
    <x:row r="11" ht="40" customHeight="1">
      <x:c r="A11" s="68" t="str">
        <x:v>AI-101</x:v>
      </x:c>
      <x:c r="B11" s="68" t="str">
        <x:v>M1</x:v>
      </x:c>
      <x:c r="C11" s="68" t="str">
        <x:v>Active Inference/Formalization</x:v>
      </x:c>
      <x:c r="D11" s="68" t="str">
        <x:v>Write the executable generative-model specification</x:v>
      </x:c>
      <x:c r="E11" s="68" t="str">
        <x:v>M0</x:v>
      </x:c>
      <x:c r="F11" s="68" t="str">
        <x:v>Done</x:v>
      </x:c>
      <x:c r="G11" s="68" t="str">
        <x:v>2 days</x:v>
      </x:c>
      <x:c r="H11" s="76" t="n">
        <x:v>2</x:v>
      </x:c>
      <x:c r="I11" s="78" t="n">
        <x:f>'Phase Data'!E6</x:f>
        <x:v>46251</x:v>
      </x:c>
      <x:c r="J11" s="78" t="n">
        <x:f>WORKDAY(I11,H11-1)</x:f>
        <x:v>46252</x:v>
      </x:c>
      <x:c r="K11" s="68" t="str">
        <x:v>Every implemented belief, likelihood, transition, preference, precision, policy prior, proposal, VFE term, and EFE term maps to a declared factor or named approximation.</x:v>
      </x:c>
    </x:row>
    <x:row r="12" ht="40" customHeight="1">
      <x:c r="A12" s="68" t="str">
        <x:v>AI-102</x:v>
      </x:c>
      <x:c r="B12" s="68" t="str">
        <x:v>M1</x:v>
      </x:c>
      <x:c r="C12" s="68" t="str">
        <x:v>Active Inference/Sensors</x:v>
      </x:c>
      <x:c r="D12" s="68" t="str">
        <x:v>Create the variable and sensor-access ledger</x:v>
      </x:c>
      <x:c r="E12" s="68" t="str">
        <x:v>AI-101</x:v>
      </x:c>
      <x:c r="F12" s="68" t="str">
        <x:v>Done</x:v>
      </x:c>
      <x:c r="G12" s="68" t="str">
        <x:v>1-2 days</x:v>
      </x:c>
      <x:c r="H12" s="76" t="n">
        <x:v>1</x:v>
      </x:c>
      <x:c r="I12" s="78" t="n">
        <x:f>WORKDAY(J11,1)</x:f>
        <x:v>46253</x:v>
      </x:c>
      <x:c r="J12" s="78" t="n">
        <x:f>WORKDAY(I12,H12-1)</x:f>
        <x:v>46253</x:v>
      </x:c>
      <x:c r="K12" s="68" t="str">
        <x:v>Every simulator-to-agent value is classified as physical observation, derived observation, hidden state, evaluation label, or execution-only state.</x:v>
      </x:c>
    </x:row>
    <x:row r="13" ht="40" customHeight="1">
      <x:c r="A13" s="68" t="str">
        <x:v>AI-103</x:v>
      </x:c>
      <x:c r="B13" s="68" t="str">
        <x:v>M1</x:v>
      </x:c>
      <x:c r="C13" s="68" t="str">
        <x:v>Active Inference/Observation Model</x:v>
      </x:c>
      <x:c r="D13" s="68" t="str">
        <x:v>Audit observation independence and units</x:v>
      </x:c>
      <x:c r="E13" s="68" t="str">
        <x:v>AI-101, AI-102</x:v>
      </x:c>
      <x:c r="F13" s="68" t="str">
        <x:v>Done</x:v>
      </x:c>
      <x:c r="G13" s="68" t="str">
        <x:v>1-2 days</x:v>
      </x:c>
      <x:c r="H13" s="76" t="n">
        <x:v>1</x:v>
      </x:c>
      <x:c r="I13" s="78" t="n">
        <x:f>WORKDAY(J12,1)</x:f>
        <x:v>46254</x:v>
      </x:c>
      <x:c r="J13" s="78" t="n">
        <x:f>WORKDAY(I13,H13-1)</x:f>
        <x:v>46254</x:v>
      </x:c>
      <x:c r="K13" s="68" t="str">
        <x:v>Derived material channels, likelihood independence, units, normalization, and provisional observation terms are explicitly decided.</x:v>
      </x:c>
    </x:row>
    <x:row r="14" ht="40" customHeight="1">
      <x:c r="A14" s="68" t="str">
        <x:v>AI-104</x:v>
      </x:c>
      <x:c r="B14" s="68" t="str">
        <x:v>M1</x:v>
      </x:c>
      <x:c r="C14" s="68" t="str">
        <x:v>Active Inference/Validation</x:v>
      </x:c>
      <x:c r="D14" s="68" t="str">
        <x:v>Verify VFE against tractable reference models</x:v>
      </x:c>
      <x:c r="E14" s="68" t="str">
        <x:v>AI-101, AI-103</x:v>
      </x:c>
      <x:c r="F14" s="68" t="str">
        <x:v>Done</x:v>
      </x:c>
      <x:c r="G14" s="68" t="str">
        <x:v>2 days</x:v>
      </x:c>
      <x:c r="H14" s="76" t="n">
        <x:v>2</x:v>
      </x:c>
      <x:c r="I14" s="78" t="n">
        <x:f>WORKDAY(J13,1)</x:f>
        <x:v>46255</x:v>
      </x:c>
      <x:c r="J14" s="78" t="n">
        <x:f>WORKDAY(I14,H14-1)</x:f>
        <x:v>46258</x:v>
      </x:c>
      <x:c r="K14" s="68" t="str">
        <x:v>Analytic linear-Gaussian fixtures independently verify posterior moments and VFE decomposition across precision regimes.</x:v>
      </x:c>
    </x:row>
    <x:row r="15" ht="40" customHeight="1">
      <x:c r="A15" s="68" t="str">
        <x:v>AI-105</x:v>
      </x:c>
      <x:c r="B15" s="68" t="str">
        <x:v>M1</x:v>
      </x:c>
      <x:c r="C15" s="68" t="str">
        <x:v>Active Inference/Validation</x:v>
      </x:c>
      <x:c r="D15" s="68" t="str">
        <x:v>Verify EFE against enumerated or Monte Carlo references</x:v>
      </x:c>
      <x:c r="E15" s="68" t="str">
        <x:v>AI-101, AI-104</x:v>
      </x:c>
      <x:c r="F15" s="68" t="str">
        <x:v>Done</x:v>
      </x:c>
      <x:c r="G15" s="68" t="str">
        <x:v>2-3 days</x:v>
      </x:c>
      <x:c r="H15" s="76" t="n">
        <x:v>2</x:v>
      </x:c>
      <x:c r="I15" s="78" t="n">
        <x:f>WORKDAY(J14,1)</x:f>
        <x:v>46259</x:v>
      </x:c>
      <x:c r="J15" s="78" t="n">
        <x:f>WORKDAY(I15,H15-1)</x:f>
        <x:v>46260</x:v>
      </x:c>
      <x:c r="K15" s="68" t="str">
        <x:v>Independent fixtures verify risk, ambiguity, information gain, policy priors, signs, and posterior normalization.</x:v>
      </x:c>
    </x:row>
    <x:row r="16" ht="40" customHeight="1">
      <x:c r="A16" s="68" t="str">
        <x:v>AI-106</x:v>
      </x:c>
      <x:c r="B16" s="68" t="str">
        <x:v>M1</x:v>
      </x:c>
      <x:c r="C16" s="68" t="str">
        <x:v>Preferences/Validation</x:v>
      </x:c>
      <x:c r="D16" s="68" t="str">
        <x:v>Stress-test terminal coverage and stopping</x:v>
      </x:c>
      <x:c r="E16" s="68" t="str">
        <x:v>AI-105</x:v>
      </x:c>
      <x:c r="F16" s="68" t="str">
        <x:v>Done</x:v>
      </x:c>
      <x:c r="G16" s="68" t="str">
        <x:v>1-2 days</x:v>
      </x:c>
      <x:c r="H16" s="76" t="n">
        <x:v>1</x:v>
      </x:c>
      <x:c r="I16" s="78" t="n">
        <x:f>WORKDAY(J15,1)</x:f>
        <x:v>46261</x:v>
      </x:c>
      <x:c r="J16" s="78" t="n">
        <x:f>WORKDAY(I16,H16-1)</x:f>
        <x:v>46261</x:v>
      </x:c>
      <x:c r="K16" s="68" t="str">
        <x:v>Beta moment matching, clamps, alternatives, terminal-only application, and immediate-stop support have a documented decision.</x:v>
      </x:c>
    </x:row>
    <x:row r="17" ht="40" customHeight="1">
      <x:c r="A17" s="68" t="str">
        <x:v>AI-111</x:v>
      </x:c>
      <x:c r="B17" s="68" t="str">
        <x:v>M1</x:v>
      </x:c>
      <x:c r="C17" s="68" t="str">
        <x:v>Policy Inference</x:v>
      </x:c>
      <x:c r="D17" s="68" t="str">
        <x:v>Separate proposal distributions from policy priors</x:v>
      </x:c>
      <x:c r="E17" s="68" t="str">
        <x:v>AI-101, AI-105</x:v>
      </x:c>
      <x:c r="F17" s="68" t="str">
        <x:v>Done</x:v>
      </x:c>
      <x:c r="G17" s="68" t="str">
        <x:v>2 days</x:v>
      </x:c>
      <x:c r="H17" s="76" t="n">
        <x:v>2</x:v>
      </x:c>
      <x:c r="I17" s="78" t="n">
        <x:f>WORKDAY(J16,1)</x:f>
        <x:v>46262</x:v>
      </x:c>
      <x:c r="J17" s="78" t="n">
        <x:f>WORKDAY(I17,H17-1)</x:f>
        <x:v>46265</x:v>
      </x:c>
      <x:c r="K17" s="68" t="str">
        <x:v>Candidate frequency, intended policy prior, proposal density, and finite-budget bias have explicit semantics and convergence tests.</x:v>
      </x:c>
    </x:row>
    <x:row r="18" ht="40" customHeight="1">
      <x:c r="A18" s="68" t="str">
        <x:v>AI-108</x:v>
      </x:c>
      <x:c r="B18" s="68" t="str">
        <x:v>M1</x:v>
      </x:c>
      <x:c r="C18" s="68" t="str">
        <x:v>Data/Validation</x:v>
      </x:c>
      <x:c r="D18" s="68" t="str">
        <x:v>Build a leakage-resistant baseline corpus</x:v>
      </x:c>
      <x:c r="E18" s="68" t="str">
        <x:v>AI-102, T-101, T-102</x:v>
      </x:c>
      <x:c r="F18" s="68" t="str">
        <x:v>Done</x:v>
      </x:c>
      <x:c r="G18" s="68" t="str">
        <x:v>2-3 days</x:v>
      </x:c>
      <x:c r="H18" s="76" t="n">
        <x:v>2</x:v>
      </x:c>
      <x:c r="I18" s="78" t="n">
        <x:f>WORKDAY(J17,1)</x:f>
        <x:v>46266</x:v>
      </x:c>
      <x:c r="J18" s="78" t="n">
        <x:f>WORKDAY(I18,H18-1)</x:f>
        <x:v>46267</x:v>
      </x:c>
      <x:c r="K18" s="68" t="str">
        <x:v>Accepted posterior-only baseline. It does not retain registered pre/post camera images and is not a visual hierarchy corpus.</x:v>
      </x:c>
    </x:row>
    <x:row r="19" ht="40" customHeight="1">
      <x:c r="A19" s="68" t="str">
        <x:v>AI-107</x:v>
      </x:c>
      <x:c r="B19" s="68" t="str">
        <x:v>M1</x:v>
      </x:c>
      <x:c r="C19" s="68" t="str">
        <x:v>Uncertainty</x:v>
      </x:c>
      <x:c r="D19" s="68" t="str">
        <x:v>Calibrate transition and precision approximations</x:v>
      </x:c>
      <x:c r="E19" s="68" t="str">
        <x:v>AI-103, AI-108</x:v>
      </x:c>
      <x:c r="F19" s="68" t="str">
        <x:v>Done</x:v>
      </x:c>
      <x:c r="G19" s="68" t="str">
        <x:v>2-3 days</x:v>
      </x:c>
      <x:c r="H19" s="76" t="n">
        <x:v>2</x:v>
      </x:c>
      <x:c r="I19" s="78" t="n">
        <x:f>WORKDAY(J18,1)</x:f>
        <x:v>46268</x:v>
      </x:c>
      <x:c r="J19" s="78" t="n">
        <x:f>WORKDAY(I19,H19-1)</x:f>
        <x:v>46269</x:v>
      </x:c>
      <x:c r="K19" s="68" t="str">
        <x:v>Current material-posterior likelihoods were measured and failed calibration. The material cVAE result does not test the proposed visual VAE.</x:v>
      </x:c>
    </x:row>
    <x:row r="20" ht="40" customHeight="1">
      <x:c r="A20" s="68" t="str">
        <x:v>AI-109</x:v>
      </x:c>
      <x:c r="B20" s="68" t="str">
        <x:v>M1</x:v>
      </x:c>
      <x:c r="C20" s="68" t="str">
        <x:v>Modeling/Validation</x:v>
      </x:c>
      <x:c r="D20" s="68" t="str">
        <x:v>Establish predictive learning curves</x:v>
      </x:c>
      <x:c r="E20" s="68" t="str">
        <x:v>AI-107, AI-108</x:v>
      </x:c>
      <x:c r="F20" s="68" t="str">
        <x:v>Active</x:v>
      </x:c>
      <x:c r="G20" s="68" t="str">
        <x:v>2 days</x:v>
      </x:c>
      <x:c r="H20" s="76" t="n">
        <x:v>2</x:v>
      </x:c>
      <x:c r="I20" s="78" t="n">
        <x:f>WORKDAY(J19,1)</x:f>
        <x:v>46272</x:v>
      </x:c>
      <x:c r="J20" s="78" t="n">
        <x:f>WORKDAY(I20,H20-1)</x:f>
        <x:v>46273</x:v>
      </x:c>
      <x:c r="K20" s="68" t="str">
        <x:v>2026-08-12: local material-posterior matrix completed; mixture density improved but calibration failed. A 192-step stop pilot yielded 6 selected stops and 2 truncations, but no registered image stream. AI-109 remains active pending a genuine-stop visual corpus and hierarchy curves.</x:v>
      </x:c>
    </x:row>
    <x:row r="21" ht="40" customHeight="1">
      <x:c r="A21" s="68" t="str">
        <x:v>AI-112</x:v>
      </x:c>
      <x:c r="B21" s="68" t="str">
        <x:v>M1</x:v>
      </x:c>
      <x:c r="C21" s="68" t="str">
        <x:v>Continual Learning/Research Ops</x:v>
      </x:c>
      <x:c r="D21" s="68" t="str">
        <x:v>Define online learning and inheritance semantics</x:v>
      </x:c>
      <x:c r="E21" s="68" t="str">
        <x:v>AI-101, AI-108</x:v>
      </x:c>
      <x:c r="F21" s="68" t="str">
        <x:v>Ready</x:v>
      </x:c>
      <x:c r="G21" s="68" t="str">
        <x:v>1-2 days</x:v>
      </x:c>
      <x:c r="H21" s="76" t="n">
        <x:v>1</x:v>
      </x:c>
      <x:c r="I21" s="78" t="n">
        <x:f>WORKDAY(J20,1)</x:f>
        <x:v>46274</x:v>
      </x:c>
      <x:c r="J21" s="78" t="n">
        <x:f>WORKDAY(I21,H21-1)</x:f>
        <x:v>46274</x:v>
      </x:c>
      <x:c r="K21" s="68" t="str">
        <x:v>Shared parameters, optimizer, replay, calibration, episodic beliefs, and canvas history have separate persistence and reporting rules.</x:v>
      </x:c>
    </x:row>
    <x:row r="22" ht="40" customHeight="1">
      <x:c r="A22" s="68" t="str">
        <x:v>AI-113</x:v>
      </x:c>
      <x:c r="B22" s="68" t="str">
        <x:v>M1</x:v>
      </x:c>
      <x:c r="C22" s="68" t="str">
        <x:v>Performance/Feasibility</x:v>
      </x:c>
      <x:c r="D22" s="68" t="str">
        <x:v>Profile inference, rollout, and learning separately</x:v>
      </x:c>
      <x:c r="E22" s="68" t="str">
        <x:v>AI-109</x:v>
      </x:c>
      <x:c r="F22" s="68" t="str">
        <x:v>Blocked</x:v>
      </x:c>
      <x:c r="G22" s="68" t="str">
        <x:v>1 day</x:v>
      </x:c>
      <x:c r="H22" s="76" t="n">
        <x:v>1</x:v>
      </x:c>
      <x:c r="I22" s="78" t="n">
        <x:f>WORKDAY(J21,1)</x:f>
        <x:v>46275</x:v>
      </x:c>
      <x:c r="J22" s="78" t="n">
        <x:f>WORKDAY(I22,H22-1)</x:f>
        <x:v>46275</x:v>
      </x:c>
      <x:c r="K22" s="68" t="str">
        <x:v>State inference, EFE, motor forecasting, hierarchy, training, serialization, and rendering have separate timings and a ranked optimization plan.</x:v>
      </x:c>
    </x:row>
    <x:row r="23" ht="40" customHeight="1">
      <x:c r="A23" s="68" t="str">
        <x:v>AI-110</x:v>
      </x:c>
      <x:c r="B23" s="68" t="str">
        <x:v>M1</x:v>
      </x:c>
      <x:c r="C23" s="68" t="str">
        <x:v>Active Inference/Preferences</x:v>
      </x:c>
      <x:c r="D23" s="68" t="str">
        <x:v>Resolve the composition-preference closed loop</x:v>
      </x:c>
      <x:c r="E23" s="68" t="str">
        <x:v>AI-101, AI-105, AI-109</x:v>
      </x:c>
      <x:c r="F23" s="68" t="str">
        <x:v>Blocked</x:v>
      </x:c>
      <x:c r="G23" s="68" t="str">
        <x:v>2-3 days</x:v>
      </x:c>
      <x:c r="H23" s="76" t="n">
        <x:v>2</x:v>
      </x:c>
      <x:c r="I23" s="78" t="n">
        <x:f>WORKDAY(J22,1)</x:f>
        <x:v>46276</x:v>
      </x:c>
      <x:c r="J23" s="78" t="n">
        <x:f>WORKDAY(I23,H23-1)</x:f>
        <x:v>46279</x:v>
      </x:c>
      <x:c r="K23" s="68" t="str">
        <x:v>Resolve structural preference only against an admitted predictive visual tone/edge/mass hierarchy and genuine-stop visual corpus; the provisional 16x16 material posterior is not sufficient.</x:v>
      </x:c>
    </x:row>
    <x:row r="24" ht="40" customHeight="1">
      <x:c r="A24" s="68" t="str">
        <x:v>AI-114</x:v>
      </x:c>
      <x:c r="B24" s="68" t="str">
        <x:v>M1</x:v>
      </x:c>
      <x:c r="C24" s="68" t="str">
        <x:v>Research Ops</x:v>
      </x:c>
      <x:c r="D24" s="68" t="str">
        <x:v>Capture reproducible baseline replicas</x:v>
      </x:c>
      <x:c r="E24" s="68" t="str">
        <x:v>AI-104, AI-105, AI-106, AI-107, AI-109, AI-110, AI-111, AI-113</x:v>
      </x:c>
      <x:c r="F24" s="68" t="str">
        <x:v>Blocked</x:v>
      </x:c>
      <x:c r="G24" s="68" t="str">
        <x:v>2 days</x:v>
      </x:c>
      <x:c r="H24" s="76" t="n">
        <x:v>2</x:v>
      </x:c>
      <x:c r="I24" s="78" t="n">
        <x:f>WORKDAY(J23,1)</x:f>
        <x:v>46280</x:v>
      </x:c>
      <x:c r="J24" s="78" t="n">
        <x:f>WORKDAY(I24,H24-1)</x:f>
        <x:v>46281</x:v>
      </x:c>
      <x:c r="K24" s="68" t="str">
        <x:v>At least three fixed-seed runs archive manifests, beliefs, VFE/EFE, calibration, proposal statistics, telemetry, failures, and canvases.</x:v>
      </x:c>
    </x:row>
    <x:row r="25" ht="40" customHeight="1">
      <x:c r="A25" s="68" t="str">
        <x:v>AI-115</x:v>
      </x:c>
      <x:c r="B25" s="68" t="str">
        <x:v>M1</x:v>
      </x:c>
      <x:c r="C25" s="68" t="str">
        <x:v>Validation</x:v>
      </x:c>
      <x:c r="D25" s="68" t="str">
        <x:v>M1 lock decision</x:v>
      </x:c>
      <x:c r="E25" s="68" t="str">
        <x:v>AI-114</x:v>
      </x:c>
      <x:c r="F25" s="68" t="str">
        <x:v>Blocked</x:v>
      </x:c>
      <x:c r="G25" s="68" t="str">
        <x:v>0.5 day</x:v>
      </x:c>
      <x:c r="H25" s="76" t="n">
        <x:v>1</x:v>
      </x:c>
      <x:c r="I25" s="78" t="n">
        <x:f>WORKDAY(J24,1)</x:f>
        <x:v>46282</x:v>
      </x:c>
      <x:c r="J25" s="78" t="n">
        <x:f>WORKDAY(I25,H25-1)</x:f>
        <x:v>46282</x:v>
      </x:c>
      <x:c r="K25" s="68" t="str">
        <x:v>Formal, sensor-access, VFE/EFE, calibration, terminal, composition, proposal, and inheritance decisions are accepted before M2.</x:v>
      </x:c>
    </x:row>
    <x:row r="26" ht="40" customHeight="1">
      <x:c r="A26" s="68" t="str">
        <x:v>AI-201</x:v>
      </x:c>
      <x:c r="B26" s="68" t="str">
        <x:v>M2</x:v>
      </x:c>
      <x:c r="C26" s="68" t="str">
        <x:v>Sensors/Active Inference</x:v>
      </x:c>
      <x:c r="D26" s="68" t="str">
        <x:v>Define the sensor-grounded M2 observation package</x:v>
      </x:c>
      <x:c r="E26" s="68" t="str">
        <x:v>M1</x:v>
      </x:c>
      <x:c r="F26" s="68" t="str">
        <x:v>Active</x:v>
      </x:c>
      <x:c r="G26" s="68" t="str">
        <x:v>2 days</x:v>
      </x:c>
      <x:c r="H26" s="76" t="n">
        <x:v>2</x:v>
      </x:c>
      <x:c r="I26" s="78" t="n">
        <x:f>'Phase Data'!E7</x:f>
        <x:v>46293</x:v>
      </x:c>
      <x:c r="J26" s="78" t="n">
        <x:f>WORKDAY(I26,H26-1)</x:f>
        <x:v>46294</x:v>
      </x:c>
      <x:c r="K26" s="68" t="str">
        <x:v>Declare provisional camera/body channels and retain registered rectified pre/post images, timing/calibration/masks, action crops, brush/motor context, and termination provenance.</x:v>
      </x:c>
    </x:row>
    <x:row r="27" ht="40" customHeight="1">
      <x:c r="A27" s="68" t="str">
        <x:v>AI-202</x:v>
      </x:c>
      <x:c r="B27" s="68" t="str">
        <x:v>M2</x:v>
      </x:c>
      <x:c r="C27" s="68" t="str">
        <x:v>Generative Process/Sensors</x:v>
      </x:c>
      <x:c r="D27" s="68" t="str">
        <x:v>Implement the fixed-view observation generative process</x:v>
      </x:c>
      <x:c r="E27" s="68" t="str">
        <x:v>AI-201, T-101, T-102</x:v>
      </x:c>
      <x:c r="F27" s="68" t="str">
        <x:v>Active</x:v>
      </x:c>
      <x:c r="G27" s="68" t="str">
        <x:v>2-3 days</x:v>
      </x:c>
      <x:c r="H27" s="76" t="n">
        <x:v>3</x:v>
      </x:c>
      <x:c r="I27" s="78" t="n">
        <x:f>WORKDAY(J26,1)</x:f>
        <x:v>46295</x:v>
      </x:c>
      <x:c r="J27" s="78" t="n">
        <x:f>WORKDAY(I27,H27-1)</x:f>
        <x:v>46297</x:v>
      </x:c>
      <x:c r="K27" s="68" t="str">
        <x:v>The process emits declared provisional observations while hidden material arrays remain evaluation-only; sensor-equivalence waits for physical calibration.</x:v>
      </x:c>
    </x:row>
    <x:row r="28" ht="40" customHeight="1">
      <x:c r="A28" s="68" t="str">
        <x:v>AI-203</x:v>
      </x:c>
      <x:c r="B28" s="68" t="str">
        <x:v>M2</x:v>
      </x:c>
      <x:c r="C28" s="68" t="str">
        <x:v>Generative Model</x:v>
      </x:c>
      <x:c r="D28" s="68" t="str">
        <x:v>Specify and implement the observation likelihood</x:v>
      </x:c>
      <x:c r="E28" s="68" t="str">
        <x:v>AI-201, AI-202</x:v>
      </x:c>
      <x:c r="F28" s="68" t="str">
        <x:v>Active</x:v>
      </x:c>
      <x:c r="G28" s="68" t="str">
        <x:v>3-5 days</x:v>
      </x:c>
      <x:c r="H28" s="76" t="n">
        <x:v>4</x:v>
      </x:c>
      <x:c r="I28" s="78" t="n">
        <x:f>WORKDAY(J27,1)</x:f>
        <x:v>46300</x:v>
      </x:c>
      <x:c r="J28" s="78" t="n">
        <x:f>WORKDAY(I28,H28-1)</x:f>
        <x:v>46303</x:v>
      </x:c>
      <x:c r="K28" s="68" t="str">
        <x:v>Registered-image, action-conditioned visual-transition, proprioceptive, current, and contact likelihoods are explicit, calibrated, and avoid double-counting image transforms.</x:v>
      </x:c>
    </x:row>
    <x:row r="29" ht="40" customHeight="1">
      <x:c r="A29" s="68" t="str">
        <x:v>AI-204</x:v>
      </x:c>
      <x:c r="B29" s="68" t="str">
        <x:v>M2</x:v>
      </x:c>
      <x:c r="C29" s="68" t="str">
        <x:v>Variational Inference</x:v>
      </x:c>
      <x:c r="D29" s="68" t="str">
        <x:v>Build the compact state-inference path</x:v>
      </x:c>
      <x:c r="E29" s="68" t="str">
        <x:v>AI-203</x:v>
      </x:c>
      <x:c r="F29" s="68" t="str">
        <x:v>Active</x:v>
      </x:c>
      <x:c r="G29" s="68" t="str">
        <x:v>4-6 days</x:v>
      </x:c>
      <x:c r="H29" s="76" t="n">
        <x:v>5</x:v>
      </x:c>
      <x:c r="I29" s="78" t="n">
        <x:f>WORKDAY(J28,1)</x:f>
        <x:v>46304</x:v>
      </x:c>
      <x:c r="J29" s="78" t="n">
        <x:f>WORKDAY(I29,H29-1)</x:f>
        <x:v>46310</x:v>
      </x:c>
      <x:c r="K29" s="68" t="str">
        <x:v>A compact visual/body posterior fuses priors with permitted observations. Persistent canvas-wide wetness is excluded; any local interaction latent is ephemeral.</x:v>
      </x:c>
    </x:row>
    <x:row r="30" ht="40" customHeight="1">
      <x:c r="A30" s="68" t="str">
        <x:v>AI-205</x:v>
      </x:c>
      <x:c r="B30" s="68" t="str">
        <x:v>M2</x:v>
      </x:c>
      <x:c r="C30" s="68" t="str">
        <x:v>Transition Model/Data</x:v>
      </x:c>
      <x:c r="D30" s="68" t="str">
        <x:v>Align local visual dynamics training with live execution</x:v>
      </x:c>
      <x:c r="E30" s="68" t="str">
        <x:v>AI-108, AI-202</x:v>
      </x:c>
      <x:c r="F30" s="68" t="str">
        <x:v>Blocked</x:v>
      </x:c>
      <x:c r="G30" s="68" t="str">
        <x:v>2-3 days</x:v>
      </x:c>
      <x:c r="H30" s="76" t="n">
        <x:v>3</x:v>
      </x:c>
      <x:c r="I30" s="78" t="n">
        <x:f>WORKDAY(J29,1)</x:f>
        <x:v>46311</x:v>
      </x:c>
      <x:c r="J30" s="78" t="n">
        <x:f>WORKDAY(I30,H30-1)</x:f>
        <x:v>46315</x:v>
      </x:c>
      <x:c r="K30" s="68" t="str">
        <x:v>Corpus and execution share camera registration, physical pixel scale, action support, and held-out visual calibration; registered pre/post patches and provenance are retained.</x:v>
      </x:c>
    </x:row>
    <x:row r="31" ht="40" customHeight="1">
      <x:c r="A31" s="68" t="str">
        <x:v>AI-206</x:v>
      </x:c>
      <x:c r="B31" s="68" t="str">
        <x:v>M2</x:v>
      </x:c>
      <x:c r="C31" s="68" t="str">
        <x:v>Transition Model/Validation</x:v>
      </x:c>
      <x:c r="D31" s="68" t="str">
        <x:v>Validate multi-step visual prediction</x:v>
      </x:c>
      <x:c r="E31" s="68" t="str">
        <x:v>AI-204, AI-205</x:v>
      </x:c>
      <x:c r="F31" s="68" t="str">
        <x:v>Blocked</x:v>
      </x:c>
      <x:c r="G31" s="68" t="str">
        <x:v>2-3 days</x:v>
      </x:c>
      <x:c r="H31" s="76" t="n">
        <x:v>3</x:v>
      </x:c>
      <x:c r="I31" s="78" t="n">
        <x:f>WORKDAY(J30,1)</x:f>
        <x:v>46316</x:v>
      </x:c>
      <x:c r="J31" s="78" t="n">
        <x:f>WORKDAY(I31,H31-1)</x:f>
        <x:v>46318</x:v>
      </x:c>
      <x:c r="K31" s="68" t="str">
        <x:v>One-mark through passage-length visual rollouts report normalized likelihood, tone/boundary fidelity, error growth, and uncertainty calibration.</x:v>
      </x:c>
    </x:row>
    <x:row r="32" ht="40" customHeight="1">
      <x:c r="A32" s="68" t="str">
        <x:v>AI-207</x:v>
      </x:c>
      <x:c r="B32" s="68" t="str">
        <x:v>M2</x:v>
      </x:c>
      <x:c r="C32" s="68" t="str">
        <x:v>Hierarchical Active Inference</x:v>
      </x:c>
      <x:c r="D32" s="68" t="str">
        <x:v>Define the multiscale latent clocks and messages</x:v>
      </x:c>
      <x:c r="E32" s="68" t="str">
        <x:v>AI-101, AI-204</x:v>
      </x:c>
      <x:c r="F32" s="68" t="str">
        <x:v>Blocked</x:v>
      </x:c>
      <x:c r="G32" s="68" t="str">
        <x:v>2 days</x:v>
      </x:c>
      <x:c r="H32" s="76" t="n">
        <x:v>2</x:v>
      </x:c>
      <x:c r="I32" s="78" t="n">
        <x:f>WORKDAY(J31,1)</x:f>
        <x:v>46321</x:v>
      </x:c>
      <x:c r="J32" s="78" t="n">
        <x:f>WORKDAY(I32,H32-1)</x:f>
        <x:v>46322</x:v>
      </x:c>
      <x:c r="K32" s="68" t="str">
        <x:v>Pixel, mark, tile, passage, and painting levels have explicit probabilistic messages and persistence; canvas-wide wetness is prohibited and local interaction latents expire.</x:v>
      </x:c>
    </x:row>
    <x:row r="33" ht="40" customHeight="1">
      <x:c r="A33" s="68" t="str">
        <x:v>AI-208</x:v>
      </x:c>
      <x:c r="B33" s="68" t="str">
        <x:v>M2</x:v>
      </x:c>
      <x:c r="C33" s="68" t="str">
        <x:v>Hierarchical Modeling</x:v>
      </x:c>
      <x:c r="D33" s="68" t="str">
        <x:v>Make the global canvas latent predictively necessary</x:v>
      </x:c>
      <x:c r="E33" s="68" t="str">
        <x:v>AI-206, AI-207</x:v>
      </x:c>
      <x:c r="F33" s="68" t="str">
        <x:v>Blocked</x:v>
      </x:c>
      <x:c r="G33" s="68" t="str">
        <x:v>3-5 days</x:v>
      </x:c>
      <x:c r="H33" s="76" t="n">
        <x:v>4</x:v>
      </x:c>
      <x:c r="I33" s="78" t="n">
        <x:f>WORKDAY(J32,1)</x:f>
        <x:v>46323</x:v>
      </x:c>
      <x:c r="J33" s="78" t="n">
        <x:f>WORKDAY(I33,H33-1)</x:f>
        <x:v>46328</x:v>
      </x:c>
      <x:c r="K33" s="68" t="str">
        <x:v>A tone/edge/mass-preserving hierarchy improves held-out future prediction, survives spatial interventions, and retains oblique/curved boundaries without square-cell artifacts.</x:v>
      </x:c>
    </x:row>
    <x:row r="34" ht="40" customHeight="1">
      <x:c r="A34" s="68" t="str">
        <x:v>AI-209</x:v>
      </x:c>
      <x:c r="B34" s="68" t="str">
        <x:v>M2</x:v>
      </x:c>
      <x:c r="C34" s="68" t="str">
        <x:v>Relational Inference</x:v>
      </x:c>
      <x:c r="D34" s="68" t="str">
        <x:v>Replace or demote deterministic relational beliefs</x:v>
      </x:c>
      <x:c r="E34" s="68" t="str">
        <x:v>AI-207, AI-208</x:v>
      </x:c>
      <x:c r="F34" s="68" t="str">
        <x:v>Blocked</x:v>
      </x:c>
      <x:c r="G34" s="68" t="str">
        <x:v>4-6 days</x:v>
      </x:c>
      <x:c r="H34" s="76" t="n">
        <x:v>5</x:v>
      </x:c>
      <x:c r="I34" s="78" t="n">
        <x:f>WORKDAY(J33,1)</x:f>
        <x:v>46329</x:v>
      </x:c>
      <x:c r="J34" s="78" t="n">
        <x:f>WORKDAY(I34,H34-1)</x:f>
        <x:v>46335</x:v>
      </x:c>
      <x:c r="K34" s="68" t="str">
        <x:v>Region existence, assignment, and relations are uncertain, or deterministic slots are relabeled and their claims restricted.</x:v>
      </x:c>
    </x:row>
    <x:row r="35" ht="40" customHeight="1">
      <x:c r="A35" s="68" t="str">
        <x:v>AI-210</x:v>
      </x:c>
      <x:c r="B35" s="68" t="str">
        <x:v>M2</x:v>
      </x:c>
      <x:c r="C35" s="68" t="str">
        <x:v>Hierarchical Inference/Validation</x:v>
      </x:c>
      <x:c r="D35" s="68" t="str">
        <x:v>Validate slow-state temporal persistence</x:v>
      </x:c>
      <x:c r="E35" s="68" t="str">
        <x:v>AI-207, AI-208, AI-209</x:v>
      </x:c>
      <x:c r="F35" s="68" t="str">
        <x:v>Blocked</x:v>
      </x:c>
      <x:c r="G35" s="68" t="str">
        <x:v>2-3 days</x:v>
      </x:c>
      <x:c r="H35" s="76" t="n">
        <x:v>3</x:v>
      </x:c>
      <x:c r="I35" s="78" t="n">
        <x:f>WORKDAY(J34,1)</x:f>
        <x:v>46336</x:v>
      </x:c>
      <x:c r="J35" s="78" t="n">
        <x:f>WORKDAY(I35,H35-1)</x:f>
        <x:v>46338</x:v>
      </x:c>
      <x:c r="K35" s="68" t="str">
        <x:v>Slow states predict later events beyond the current frame and pass freeze, shuffle, reset, and update-clock tests.</x:v>
      </x:c>
    </x:row>
    <x:row r="36" ht="40" customHeight="1">
      <x:c r="A36" s="68" t="str">
        <x:v>AI-211</x:v>
      </x:c>
      <x:c r="B36" s="68" t="str">
        <x:v>M2</x:v>
      </x:c>
      <x:c r="C36" s="68" t="str">
        <x:v>Preferences</x:v>
      </x:c>
      <x:c r="D36" s="68" t="str">
        <x:v>Implement the M1 structural-preference decision</x:v>
      </x:c>
      <x:c r="E36" s="68" t="str">
        <x:v>AI-110, AI-208, AI-210</x:v>
      </x:c>
      <x:c r="F36" s="68" t="str">
        <x:v>Blocked</x:v>
      </x:c>
      <x:c r="G36" s="68" t="str">
        <x:v>2-4 days</x:v>
      </x:c>
      <x:c r="H36" s="76" t="n">
        <x:v>3</x:v>
      </x:c>
      <x:c r="I36" s="78" t="n">
        <x:f>WORKDAY(J35,1)</x:f>
        <x:v>46339</x:v>
      </x:c>
      <x:c r="J36" s="78" t="n">
        <x:f>WORKDAY(I36,H36-1)</x:f>
        <x:v>46343</x:v>
      </x:c>
      <x:c r="K36" s="68" t="str">
        <x:v>Only the approved structural preference is enabled, separately logged, tested for self-reinforcement, and paired with a zero-preference ablation.</x:v>
      </x:c>
    </x:row>
    <x:row r="37" ht="40" customHeight="1">
      <x:c r="A37" s="68" t="str">
        <x:v>AI-212</x:v>
      </x:c>
      <x:c r="B37" s="68" t="str">
        <x:v>M2</x:v>
      </x:c>
      <x:c r="C37" s="68" t="str">
        <x:v>Continual Learning</x:v>
      </x:c>
      <x:c r="D37" s="68" t="str">
        <x:v>Separate shared pretraining from individual development</x:v>
      </x:c>
      <x:c r="E37" s="68" t="str">
        <x:v>AI-112, AI-205, AI-210</x:v>
      </x:c>
      <x:c r="F37" s="68" t="str">
        <x:v>Blocked</x:v>
      </x:c>
      <x:c r="G37" s="68" t="str">
        <x:v>2-3 days</x:v>
      </x:c>
      <x:c r="H37" s="76" t="n">
        <x:v>3</x:v>
      </x:c>
      <x:c r="I37" s="78" t="n">
        <x:f>WORKDAY(J36,1)</x:f>
        <x:v>46344</x:v>
      </x:c>
      <x:c r="J37" s="78" t="n">
        <x:f>WORKDAY(I37,H37-1)</x:f>
        <x:v>46346</x:v>
      </x:c>
      <x:c r="K37" s="68" t="str">
        <x:v>Shared low-level parameters may pool data while every agent retains separate posteriors, histories, slow states, and online adaptation records.</x:v>
      </x:c>
    </x:row>
    <x:row r="38" ht="40" customHeight="1">
      <x:c r="A38" s="68" t="str">
        <x:v>AI-213</x:v>
      </x:c>
      <x:c r="B38" s="68" t="str">
        <x:v>M2</x:v>
      </x:c>
      <x:c r="C38" s="68" t="str">
        <x:v>Performance/Data</x:v>
      </x:c>
      <x:c r="D38" s="68" t="str">
        <x:v>Build the affordable parallel data and training path</x:v>
      </x:c>
      <x:c r="E38" s="68" t="str">
        <x:v>AI-113, AI-205, AI-212</x:v>
      </x:c>
      <x:c r="F38" s="68" t="str">
        <x:v>Blocked</x:v>
      </x:c>
      <x:c r="G38" s="68" t="str">
        <x:v>3-5 days</x:v>
      </x:c>
      <x:c r="H38" s="76" t="n">
        <x:v>4</x:v>
      </x:c>
      <x:c r="I38" s="78" t="n">
        <x:f>WORKDAY(J37,1)</x:f>
        <x:v>46349</x:v>
      </x:c>
      <x:c r="J38" s="78" t="n">
        <x:f>WORKDAY(I38,H38-1)</x:f>
        <x:v>46352</x:v>
      </x:c>
      <x:c r="K38" s="68" t="str">
        <x:v>Parallel lower-level experience and batched training improve throughput without contaminating test data or canonical development.</x:v>
      </x:c>
    </x:row>
    <x:row r="39" ht="40" customHeight="1">
      <x:c r="A39" s="68" t="str">
        <x:v>AI-214</x:v>
      </x:c>
      <x:c r="B39" s="68" t="str">
        <x:v>M2</x:v>
      </x:c>
      <x:c r="C39" s="68" t="str">
        <x:v>Feasibility/Modeling</x:v>
      </x:c>
      <x:c r="D39" s="68" t="str">
        <x:v>Evaluate model size and pretrained readiness</x:v>
      </x:c>
      <x:c r="E39" s="68" t="str">
        <x:v>AI-109, AI-204, AI-208, AI-213</x:v>
      </x:c>
      <x:c r="F39" s="68" t="str">
        <x:v>Blocked</x:v>
      </x:c>
      <x:c r="G39" s="68" t="str">
        <x:v>2-3 days</x:v>
      </x:c>
      <x:c r="H39" s="76" t="n">
        <x:v>3</x:v>
      </x:c>
      <x:c r="I39" s="78" t="n">
        <x:f>WORKDAY(J38,1)</x:f>
        <x:v>46353</x:v>
      </x:c>
      <x:c r="J39" s="78" t="n">
        <x:f>WORKDAY(I39,H39-1)</x:f>
        <x:v>46357</x:v>
      </x:c>
      <x:c r="K39" s="68" t="str">
        <x:v>Learning curves, latency, memory, cost, and a narrow frozen-feature adapter define whether larger or pretrained perception is justified.</x:v>
      </x:c>
    </x:row>
    <x:row r="40" ht="40" customHeight="1">
      <x:c r="A40" s="68" t="str">
        <x:v>AI-215</x:v>
      </x:c>
      <x:c r="B40" s="68" t="str">
        <x:v>M2</x:v>
      </x:c>
      <x:c r="C40" s="68" t="str">
        <x:v>Validation</x:v>
      </x:c>
      <x:c r="D40" s="68" t="str">
        <x:v>Run the M2 capability-gate suite</x:v>
      </x:c>
      <x:c r="E40" s="68" t="str">
        <x:v>AI-203, AI-204, AI-206, AI-208, AI-209, AI-210, AI-211, AI-212</x:v>
      </x:c>
      <x:c r="F40" s="68" t="str">
        <x:v>Blocked</x:v>
      </x:c>
      <x:c r="G40" s="68" t="str">
        <x:v>3 days</x:v>
      </x:c>
      <x:c r="H40" s="76" t="n">
        <x:v>3</x:v>
      </x:c>
      <x:c r="I40" s="78" t="n">
        <x:f>WORKDAY(J39,1)</x:f>
        <x:v>46358</x:v>
      </x:c>
      <x:c r="J40" s="78" t="n">
        <x:f>WORKDAY(I40,H40-1)</x:f>
        <x:v>46360</x:v>
      </x:c>
      <x:c r="K40" s="68" t="str">
        <x:v>Observation, local prediction, embodiment, relational representation, and temporal-persistence gates pass under sensor-equivalent input.</x:v>
      </x:c>
    </x:row>
    <x:row r="41" ht="40" customHeight="1">
      <x:c r="A41" s="68" t="str">
        <x:v>AI-216</x:v>
      </x:c>
      <x:c r="B41" s="68" t="str">
        <x:v>M2</x:v>
      </x:c>
      <x:c r="C41" s="68" t="str">
        <x:v>Validation</x:v>
      </x:c>
      <x:c r="D41" s="68" t="str">
        <x:v>M2 lock decision</x:v>
      </x:c>
      <x:c r="E41" s="68" t="str">
        <x:v>AI-215</x:v>
      </x:c>
      <x:c r="F41" s="68" t="str">
        <x:v>Blocked</x:v>
      </x:c>
      <x:c r="G41" s="68" t="str">
        <x:v>0.5 day</x:v>
      </x:c>
      <x:c r="H41" s="76" t="n">
        <x:v>1</x:v>
      </x:c>
      <x:c r="I41" s="78" t="n">
        <x:f>WORKDAY(J40,1)</x:f>
        <x:v>46363</x:v>
      </x:c>
      <x:c r="J41" s="78" t="n">
        <x:f>WORKDAY(I41,H41-1)</x:f>
        <x:v>46363</x:v>
      </x:c>
      <x:c r="K41" s="68" t="str">
        <x:v>Sensor-equivalent inference, calibrated dynamics, multiscale uncertainty, temporal persistence, and preference status are accepted before M3.</x:v>
      </x:c>
    </x:row>
    <x:row r="42" ht="40" customHeight="1">
      <x:c r="A42" s="68" t="str">
        <x:v>AI-301</x:v>
      </x:c>
      <x:c r="B42" s="68" t="str">
        <x:v>M3</x:v>
      </x:c>
      <x:c r="C42" s="68" t="str">
        <x:v>Active Vision/Generative Process</x:v>
      </x:c>
      <x:c r="D42" s="68" t="str">
        <x:v>Specify the foveated generative process</x:v>
      </x:c>
      <x:c r="E42" s="68" t="str">
        <x:v>M2</x:v>
      </x:c>
      <x:c r="F42" s="68" t="str">
        <x:v>Blocked</x:v>
      </x:c>
      <x:c r="G42" s="68" t="str">
        <x:v>2-3 days</x:v>
      </x:c>
      <x:c r="H42" s="76" t="n">
        <x:v>3</x:v>
      </x:c>
      <x:c r="I42" s="78" t="n">
        <x:f>'Phase Data'!E8</x:f>
        <x:v>46370</x:v>
      </x:c>
      <x:c r="J42" s="78" t="n">
        <x:f>WORKDAY(I42,H42-1)</x:f>
        <x:v>46372</x:v>
      </x:c>
      <x:c r="K42" s="68" t="str">
        <x:v>Gaze state, sensor geometry, fovea, periphery, rates, latency, uncertainty, and accessible samples are explicitly defined.</x:v>
      </x:c>
    </x:row>
    <x:row r="43" ht="40" customHeight="1">
      <x:c r="A43" s="68" t="str">
        <x:v>AI-302</x:v>
      </x:c>
      <x:c r="B43" s="68" t="str">
        <x:v>M3</x:v>
      </x:c>
      <x:c r="C43" s="68" t="str">
        <x:v>Active Vision/Sensors</x:v>
      </x:c>
      <x:c r="D43" s="68" t="str">
        <x:v>Implement foveal and peripheral observations</x:v>
      </x:c>
      <x:c r="E43" s="68" t="str">
        <x:v>AI-301, AI-202</x:v>
      </x:c>
      <x:c r="F43" s="68" t="str">
        <x:v>Blocked</x:v>
      </x:c>
      <x:c r="G43" s="68" t="str">
        <x:v>3-5 days</x:v>
      </x:c>
      <x:c r="H43" s="76" t="n">
        <x:v>4</x:v>
      </x:c>
      <x:c r="I43" s="78" t="n">
        <x:f>WORKDAY(J42,1)</x:f>
        <x:v>46373</x:v>
      </x:c>
      <x:c r="J43" s="78" t="n">
        <x:f>WORKDAY(I43,H43-1)</x:f>
        <x:v>46378</x:v>
      </x:c>
      <x:c r="K43" s="68" t="str">
        <x:v>Active, random, and uniform observation modes share one image process without leaking unsampled detail.</x:v>
      </x:c>
    </x:row>
    <x:row r="44" ht="40" customHeight="1">
      <x:c r="A44" s="68" t="str">
        <x:v>AI-303</x:v>
      </x:c>
      <x:c r="B44" s="68" t="str">
        <x:v>M3</x:v>
      </x:c>
      <x:c r="C44" s="68" t="str">
        <x:v>Variational Inference</x:v>
      </x:c>
      <x:c r="D44" s="68" t="str">
        <x:v>Maintain beliefs under partial observation</x:v>
      </x:c>
      <x:c r="E44" s="68" t="str">
        <x:v>AI-204, AI-302</x:v>
      </x:c>
      <x:c r="F44" s="68" t="str">
        <x:v>Blocked</x:v>
      </x:c>
      <x:c r="G44" s="68" t="str">
        <x:v>4-6 days</x:v>
      </x:c>
      <x:c r="H44" s="76" t="n">
        <x:v>5</x:v>
      </x:c>
      <x:c r="I44" s="78" t="n">
        <x:f>WORKDAY(J43,1)</x:f>
        <x:v>46379</x:v>
      </x:c>
      <x:c r="J44" s="78" t="n">
        <x:f>WORKDAY(I44,H44-1)</x:f>
        <x:v>46385</x:v>
      </x:c>
      <x:c r="K44" s="68" t="str">
        <x:v>Foveated likelihood updates and unobserved transition uncertainty produce calibrated partial-observation posteriors.</x:v>
      </x:c>
    </x:row>
    <x:row r="45" ht="40" customHeight="1">
      <x:c r="A45" s="68" t="str">
        <x:v>AI-304</x:v>
      </x:c>
      <x:c r="B45" s="68" t="str">
        <x:v>M3</x:v>
      </x:c>
      <x:c r="C45" s="68" t="str">
        <x:v>Active Inference/Policy</x:v>
      </x:c>
      <x:c r="D45" s="68" t="str">
        <x:v>Define gaze policies and their EFE</x:v>
      </x:c>
      <x:c r="E45" s="68" t="str">
        <x:v>AI-105, AI-303</x:v>
      </x:c>
      <x:c r="F45" s="68" t="str">
        <x:v>Blocked</x:v>
      </x:c>
      <x:c r="G45" s="68" t="str">
        <x:v>3-5 days</x:v>
      </x:c>
      <x:c r="H45" s="76" t="n">
        <x:v>4</x:v>
      </x:c>
      <x:c r="I45" s="78" t="n">
        <x:f>WORKDAY(J44,1)</x:f>
        <x:v>46386</x:v>
      </x:c>
      <x:c r="J45" s="78" t="n">
        <x:f>WORKDAY(I45,H45-1)</x:f>
        <x:v>46391</x:v>
      </x:c>
      <x:c r="K45" s="68" t="str">
        <x:v>Gaze risk, ambiguity, and information gain are derived, separately logged, and resolve controlled reducible ambiguity without saliency rewards.</x:v>
      </x:c>
    </x:row>
    <x:row r="46" ht="40" customHeight="1">
      <x:c r="A46" s="68" t="str">
        <x:v>AI-305</x:v>
      </x:c>
      <x:c r="B46" s="68" t="str">
        <x:v>M3</x:v>
      </x:c>
      <x:c r="C46" s="68" t="str">
        <x:v>Hierarchical Active Inference</x:v>
      </x:c>
      <x:c r="D46" s="68" t="str">
        <x:v>Factor gaze, mark, passage, and motor policies</x:v>
      </x:c>
      <x:c r="E46" s="68" t="str">
        <x:v>AI-207, AI-304</x:v>
      </x:c>
      <x:c r="F46" s="68" t="str">
        <x:v>Blocked</x:v>
      </x:c>
      <x:c r="G46" s="68" t="str">
        <x:v>4-6 days</x:v>
      </x:c>
      <x:c r="H46" s="76" t="n">
        <x:v>5</x:v>
      </x:c>
      <x:c r="I46" s="78" t="n">
        <x:f>WORKDAY(J45,1)</x:f>
        <x:v>46392</x:v>
      </x:c>
      <x:c r="J46" s="78" t="n">
        <x:f>WORKDAY(I46,H46-1)</x:f>
        <x:v>46398</x:v>
      </x:c>
      <x:c r="K46" s="68" t="str">
        <x:v>Temporal levels exchange declared priors and evidence while low-level control and hard safety remain outside painting-policy inference.</x:v>
      </x:c>
    </x:row>
    <x:row r="47" ht="40" customHeight="1">
      <x:c r="A47" s="68" t="str">
        <x:v>AI-306</x:v>
      </x:c>
      <x:c r="B47" s="68" t="str">
        <x:v>M3</x:v>
      </x:c>
      <x:c r="C47" s="68" t="str">
        <x:v>Policy Inference/Approximation</x:v>
      </x:c>
      <x:c r="D47" s="68" t="str">
        <x:v>Correct finite-proposal policy inference</x:v>
      </x:c>
      <x:c r="E47" s="68" t="str">
        <x:v>AI-111, AI-305</x:v>
      </x:c>
      <x:c r="F47" s="68" t="str">
        <x:v>Blocked</x:v>
      </x:c>
      <x:c r="G47" s="68" t="str">
        <x:v>3-5 days</x:v>
      </x:c>
      <x:c r="H47" s="76" t="n">
        <x:v>4</x:v>
      </x:c>
      <x:c r="I47" s="78" t="n">
        <x:f>WORKDAY(J46,1)</x:f>
        <x:v>46399</x:v>
      </x:c>
      <x:c r="J47" s="78" t="n">
        <x:f>WORKDAY(I47,H47-1)</x:f>
        <x:v>46402</x:v>
      </x:c>
      <x:c r="K47" s="68" t="str">
        <x:v>Proposal density and policy prior are distinct, immediate stop retains support, and finite-budget posterior bias is measured.</x:v>
      </x:c>
    </x:row>
    <x:row r="48" ht="40" customHeight="1">
      <x:c r="A48" s="68" t="str">
        <x:v>AI-307</x:v>
      </x:c>
      <x:c r="B48" s="68" t="str">
        <x:v>M3</x:v>
      </x:c>
      <x:c r="C48" s="68" t="str">
        <x:v>Priors/Embodiment</x:v>
      </x:c>
      <x:c r="D48" s="68" t="str">
        <x:v>Replace hand-shaped continuity scores with transition priors</x:v>
      </x:c>
      <x:c r="E48" s="68" t="str">
        <x:v>AI-101, AI-305</x:v>
      </x:c>
      <x:c r="F48" s="68" t="str">
        <x:v>Blocked</x:v>
      </x:c>
      <x:c r="G48" s="68" t="str">
        <x:v>2-3 days</x:v>
      </x:c>
      <x:c r="H48" s="76" t="n">
        <x:v>3</x:v>
      </x:c>
      <x:c r="I48" s="78" t="n">
        <x:f>WORKDAY(J47,1)</x:f>
        <x:v>46405</x:v>
      </x:c>
      <x:c r="J48" s="78" t="n">
        <x:f>WORKDAY(I48,H48-1)</x:f>
        <x:v>46407</x:v>
      </x:c>
      <x:c r="K48" s="68" t="str">
        <x:v>Retained continuity effects are conditional trajectory priors or transitions with a flat-prior ablation, not aesthetic scores.</x:v>
      </x:c>
    </x:row>
    <x:row r="49" ht="40" customHeight="1">
      <x:c r="A49" s="68" t="str">
        <x:v>AI-308</x:v>
      </x:c>
      <x:c r="B49" s="68" t="str">
        <x:v>M3</x:v>
      </x:c>
      <x:c r="C49" s="68" t="str">
        <x:v>Embodied Active Inference</x:v>
      </x:c>
      <x:c r="D49" s="68" t="str">
        <x:v>Formalize bodily viability and energy preferences</x:v>
      </x:c>
      <x:c r="E49" s="68" t="str">
        <x:v>AI-105, AI-205, AI-305</x:v>
      </x:c>
      <x:c r="F49" s="68" t="str">
        <x:v>Blocked</x:v>
      </x:c>
      <x:c r="G49" s="68" t="str">
        <x:v>3-5 days</x:v>
      </x:c>
      <x:c r="H49" s="76" t="n">
        <x:v>4</x:v>
      </x:c>
      <x:c r="I49" s="78" t="n">
        <x:f>WORKDAY(J48,1)</x:f>
        <x:v>46408</x:v>
      </x:c>
      <x:c r="J49" s="78" t="n">
        <x:f>WORKDAY(I49,H49-1)</x:f>
        <x:v>46413</x:v>
      </x:c>
      <x:c r="K49" s="68" t="str">
        <x:v>Observable current, temperature, limits, contact, and tracking outcomes have declared priors separate from hard safety and avoid trivial inactivity.</x:v>
      </x:c>
    </x:row>
    <x:row r="50" ht="40" customHeight="1">
      <x:c r="A50" s="68" t="str">
        <x:v>AI-309</x:v>
      </x:c>
      <x:c r="B50" s="68" t="str">
        <x:v>M3</x:v>
      </x:c>
      <x:c r="C50" s="68" t="str">
        <x:v>Active Inference/Validation</x:v>
      </x:c>
      <x:c r="D50" s="68" t="str">
        <x:v>Test whether epistemic action is informative or pathological</x:v>
      </x:c>
      <x:c r="E50" s="68" t="str">
        <x:v>AI-304, AI-308</x:v>
      </x:c>
      <x:c r="F50" s="68" t="str">
        <x:v>Blocked</x:v>
      </x:c>
      <x:c r="G50" s="68" t="str">
        <x:v>3-4 days</x:v>
      </x:c>
      <x:c r="H50" s="76" t="n">
        <x:v>4</x:v>
      </x:c>
      <x:c r="I50" s="78" t="n">
        <x:f>WORKDAY(J49,1)</x:f>
        <x:v>46414</x:v>
      </x:c>
      <x:c r="J50" s="78" t="n">
        <x:f>WORKDAY(I50,H50-1)</x:f>
        <x:v>46419</x:v>
      </x:c>
      <x:c r="K50" s="68" t="str">
        <x:v>Ambiguity, noise, misspecification, unreachable state, repeat-fixation, and model-hacking fixtures separate reducible information from novelty.</x:v>
      </x:c>
    </x:row>
    <x:row r="51" ht="40" customHeight="1">
      <x:c r="A51" s="68" t="str">
        <x:v>AI-310</x:v>
      </x:c>
      <x:c r="B51" s="68" t="str">
        <x:v>M3</x:v>
      </x:c>
      <x:c r="C51" s="68" t="str">
        <x:v>Hierarchical Inference/Validation</x:v>
      </x:c>
      <x:c r="D51" s="68" t="str">
        <x:v>Make passage and painting timescales causally testable</x:v>
      </x:c>
      <x:c r="E51" s="68" t="str">
        <x:v>AI-210, AI-305</x:v>
      </x:c>
      <x:c r="F51" s="68" t="str">
        <x:v>Blocked</x:v>
      </x:c>
      <x:c r="G51" s="68" t="str">
        <x:v>3-5 days</x:v>
      </x:c>
      <x:c r="H51" s="76" t="n">
        <x:v>4</x:v>
      </x:c>
      <x:c r="I51" s="78" t="n">
        <x:f>WORKDAY(J50,1)</x:f>
        <x:v>46420</x:v>
      </x:c>
      <x:c r="J51" s="78" t="n">
        <x:f>WORKDAY(I51,H51-1)</x:f>
        <x:v>46423</x:v>
      </x:c>
      <x:c r="K51" s="68" t="str">
        <x:v>Freeze, shuffle, reset, and substitution interventions establish whether slow states causally affect later prediction and policy.</x:v>
      </x:c>
    </x:row>
    <x:row r="52" ht="40" customHeight="1">
      <x:c r="A52" s="68" t="str">
        <x:v>AI-311</x:v>
      </x:c>
      <x:c r="B52" s="68" t="str">
        <x:v>M3</x:v>
      </x:c>
      <x:c r="C52" s="68" t="str">
        <x:v>Performance/Inference</x:v>
      </x:c>
      <x:c r="D52" s="68" t="str">
        <x:v>Parallelize counterfactual rollout without changing the agent</x:v>
      </x:c>
      <x:c r="E52" s="68" t="str">
        <x:v>AI-113, AI-206, AI-305</x:v>
      </x:c>
      <x:c r="F52" s="68" t="str">
        <x:v>Blocked</x:v>
      </x:c>
      <x:c r="G52" s="68" t="str">
        <x:v>3-6 days</x:v>
      </x:c>
      <x:c r="H52" s="76" t="n">
        <x:v>5</x:v>
      </x:c>
      <x:c r="I52" s="78" t="n">
        <x:f>WORKDAY(J51,1)</x:f>
        <x:v>46426</x:v>
      </x:c>
      <x:c r="J52" s="78" t="n">
        <x:f>WORKDAY(I52,H52-1)</x:f>
        <x:v>46430</x:v>
      </x:c>
      <x:c r="K52" s="68" t="str">
        <x:v>Concurrent policy and motor particles preserve equations, seeds, marginalization, and replay boundaries while reducing measured wall time.</x:v>
      </x:c>
    </x:row>
    <x:row r="53" ht="40" customHeight="1">
      <x:c r="A53" s="68" t="str">
        <x:v>AI-312</x:v>
      </x:c>
      <x:c r="B53" s="68" t="str">
        <x:v>M3</x:v>
      </x:c>
      <x:c r="C53" s="68" t="str">
        <x:v>Research Design</x:v>
      </x:c>
      <x:c r="D53" s="68" t="str">
        <x:v>Define the single-agent developmental protocol</x:v>
      </x:c>
      <x:c r="E53" s="68" t="str">
        <x:v>AI-112, AI-212, AI-305</x:v>
      </x:c>
      <x:c r="F53" s="68" t="str">
        <x:v>Blocked</x:v>
      </x:c>
      <x:c r="G53" s="68" t="str">
        <x:v>2 days</x:v>
      </x:c>
      <x:c r="H53" s="76" t="n">
        <x:v>2</x:v>
      </x:c>
      <x:c r="I53" s="78" t="n">
        <x:f>WORKDAY(J52,1)</x:f>
        <x:v>46433</x:v>
      </x:c>
      <x:c r="J53" s="78" t="n">
        <x:f>WORKDAY(I53,H53-1)</x:f>
        <x:v>46434</x:v>
      </x:c>
      <x:c r="K53" s="68" t="str">
        <x:v>Inherited parameters, individual beliefs, replay, histories, independent replicas, and online persistence have explicit experimental rules.</x:v>
      </x:c>
    </x:row>
    <x:row r="54" ht="40" customHeight="1">
      <x:c r="A54" s="68" t="str">
        <x:v>AI-313</x:v>
      </x:c>
      <x:c r="B54" s="68" t="str">
        <x:v>M3</x:v>
      </x:c>
      <x:c r="C54" s="68" t="str">
        <x:v>Research Experiments</x:v>
      </x:c>
      <x:c r="D54" s="68" t="str">
        <x:v>Run the core foveation and hierarchy ablations</x:v>
      </x:c>
      <x:c r="E54" s="68" t="str">
        <x:v>AI-306, AI-307, AI-308, AI-309, AI-310, AI-312</x:v>
      </x:c>
      <x:c r="F54" s="68" t="str">
        <x:v>Blocked</x:v>
      </x:c>
      <x:c r="G54" s="68" t="str">
        <x:v>5-8 days</x:v>
      </x:c>
      <x:c r="H54" s="76" t="n">
        <x:v>7</x:v>
      </x:c>
      <x:c r="I54" s="78" t="n">
        <x:f>WORKDAY(J53,1)</x:f>
        <x:v>46435</x:v>
      </x:c>
      <x:c r="J54" s="78" t="n">
        <x:f>WORKDAY(I54,H54-1)</x:f>
        <x:v>46443</x:v>
      </x:c>
      <x:c r="K54" s="68" t="str">
        <x:v>Matched foveation, hierarchy, timescale, embodiment, uncertainty, and passage ablations report mechanism measures and complete artifacts.</x:v>
      </x:c>
    </x:row>
    <x:row r="55" ht="40" customHeight="1">
      <x:c r="A55" s="68" t="str">
        <x:v>AI-314</x:v>
      </x:c>
      <x:c r="B55" s="68" t="str">
        <x:v>M3</x:v>
      </x:c>
      <x:c r="C55" s="68" t="str">
        <x:v>Perception/Feasibility</x:v>
      </x:c>
      <x:c r="D55" s="68" t="str">
        <x:v>Evaluate frozen pretrained perception only after baseline</x:v>
      </x:c>
      <x:c r="E55" s="68" t="str">
        <x:v>AI-214, AI-313</x:v>
      </x:c>
      <x:c r="F55" s="68" t="str">
        <x:v>Blocked</x:v>
      </x:c>
      <x:c r="G55" s="68" t="str">
        <x:v>4-7 days</x:v>
      </x:c>
      <x:c r="H55" s="76" t="n">
        <x:v>6</x:v>
      </x:c>
      <x:c r="I55" s="78" t="n">
        <x:f>WORKDAY(J54,1)</x:f>
        <x:v>46444</x:v>
      </x:c>
      <x:c r="J55" s="78" t="n">
        <x:f>WORKDAY(I55,H55-1)</x:f>
        <x:v>46451</x:v>
      </x:c>
      <x:c r="K55" s="68" t="str">
        <x:v>At most two frozen encoders are compared through the same probabilistic adapter, data split, and metrics without pretrained policy or aesthetic scores.</x:v>
      </x:c>
    </x:row>
    <x:row r="56" ht="40" customHeight="1">
      <x:c r="A56" s="68" t="str">
        <x:v>AI-315</x:v>
      </x:c>
      <x:c r="B56" s="68" t="str">
        <x:v>M3</x:v>
      </x:c>
      <x:c r="C56" s="68" t="str">
        <x:v>Validation</x:v>
      </x:c>
      <x:c r="D56" s="68" t="str">
        <x:v>Run the M3 capability-gate suite</x:v>
      </x:c>
      <x:c r="E56" s="68" t="str">
        <x:v>AI-303, AI-304, AI-306, AI-308, AI-309, AI-310, AI-311, AI-313</x:v>
      </x:c>
      <x:c r="F56" s="68" t="str">
        <x:v>Blocked</x:v>
      </x:c>
      <x:c r="G56" s="68" t="str">
        <x:v>3-5 days</x:v>
      </x:c>
      <x:c r="H56" s="76" t="n">
        <x:v>4</x:v>
      </x:c>
      <x:c r="I56" s="78" t="n">
        <x:f>WORKDAY(J55,1)</x:f>
        <x:v>46454</x:v>
      </x:c>
      <x:c r="J56" s="78" t="n">
        <x:f>WORKDAY(I56,H56-1)</x:f>
        <x:v>46457</x:v>
      </x:c>
      <x:c r="K56" s="68" t="str">
        <x:v>Partial beliefs, informative gaze, proposal convergence, slow-state causality, embodiment, rollout parity, and VFE/EFE logging pass.</x:v>
      </x:c>
    </x:row>
    <x:row r="57" ht="40" customHeight="1">
      <x:c r="A57" s="68" t="str">
        <x:v>AI-316</x:v>
      </x:c>
      <x:c r="B57" s="68" t="str">
        <x:v>M3</x:v>
      </x:c>
      <x:c r="C57" s="68" t="str">
        <x:v>Validation</x:v>
      </x:c>
      <x:c r="D57" s="68" t="str">
        <x:v>M3 lock decision</x:v>
      </x:c>
      <x:c r="E57" s="68" t="str">
        <x:v>AI-315</x:v>
      </x:c>
      <x:c r="F57" s="68" t="str">
        <x:v>Blocked</x:v>
      </x:c>
      <x:c r="G57" s="68" t="str">
        <x:v>0.5 day</x:v>
      </x:c>
      <x:c r="H57" s="76" t="n">
        <x:v>1</x:v>
      </x:c>
      <x:c r="I57" s="78" t="n">
        <x:f>WORKDAY(J56,1)</x:f>
        <x:v>46458</x:v>
      </x:c>
      <x:c r="J57" s="78" t="n">
        <x:f>WORKDAY(I57,H57-1)</x:f>
        <x:v>46458</x:v>
      </x:c>
      <x:c r="K57" s="68" t="str">
        <x:v>The core foveated hierarchical active-inference model and ablations are accepted before compositional claims or visual-transfer expansion.</x:v>
      </x:c>
    </x:row>
    <x:row r="58" ht="40" customHeight="1">
      <x:c r="A58" s="68" t="str">
        <x:v>T-801</x:v>
      </x:c>
      <x:c r="B58" s="68" t="str">
        <x:v>M8</x:v>
      </x:c>
      <x:c r="C58" s="68" t="str">
        <x:v>Research Design</x:v>
      </x:c>
      <x:c r="D58" s="68" t="str">
        <x:v>Define the study registry and evidence levels</x:v>
      </x:c>
      <x:c r="E58" s="68" t="str">
        <x:v>AI-115</x:v>
      </x:c>
      <x:c r="F58" s="68" t="str">
        <x:v>Blocked</x:v>
      </x:c>
      <x:c r="G58" s="68" t="str">
        <x:v>2 days</x:v>
      </x:c>
      <x:c r="H58" s="76" t="n">
        <x:v>2</x:v>
      </x:c>
      <x:c r="I58" s="78" t="n">
        <x:f>'Phase Data'!E9</x:f>
        <x:v>46293</x:v>
      </x:c>
      <x:c r="J58" s="78" t="n">
        <x:f>WORKDAY(I58,H58-1)</x:f>
        <x:v>46294</x:v>
      </x:c>
      <x:c r="K58" s="68" t="str">
        <x:v>Hypotheses, mechanisms, comparisons, outcomes, exclusions, readiness gates, evidence levels, and charter links are registered before confirmatory interpretation.</x:v>
      </x:c>
    </x:row>
    <x:row r="59" ht="40" customHeight="1">
      <x:c r="A59" s="68" t="str">
        <x:v>T-802</x:v>
      </x:c>
      <x:c r="B59" s="68" t="str">
        <x:v>M8</x:v>
      </x:c>
      <x:c r="C59" s="68" t="str">
        <x:v>Research Ops</x:v>
      </x:c>
      <x:c r="D59" s="68" t="str">
        <x:v>Finalize experiment manifests and inheritance rules</x:v>
      </x:c>
      <x:c r="E59" s="68" t="str">
        <x:v>T-003, AI-112, T-801</x:v>
      </x:c>
      <x:c r="F59" s="68" t="str">
        <x:v>Blocked</x:v>
      </x:c>
      <x:c r="G59" s="68" t="str">
        <x:v>2 days</x:v>
      </x:c>
      <x:c r="H59" s="76" t="n">
        <x:v>2</x:v>
      </x:c>
      <x:c r="I59" s="78" t="n">
        <x:f>WORKDAY(J58,1)</x:f>
        <x:v>46295</x:v>
      </x:c>
      <x:c r="J59" s="78" t="n">
        <x:f>WORKDAY(I59,H59-1)</x:f>
        <x:v>46296</x:v>
      </x:c>
      <x:c r="K59" s="68" t="str">
        <x:v>Complete model, data, learning, proposal, precision, backend, body, sensor, compute, history, and safety provenance determines confirmatory validity.</x:v>
      </x:c>
    </x:row>
    <x:row r="60" ht="40" customHeight="1">
      <x:c r="A60" s="68" t="str">
        <x:v>T-803</x:v>
      </x:c>
      <x:c r="B60" s="68" t="str">
        <x:v>M8</x:v>
      </x:c>
      <x:c r="C60" s="68" t="str">
        <x:v>Research Tooling</x:v>
      </x:c>
      <x:c r="D60" s="68" t="str">
        <x:v>Build the common measurement and analysis pipeline</x:v>
      </x:c>
      <x:c r="E60" s="68" t="str">
        <x:v>T-408, T-802</x:v>
      </x:c>
      <x:c r="F60" s="68" t="str">
        <x:v>Blocked</x:v>
      </x:c>
      <x:c r="G60" s="68" t="str">
        <x:v>4-6 days</x:v>
      </x:c>
      <x:c r="H60" s="76" t="n">
        <x:v>5</x:v>
      </x:c>
      <x:c r="I60" s="78" t="n">
        <x:f>WORKDAY(J59,1)</x:f>
        <x:v>46297</x:v>
      </x:c>
      <x:c r="J60" s="78" t="n">
        <x:f>WORKDAY(I60,H60-1)</x:f>
        <x:v>46303</x:v>
      </x:c>
      <x:c r="K60" s="68" t="str">
        <x:v>Versioned artifacts produce tested predictive, calibration, policy, gaze, embodiment, hierarchy, spatial-temporal, and failure summaries at valid independent-unit levels.</x:v>
      </x:c>
    </x:row>
    <x:row r="61" ht="40" customHeight="1">
      <x:c r="A61" s="68" t="str">
        <x:v>T-804</x:v>
      </x:c>
      <x:c r="B61" s="68" t="str">
        <x:v>M8</x:v>
      </x:c>
      <x:c r="C61" s="68" t="str">
        <x:v>Experimental Design</x:v>
      </x:c>
      <x:c r="D61" s="68" t="str">
        <x:v>Define replication, stopping, and analysis plans</x:v>
      </x:c>
      <x:c r="E61" s="68" t="str">
        <x:v>T-801, T-803</x:v>
      </x:c>
      <x:c r="F61" s="68" t="str">
        <x:v>Blocked</x:v>
      </x:c>
      <x:c r="G61" s="68" t="str">
        <x:v>2-3 days</x:v>
      </x:c>
      <x:c r="H61" s="76" t="n">
        <x:v>3</x:v>
      </x:c>
      <x:c r="I61" s="78" t="n">
        <x:f>WORKDAY(J60,1)</x:f>
        <x:v>46304</x:v>
      </x:c>
      <x:c r="J61" s="78" t="n">
        <x:f>WORKDAY(I61,H61-1)</x:f>
        <x:v>46308</x:v>
      </x:c>
      <x:c r="K61" s="68" t="str">
        <x:v>Pilot variance, paired replication, compute ceilings, stopping, failures, multiple comparisons, intervals, and descriptive limits are declared before confirmatory runs.</x:v>
      </x:c>
    </x:row>
    <x:row r="62" ht="40" customHeight="1">
      <x:c r="A62" s="68" t="str">
        <x:v>T-805</x:v>
      </x:c>
      <x:c r="B62" s="68" t="str">
        <x:v>M8</x:v>
      </x:c>
      <x:c r="C62" s="68" t="str">
        <x:v>Validation/Research Ops</x:v>
      </x:c>
      <x:c r="D62" s="68" t="str">
        <x:v>Maintain the capability-readiness matrix</x:v>
      </x:c>
      <x:c r="E62" s="68" t="str">
        <x:v>T-801, T-802</x:v>
      </x:c>
      <x:c r="F62" s="68" t="str">
        <x:v>Blocked</x:v>
      </x:c>
      <x:c r="G62" s="68" t="str">
        <x:v>1 day initially, then ongoing</x:v>
      </x:c>
      <x:c r="H62" s="76" t="n">
        <x:v>1</x:v>
      </x:c>
      <x:c r="I62" s="78" t="n">
        <x:f>WORKDAY(J61,1)</x:f>
        <x:v>46309</x:v>
      </x:c>
      <x:c r="J62" s="78" t="n">
        <x:f>WORKDAY(I62,H62-1)</x:f>
        <x:v>46309</x:v>
      </x:c>
      <x:c r="K62" s="68" t="str">
        <x:v>Each study is blocked or released by its exact observation, prediction, embodiment, relation, persistence, policy, and generalization evidence.</x:v>
      </x:c>
    </x:row>
    <x:row r="63" ht="40" customHeight="1">
      <x:c r="A63" s="68" t="str">
        <x:v>T-806</x:v>
      </x:c>
      <x:c r="B63" s="68" t="str">
        <x:v>M8</x:v>
      </x:c>
      <x:c r="C63" s="68" t="str">
        <x:v>Baseline Research</x:v>
      </x:c>
      <x:c r="D63" s="68" t="str">
        <x:v>Publish the formal baseline and approximation report</x:v>
      </x:c>
      <x:c r="E63" s="68" t="str">
        <x:v>AI-114, AI-115, T-802, T-803</x:v>
      </x:c>
      <x:c r="F63" s="68" t="str">
        <x:v>Blocked</x:v>
      </x:c>
      <x:c r="G63" s="68" t="str">
        <x:v>3-5 days</x:v>
      </x:c>
      <x:c r="H63" s="76" t="n">
        <x:v>4</x:v>
      </x:c>
      <x:c r="I63" s="78" t="n">
        <x:f>WORKDAY(J62,1)</x:f>
        <x:v>46310</x:v>
      </x:c>
      <x:c r="J63" s="78" t="n">
        <x:f>WORKDAY(I63,H63-1)</x:f>
        <x:v>46315</x:v>
      </x:c>
      <x:c r="K63" s="68" t="str">
        <x:v>The factorization, access boundary, fixtures, calibration, proposals, preferences, inheritance, runtime, approximations, replicas, and failures define the baseline.</x:v>
      </x:c>
    </x:row>
    <x:row r="64" ht="40" customHeight="1">
      <x:c r="A64" s="68" t="str">
        <x:v>T-816</x:v>
      </x:c>
      <x:c r="B64" s="68" t="str">
        <x:v>M8</x:v>
      </x:c>
      <x:c r="C64" s="68" t="str">
        <x:v>Research Communication/Art</x:v>
      </x:c>
      <x:c r="D64" s="68" t="str">
        <x:v>Define qualitative and conceptual-artifact protocol</x:v>
      </x:c>
      <x:c r="E64" s="68" t="str">
        <x:v>T-803</x:v>
      </x:c>
      <x:c r="F64" s="68" t="str">
        <x:v>Blocked</x:v>
      </x:c>
      <x:c r="G64" s="68" t="str">
        <x:v>2-3 days</x:v>
      </x:c>
      <x:c r="H64" s="76" t="n">
        <x:v>3</x:v>
      </x:c>
      <x:c r="I64" s="78" t="n">
        <x:f>WORKDAY(J63,1)</x:f>
        <x:v>46316</x:v>
      </x:c>
      <x:c r="J64" s="78" t="n">
        <x:f>WORKDAY(I64,H64-1)</x:f>
        <x:v>46318</x:v>
      </x:c>
      <x:c r="K64" s="68" t="str">
        <x:v>Complete, interrupted, failed, and representative canvases have synchronized traces, predeclared selection, no optimization feedback, and honest interpretive limits.</x:v>
      </x:c>
    </x:row>
    <x:row r="65" ht="40" customHeight="1">
      <x:c r="A65" s="68" t="str">
        <x:v>T-807</x:v>
      </x:c>
      <x:c r="B65" s="68" t="str">
        <x:v>M8</x:v>
      </x:c>
      <x:c r="C65" s="68" t="str">
        <x:v>Research/Active Vision</x:v>
      </x:c>
      <x:c r="D65" s="68" t="str">
        <x:v>Test H1: active foveation</x:v>
      </x:c>
      <x:c r="E65" s="68" t="str">
        <x:v>AI-304, AI-313, T-804, T-805</x:v>
      </x:c>
      <x:c r="F65" s="68" t="str">
        <x:v>Blocked</x:v>
      </x:c>
      <x:c r="G65" s="68" t="str">
        <x:v>5-8 days plus runs</x:v>
      </x:c>
      <x:c r="H65" s="76" t="n">
        <x:v>7</x:v>
      </x:c>
      <x:c r="I65" s="78" t="n">
        <x:f>MAX(WORKDAY(J64,1),'Phase Data'!E10)</x:f>
        <x:v>46496</x:v>
      </x:c>
      <x:c r="J65" s="78" t="n">
        <x:f>WORKDAY(I65,H65-1)</x:f>
        <x:v>46504</x:v>
      </x:c>
      <x:c r="K65" s="68" t="str">
        <x:v>Active, random, and uniform gaze are matched and compared for ambiguity, calibration, prediction, fixation pathology, and long-range spatial effects.</x:v>
      </x:c>
    </x:row>
    <x:row r="66" ht="40" customHeight="1">
      <x:c r="A66" s="68" t="str">
        <x:v>T-808</x:v>
      </x:c>
      <x:c r="B66" s="68" t="str">
        <x:v>M8</x:v>
      </x:c>
      <x:c r="C66" s="68" t="str">
        <x:v>Research/Embodiment</x:v>
      </x:c>
      <x:c r="D66" s="68" t="str">
        <x:v>Test H2: embodied motor prediction</x:v>
      </x:c>
      <x:c r="E66" s="68" t="str">
        <x:v>AI-308, AI-313, T-804, T-805</x:v>
      </x:c>
      <x:c r="F66" s="68" t="str">
        <x:v>Blocked</x:v>
      </x:c>
      <x:c r="G66" s="68" t="str">
        <x:v>5-8 days plus runs</x:v>
      </x:c>
      <x:c r="H66" s="76" t="n">
        <x:v>7</x:v>
      </x:c>
      <x:c r="I66" s="78" t="n">
        <x:f>WORKDAY(J65,1)</x:f>
        <x:v>46505</x:v>
      </x:c>
      <x:c r="J66" s="78" t="n">
        <x:f>WORKDAY(I66,H66-1)</x:f>
        <x:v>46513</x:v>
      </x:c>
      <x:c r="K66" s="68" t="str">
        <x:v>Cartesian and body-aware inference are compared under matched canvas alternatives for motor outcomes, policies, geometry, residuals, perturbations, and inactivity pathology.</x:v>
      </x:c>
    </x:row>
    <x:row r="67" ht="40" customHeight="1">
      <x:c r="A67" s="68" t="str">
        <x:v>T-809</x:v>
      </x:c>
      <x:c r="B67" s="68" t="str">
        <x:v>M8</x:v>
      </x:c>
      <x:c r="C67" s="68" t="str">
        <x:v>Research/Hierarchy</x:v>
      </x:c>
      <x:c r="D67" s="68" t="str">
        <x:v>Test H3: slow latent temporal persistence</x:v>
      </x:c>
      <x:c r="E67" s="68" t="str">
        <x:v>AI-310, AI-313, T-804, T-805</x:v>
      </x:c>
      <x:c r="F67" s="68" t="str">
        <x:v>Blocked</x:v>
      </x:c>
      <x:c r="G67" s="68" t="str">
        <x:v>6-10 days plus runs</x:v>
      </x:c>
      <x:c r="H67" s="76" t="n">
        <x:v>8</x:v>
      </x:c>
      <x:c r="I67" s="78" t="n">
        <x:f>WORKDAY(J66,1)</x:f>
        <x:v>46514</x:v>
      </x:c>
      <x:c r="J67" s="78" t="n">
        <x:f>WORKDAY(I67,H67-1)</x:f>
        <x:v>46525</x:v>
      </x:c>
      <x:c r="K67" s="68" t="str">
        <x:v>Fast, slow, frozen, shuffled, and reset conditions test predictive information and later policy effects beyond the current canvas.</x:v>
      </x:c>
    </x:row>
    <x:row r="68" ht="40" customHeight="1">
      <x:c r="A68" s="68" t="str">
        <x:v>T-810</x:v>
      </x:c>
      <x:c r="B68" s="68" t="str">
        <x:v>M8</x:v>
      </x:c>
      <x:c r="C68" s="68" t="str">
        <x:v>Research/Relational Inference</x:v>
      </x:c>
      <x:c r="D68" s="68" t="str">
        <x:v>Test H4: relational nonsemantic representation</x:v>
      </x:c>
      <x:c r="E68" s="68" t="str">
        <x:v>AI-209, AI-313, T-804, T-805</x:v>
      </x:c>
      <x:c r="F68" s="68" t="str">
        <x:v>Blocked</x:v>
      </x:c>
      <x:c r="G68" s="68" t="str">
        <x:v>5-8 days plus runs</x:v>
      </x:c>
      <x:c r="H68" s="76" t="n">
        <x:v>7</x:v>
      </x:c>
      <x:c r="I68" s="78" t="n">
        <x:f>WORKDAY(J67,1)</x:f>
        <x:v>46526</x:v>
      </x:c>
      <x:c r="J68" s="78" t="n">
        <x:f>WORKDAY(I68,H68-1)</x:f>
        <x:v>46534</x:v>
      </x:c>
      <x:c r="K68" s="68" t="str">
        <x:v>Local, diagnostic, and uncertain relational models face spatial interventions and held-out separated-event prediction without aesthetic targets.</x:v>
      </x:c>
    </x:row>
    <x:row r="69" ht="40" customHeight="1">
      <x:c r="A69" s="68" t="str">
        <x:v>T-811</x:v>
      </x:c>
      <x:c r="B69" s="68" t="str">
        <x:v>M8</x:v>
      </x:c>
      <x:c r="C69" s="68" t="str">
        <x:v>Research/Epistemic Policy</x:v>
      </x:c>
      <x:c r="D69" s="68" t="str">
        <x:v>Test H5: epistemic action and pathology</x:v>
      </x:c>
      <x:c r="E69" s="68" t="str">
        <x:v>AI-309, AI-313, T-804, T-805</x:v>
      </x:c>
      <x:c r="F69" s="68" t="str">
        <x:v>Blocked</x:v>
      </x:c>
      <x:c r="G69" s="68" t="str">
        <x:v>5-8 days plus runs</x:v>
      </x:c>
      <x:c r="H69" s="76" t="n">
        <x:v>7</x:v>
      </x:c>
      <x:c r="I69" s="78" t="n">
        <x:f>WORKDAY(J68,1)</x:f>
        <x:v>46535</x:v>
      </x:c>
      <x:c r="J69" s="78" t="n">
        <x:f>WORKDAY(I69,H69-1)</x:f>
        <x:v>46545</x:v>
      </x:c>
      <x:c r="K69" s="68" t="str">
        <x:v>Reducible ambiguity, noise, misspecification, reachability, repetition, uncertainty variants, useful information gain, and epistemic pathologies are compared.</x:v>
      </x:c>
    </x:row>
    <x:row r="70" ht="40" customHeight="1">
      <x:c r="A70" s="68" t="str">
        <x:v>T-812</x:v>
      </x:c>
      <x:c r="B70" s="68" t="str">
        <x:v>M8</x:v>
      </x:c>
      <x:c r="C70" s="68" t="str">
        <x:v>Research/Pretraining</x:v>
      </x:c>
      <x:c r="D70" s="68" t="str">
        <x:v>Test H6: inherited pretrained perception</x:v>
      </x:c>
      <x:c r="E70" s="68" t="str">
        <x:v>AI-314, T-804, T-805</x:v>
      </x:c>
      <x:c r="F70" s="68" t="str">
        <x:v>Blocked</x:v>
      </x:c>
      <x:c r="G70" s="68" t="str">
        <x:v>5-8 days plus runs</x:v>
      </x:c>
      <x:c r="H70" s="76" t="n">
        <x:v>7</x:v>
      </x:c>
      <x:c r="I70" s="78" t="n">
        <x:f>WORKDAY(J69,1)</x:f>
        <x:v>46546</x:v>
      </x:c>
      <x:c r="J70" s="78" t="n">
        <x:f>WORKDAY(I70,H70-1)</x:f>
        <x:v>46554</x:v>
      </x:c>
      <x:c r="K70" s="68" t="str">
        <x:v>At most two frozen encoders face the same probabilistic adapter, data, policy, and metrics for gain, calibration, cost, sample efficiency, and imported invariance.</x:v>
      </x:c>
    </x:row>
    <x:row r="71" ht="40" customHeight="1">
      <x:c r="A71" s="68" t="str">
        <x:v>T-813</x:v>
      </x:c>
      <x:c r="B71" s="68" t="str">
        <x:v>M8</x:v>
      </x:c>
      <x:c r="C71" s="68" t="str">
        <x:v>Research/Continual Learning</x:v>
      </x:c>
      <x:c r="D71" s="68" t="str">
        <x:v>Test online development and inheritance</x:v>
      </x:c>
      <x:c r="E71" s="68" t="str">
        <x:v>AI-312, T-802, T-804, T-805</x:v>
      </x:c>
      <x:c r="F71" s="68" t="str">
        <x:v>Blocked</x:v>
      </x:c>
      <x:c r="G71" s="68" t="str">
        <x:v>6-10 days plus long runs</x:v>
      </x:c>
      <x:c r="H71" s="76" t="n">
        <x:v>8</x:v>
      </x:c>
      <x:c r="I71" s="78" t="n">
        <x:f>WORKDAY(J70,1)</x:f>
        <x:v>46555</x:v>
      </x:c>
      <x:c r="J71" s="78" t="n">
        <x:f>WORKDAY(I71,H71-1)</x:f>
        <x:v>46566</x:v>
      </x:c>
      <x:c r="K71" s="68" t="str">
        <x:v>Separate agent histories compare initialization, freezing, online learning, and replay for prediction, drift, forgetting, policy change, and early-output dependence.</x:v>
      </x:c>
    </x:row>
    <x:row r="72" ht="40" customHeight="1">
      <x:c r="A72" s="68" t="str">
        <x:v>T-814</x:v>
      </x:c>
      <x:c r="B72" s="68" t="str">
        <x:v>M8</x:v>
      </x:c>
      <x:c r="C72" s="68" t="str">
        <x:v>Research/Interactions</x:v>
      </x:c>
      <x:c r="D72" s="68" t="str">
        <x:v>Run selected interaction studies</x:v>
      </x:c>
      <x:c r="E72" s="68" t="str">
        <x:v>T-807, T-808, T-809, T-810, T-811</x:v>
      </x:c>
      <x:c r="F72" s="68" t="str">
        <x:v>Blocked</x:v>
      </x:c>
      <x:c r="G72" s="68" t="str">
        <x:v>6-10 days plus runs</x:v>
      </x:c>
      <x:c r="H72" s="76" t="n">
        <x:v>8</x:v>
      </x:c>
      <x:c r="I72" s="78" t="n">
        <x:f>WORKDAY(J71,1)</x:f>
        <x:v>46567</x:v>
      </x:c>
      <x:c r="J72" s="78" t="n">
        <x:f>WORKDAY(I72,H72-1)</x:f>
        <x:v>46576</x:v>
      </x:c>
      <x:c r="K72" s="68" t="str">
        <x:v>Only interactions motivated by single-mechanism evidence enter a predeclared affordable comparison matrix.</x:v>
      </x:c>
    </x:row>
    <x:row r="73" ht="40" customHeight="1">
      <x:c r="A73" s="68" t="str">
        <x:v>T-815</x:v>
      </x:c>
      <x:c r="B73" s="68" t="str">
        <x:v>M8</x:v>
      </x:c>
      <x:c r="C73" s="68" t="str">
        <x:v>Research/Transfer</x:v>
      </x:c>
      <x:c r="D73" s="68" t="str">
        <x:v>Run simulator and hardware transfer studies</x:v>
      </x:c>
      <x:c r="E73" s="68" t="str">
        <x:v>M2, T-410, T-716, T-804, T-805</x:v>
      </x:c>
      <x:c r="F73" s="68" t="str">
        <x:v>Blocked</x:v>
      </x:c>
      <x:c r="G73" s="68" t="str">
        <x:v>6-10 days plus hardware time</x:v>
      </x:c>
      <x:c r="H73" s="76" t="n">
        <x:v>8</x:v>
      </x:c>
      <x:c r="I73" s="78" t="n">
        <x:f>MAX(WORKDAY(J72,1),WORKDAY('Hardware Tasks'!J49,1))</x:f>
        <x:v>46577</x:v>
      </x:c>
      <x:c r="J73" s="78" t="n">
        <x:f>WORKDAY(I73,H73-1)</x:f>
        <x:v>46588</x:v>
      </x:c>
      <x:c r="K73" s="68" t="str">
        <x:v>Native, MuJoCo, recorded, and live hardware compare matched observations, predictions, calibration, beliefs, VFE/EFE, policies, consequences, and localized mismatch.</x:v>
      </x:c>
    </x:row>
    <x:row r="74" ht="40" customHeight="1">
      <x:c r="A74" s="68" t="str">
        <x:v>T-817</x:v>
      </x:c>
      <x:c r="B74" s="68" t="str">
        <x:v>M8</x:v>
      </x:c>
      <x:c r="C74" s="68" t="str">
        <x:v>Research Synthesis</x:v>
      </x:c>
      <x:c r="D74" s="68" t="str">
        <x:v>M8 synthesis and research-decision gate</x:v>
      </x:c>
      <x:c r="E74" s="68" t="str">
        <x:v>T-806, T-807, T-808, T-809, T-810, T-811, T-812, T-813, T-814, T-815, T-816</x:v>
      </x:c>
      <x:c r="F74" s="68" t="str">
        <x:v>Blocked</x:v>
      </x:c>
      <x:c r="G74" s="68" t="str">
        <x:v>5-8 days</x:v>
      </x:c>
      <x:c r="H74" s="76" t="n">
        <x:v>7</x:v>
      </x:c>
      <x:c r="I74" s="78" t="n">
        <x:f>WORKDAY(J73,1)</x:f>
        <x:v>46589</x:v>
      </x:c>
      <x:c r="J74" s="78" t="n">
        <x:f>WORKDAY(I74,H74-1)</x:f>
        <x:v>46597</x:v>
      </x:c>
      <x:c r="K74" s="68" t="str">
        <x:v>Hypothesis evidence, failures, imports, engineering contributions, negative results, ambiguity, and the next feasible high-information direction are reported separately.</x:v>
      </x:c>
    </x:row>
  </x:sheetData>
  <x:mergeCells>
    <x:mergeCell ref="A1:K1"/>
    <x:mergeCell ref="A2:K2"/>
  </x:mergeCells>
  <x:dataValidations count="1">
    <x:dataValidation type="list" sqref="F5:F74">
      <x:formula1>"Ready,Backlog,Blocked,Active,Validate,Done"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924f4990a740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4" hidden="0" customWidth="1"/>
    <x:col min="4" max="4" width="40" hidden="0" customWidth="1"/>
    <x:col min="5" max="5" width="24" hidden="0" customWidth="1"/>
    <x:col min="6" max="6" width="11" hidden="0" customWidth="1"/>
    <x:col min="7" max="7" width="13" hidden="0" customWidth="1"/>
    <x:col min="8" max="8" width="13" hidden="0" customWidth="1"/>
    <x:col min="9" max="9" width="4.599999904632568" hidden="0" customWidth="1"/>
    <x:col min="10" max="10" width="4.599999904632568" hidden="0" customWidth="1"/>
    <x:col min="11" max="11" width="4.599999904632568" hidden="0" customWidth="1"/>
    <x:col min="12" max="12" width="4.599999904632568" hidden="0" customWidth="1"/>
    <x:col min="13" max="13" width="4.599999904632568" hidden="0" customWidth="1"/>
    <x:col min="14" max="14" width="4.599999904632568" hidden="0" customWidth="1"/>
    <x:col min="15" max="15" width="4.599999904632568" hidden="0" customWidth="1"/>
    <x:col min="16" max="16" width="4.599999904632568" hidden="0" customWidth="1"/>
    <x:col min="17" max="17" width="4.599999904632568" hidden="0" customWidth="1"/>
    <x:col min="18" max="18" width="4.599999904632568" hidden="0" customWidth="1"/>
    <x:col min="19" max="19" width="4.599999904632568" hidden="0" customWidth="1"/>
    <x:col min="20" max="20" width="4.599999904632568" hidden="0" customWidth="1"/>
    <x:col min="21" max="21" width="4.599999904632568" hidden="0" customWidth="1"/>
  </x:cols>
  <x:sheetData>
    <x:row r="1" ht="34" customHeight="1">
      <x:c r="A1" s="3" t="str">
        <x:v>Simulation &amp; Observatory Weekly Gantt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S0-S2 and M4: plant contract, MuJoCo support, backend parity, and the experimental observatory. Overlap is an interleaving envelope for one investigator, not parallel staffing.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>
      <x:c r="A4" s="121" t="str">
        <x:v>ID</x:v>
      </x:c>
      <x:c r="B4" s="122" t="str">
        <x:v>Milestone</x:v>
      </x:c>
      <x:c r="C4" s="122" t="str">
        <x:v>Track</x:v>
      </x:c>
      <x:c r="D4" s="122" t="str">
        <x:v>Task</x:v>
      </x:c>
      <x:c r="E4" s="122" t="str">
        <x:v>Dependencies</x:v>
      </x:c>
      <x:c r="F4" s="122" t="str">
        <x:v>Status</x:v>
      </x:c>
      <x:c r="G4" s="122" t="str">
        <x:v>Start</x:v>
      </x:c>
      <x:c r="H4" s="123" t="str">
        <x:v>Finish</x:v>
      </x:c>
      <x:c r="I4" s="133" t="str">
        <x:v>Aug 2026</x:v>
      </x:c>
      <x:c r="J4" s="134"/>
      <x:c r="K4" s="134"/>
      <x:c r="L4" s="134"/>
      <x:c r="M4" s="135"/>
      <x:c r="N4" s="133" t="str">
        <x:v>Sep 2026</x:v>
      </x:c>
      <x:c r="O4" s="134"/>
      <x:c r="P4" s="134"/>
      <x:c r="Q4" s="135"/>
      <x:c r="R4" s="133" t="str">
        <x:v>Oct 2026</x:v>
      </x:c>
      <x:c r="S4" s="134"/>
      <x:c r="T4" s="134"/>
      <x:c r="U4" s="135"/>
    </x:row>
    <x:row r="5">
      <x:c r="A5" s="124"/>
      <x:c r="B5" s="125"/>
      <x:c r="C5" s="125"/>
      <x:c r="D5" s="125"/>
      <x:c r="E5" s="125"/>
      <x:c r="F5" s="125"/>
      <x:c r="G5" s="125"/>
      <x:c r="H5" s="126"/>
      <x:c r="I5" s="148" t="str">
        <x:v>Week commencing</x:v>
      </x:c>
      <x:c r="J5" s="148"/>
      <x:c r="K5" s="148"/>
      <x:c r="L5" s="148"/>
      <x:c r="M5" s="148"/>
      <x:c r="N5" s="148"/>
      <x:c r="O5" s="148"/>
      <x:c r="P5" s="148"/>
      <x:c r="Q5" s="148"/>
      <x:c r="R5" s="148"/>
      <x:c r="S5" s="148"/>
      <x:c r="T5" s="148"/>
      <x:c r="U5" s="148"/>
    </x:row>
    <x:row r="6">
      <x:c r="A6" s="127"/>
      <x:c r="B6" s="128"/>
      <x:c r="C6" s="128"/>
      <x:c r="D6" s="128"/>
      <x:c r="E6" s="128"/>
      <x:c r="F6" s="128"/>
      <x:c r="G6" s="128"/>
      <x:c r="H6" s="129"/>
      <x:c r="I6" s="153" t="n">
        <x:v>46237</x:v>
      </x:c>
      <x:c r="J6" s="153" t="n">
        <x:v>46244</x:v>
      </x:c>
      <x:c r="K6" s="153" t="n">
        <x:v>46251</x:v>
      </x:c>
      <x:c r="L6" s="153" t="n">
        <x:v>46258</x:v>
      </x:c>
      <x:c r="M6" s="153" t="n">
        <x:v>46265</x:v>
      </x:c>
      <x:c r="N6" s="153" t="n">
        <x:v>46272</x:v>
      </x:c>
      <x:c r="O6" s="153" t="n">
        <x:v>46279</x:v>
      </x:c>
      <x:c r="P6" s="153" t="n">
        <x:v>46286</x:v>
      </x:c>
      <x:c r="Q6" s="153" t="n">
        <x:v>46293</x:v>
      </x:c>
      <x:c r="R6" s="153" t="n">
        <x:v>46300</x:v>
      </x:c>
      <x:c r="S6" s="153" t="n">
        <x:v>46307</x:v>
      </x:c>
      <x:c r="T6" s="153" t="n">
        <x:v>46314</x:v>
      </x:c>
      <x:c r="U6" s="153" t="n">
        <x:v>46321</x:v>
      </x:c>
    </x:row>
    <x:row r="7" ht="24" customHeight="1">
      <x:c r="A7" s="65" t="str">
        <x:f>'Simulation Tasks'!A5</x:f>
        <x:v>T-101</x:v>
      </x:c>
      <x:c r="B7" s="65" t="str">
        <x:f>'Simulation Tasks'!B5</x:f>
        <x:v>S0</x:v>
      </x:c>
      <x:c r="C7" s="65" t="str">
        <x:f>'Simulation Tasks'!C5</x:f>
        <x:v>Simulation</x:v>
      </x:c>
      <x:c r="D7" s="65" t="str">
        <x:f>'Simulation Tasks'!D5</x:f>
        <x:v>Confirm Python arm sim as canonical abstract reference</x:v>
      </x:c>
      <x:c r="E7" s="65" t="str">
        <x:f>'Simulation Tasks'!E5</x:f>
        <x:v>M0</x:v>
      </x:c>
      <x:c r="F7" s="65" t="str">
        <x:f>'Simulation Tasks'!F5</x:f>
        <x:v>Done</x:v>
      </x:c>
      <x:c r="G7" s="93" t="n">
        <x:f>'Simulation Tasks'!I5</x:f>
        <x:v>46237</x:v>
      </x:c>
      <x:c r="H7" s="93" t="n">
        <x:f>'Simulation Tasks'!J5</x:f>
        <x:v>46237</x:v>
      </x:c>
      <x:c r="I7" s="163" t="n">
        <x:f>IF(AND(I$6&lt;=$H7,I$6+6&gt;=$G7),1,"")</x:f>
        <x:v>1</x:v>
      </x:c>
      <x:c r="J7" s="164" t="str">
        <x:f>IF(AND(J$6&lt;=$H7,J$6+6&gt;=$G7),1,"")</x:f>
      </x:c>
      <x:c r="K7" s="164" t="str">
        <x:f>IF(AND(K$6&lt;=$H7,K$6+6&gt;=$G7),1,"")</x:f>
      </x:c>
      <x:c r="L7" s="164" t="str">
        <x:f>IF(AND(L$6&lt;=$H7,L$6+6&gt;=$G7),1,"")</x:f>
      </x:c>
      <x:c r="M7" s="164" t="str">
        <x:f>IF(AND(M$6&lt;=$H7,M$6+6&gt;=$G7),1,"")</x:f>
      </x:c>
      <x:c r="N7" s="164" t="str">
        <x:f>IF(AND(N$6&lt;=$H7,N$6+6&gt;=$G7),1,"")</x:f>
      </x:c>
      <x:c r="O7" s="164" t="str">
        <x:f>IF(AND(O$6&lt;=$H7,O$6+6&gt;=$G7),1,"")</x:f>
      </x:c>
      <x:c r="P7" s="164" t="str">
        <x:f>IF(AND(P$6&lt;=$H7,P$6+6&gt;=$G7),1,"")</x:f>
      </x:c>
      <x:c r="Q7" s="164" t="str">
        <x:f>IF(AND(Q$6&lt;=$H7,Q$6+6&gt;=$G7),1,"")</x:f>
      </x:c>
      <x:c r="R7" s="164" t="str">
        <x:f>IF(AND(R$6&lt;=$H7,R$6+6&gt;=$G7),1,"")</x:f>
      </x:c>
      <x:c r="S7" s="164" t="str">
        <x:f>IF(AND(S$6&lt;=$H7,S$6+6&gt;=$G7),1,"")</x:f>
      </x:c>
      <x:c r="T7" s="164" t="str">
        <x:f>IF(AND(T$6&lt;=$H7,T$6+6&gt;=$G7),1,"")</x:f>
      </x:c>
      <x:c r="U7" s="165" t="str">
        <x:f>IF(AND(U$6&lt;=$H7,U$6+6&gt;=$G7),1,"")</x:f>
      </x:c>
    </x:row>
    <x:row r="8" ht="24" customHeight="1">
      <x:c r="A8" s="68" t="str">
        <x:f>'Simulation Tasks'!A6</x:f>
        <x:v>T-102</x:v>
      </x:c>
      <x:c r="B8" s="68" t="str">
        <x:f>'Simulation Tasks'!B6</x:f>
        <x:v>S0</x:v>
      </x:c>
      <x:c r="C8" s="68" t="str">
        <x:f>'Simulation Tasks'!C6</x:f>
        <x:v>Painting Model</x:v>
      </x:c>
      <x:c r="D8" s="68" t="str">
        <x:f>'Simulation Tasks'!D6</x:f>
        <x:v>Version and protect canvas material invariants</x:v>
      </x:c>
      <x:c r="E8" s="68" t="str">
        <x:f>'Simulation Tasks'!E6</x:f>
        <x:v>M0</x:v>
      </x:c>
      <x:c r="F8" s="68" t="str">
        <x:f>'Simulation Tasks'!F6</x:f>
        <x:v>Done</x:v>
      </x:c>
      <x:c r="G8" s="94" t="n">
        <x:f>'Simulation Tasks'!I6</x:f>
        <x:v>46238</x:v>
      </x:c>
      <x:c r="H8" s="94" t="n">
        <x:f>'Simulation Tasks'!J6</x:f>
        <x:v>46238</x:v>
      </x:c>
      <x:c r="I8" s="166" t="n">
        <x:f>IF(AND(I$6&lt;=$H8,I$6+6&gt;=$G8),1,"")</x:f>
        <x:v>1</x:v>
      </x:c>
      <x:c r="J8" s="167" t="str">
        <x:f>IF(AND(J$6&lt;=$H8,J$6+6&gt;=$G8),1,"")</x:f>
      </x:c>
      <x:c r="K8" s="167" t="str">
        <x:f>IF(AND(K$6&lt;=$H8,K$6+6&gt;=$G8),1,"")</x:f>
      </x:c>
      <x:c r="L8" s="167" t="str">
        <x:f>IF(AND(L$6&lt;=$H8,L$6+6&gt;=$G8),1,"")</x:f>
      </x:c>
      <x:c r="M8" s="167" t="str">
        <x:f>IF(AND(M$6&lt;=$H8,M$6+6&gt;=$G8),1,"")</x:f>
      </x:c>
      <x:c r="N8" s="167" t="str">
        <x:f>IF(AND(N$6&lt;=$H8,N$6+6&gt;=$G8),1,"")</x:f>
      </x:c>
      <x:c r="O8" s="167" t="str">
        <x:f>IF(AND(O$6&lt;=$H8,O$6+6&gt;=$G8),1,"")</x:f>
      </x:c>
      <x:c r="P8" s="167" t="str">
        <x:f>IF(AND(P$6&lt;=$H8,P$6+6&gt;=$G8),1,"")</x:f>
      </x:c>
      <x:c r="Q8" s="167" t="str">
        <x:f>IF(AND(Q$6&lt;=$H8,Q$6+6&gt;=$G8),1,"")</x:f>
      </x:c>
      <x:c r="R8" s="167" t="str">
        <x:f>IF(AND(R$6&lt;=$H8,R$6+6&gt;=$G8),1,"")</x:f>
      </x:c>
      <x:c r="S8" s="167" t="str">
        <x:f>IF(AND(S$6&lt;=$H8,S$6+6&gt;=$G8),1,"")</x:f>
      </x:c>
      <x:c r="T8" s="167" t="str">
        <x:f>IF(AND(T$6&lt;=$H8,T$6+6&gt;=$G8),1,"")</x:f>
      </x:c>
      <x:c r="U8" s="168" t="str">
        <x:f>IF(AND(U$6&lt;=$H8,U$6+6&gt;=$G8),1,"")</x:f>
      </x:c>
    </x:row>
    <x:row r="9" ht="24" customHeight="1">
      <x:c r="A9" s="68" t="str">
        <x:f>'Simulation Tasks'!A7</x:f>
        <x:v>T-103</x:v>
      </x:c>
      <x:c r="B9" s="68" t="str">
        <x:f>'Simulation Tasks'!B7</x:f>
        <x:v>S0</x:v>
      </x:c>
      <x:c r="C9" s="68" t="str">
        <x:f>'Simulation Tasks'!C7</x:f>
        <x:v>Control</x:v>
      </x:c>
      <x:c r="D9" s="68" t="str">
        <x:f>'Simulation Tasks'!D7</x:f>
        <x:v>Define controller, plant, and policy interfaces</x:v>
      </x:c>
      <x:c r="E9" s="68" t="str">
        <x:f>'Simulation Tasks'!E7</x:f>
        <x:v>T-101</x:v>
      </x:c>
      <x:c r="F9" s="68" t="str">
        <x:f>'Simulation Tasks'!F7</x:f>
        <x:v>Done</x:v>
      </x:c>
      <x:c r="G9" s="94" t="n">
        <x:f>'Simulation Tasks'!I7</x:f>
        <x:v>46239</x:v>
      </x:c>
      <x:c r="H9" s="94" t="n">
        <x:f>'Simulation Tasks'!J7</x:f>
        <x:v>46239</x:v>
      </x:c>
      <x:c r="I9" s="166" t="n">
        <x:f>IF(AND(I$6&lt;=$H9,I$6+6&gt;=$G9),1,"")</x:f>
        <x:v>1</x:v>
      </x:c>
      <x:c r="J9" s="167" t="str">
        <x:f>IF(AND(J$6&lt;=$H9,J$6+6&gt;=$G9),1,"")</x:f>
      </x:c>
      <x:c r="K9" s="167" t="str">
        <x:f>IF(AND(K$6&lt;=$H9,K$6+6&gt;=$G9),1,"")</x:f>
      </x:c>
      <x:c r="L9" s="167" t="str">
        <x:f>IF(AND(L$6&lt;=$H9,L$6+6&gt;=$G9),1,"")</x:f>
      </x:c>
      <x:c r="M9" s="167" t="str">
        <x:f>IF(AND(M$6&lt;=$H9,M$6+6&gt;=$G9),1,"")</x:f>
      </x:c>
      <x:c r="N9" s="167" t="str">
        <x:f>IF(AND(N$6&lt;=$H9,N$6+6&gt;=$G9),1,"")</x:f>
      </x:c>
      <x:c r="O9" s="167" t="str">
        <x:f>IF(AND(O$6&lt;=$H9,O$6+6&gt;=$G9),1,"")</x:f>
      </x:c>
      <x:c r="P9" s="167" t="str">
        <x:f>IF(AND(P$6&lt;=$H9,P$6+6&gt;=$G9),1,"")</x:f>
      </x:c>
      <x:c r="Q9" s="167" t="str">
        <x:f>IF(AND(Q$6&lt;=$H9,Q$6+6&gt;=$G9),1,"")</x:f>
      </x:c>
      <x:c r="R9" s="167" t="str">
        <x:f>IF(AND(R$6&lt;=$H9,R$6+6&gt;=$G9),1,"")</x:f>
      </x:c>
      <x:c r="S9" s="167" t="str">
        <x:f>IF(AND(S$6&lt;=$H9,S$6+6&gt;=$G9),1,"")</x:f>
      </x:c>
      <x:c r="T9" s="167" t="str">
        <x:f>IF(AND(T$6&lt;=$H9,T$6+6&gt;=$G9),1,"")</x:f>
      </x:c>
      <x:c r="U9" s="168" t="str">
        <x:f>IF(AND(U$6&lt;=$H9,U$6+6&gt;=$G9),1,"")</x:f>
      </x:c>
    </x:row>
    <x:row r="10" ht="24" customHeight="1">
      <x:c r="A10" s="68" t="str">
        <x:f>'Simulation Tasks'!A8</x:f>
        <x:v>T-104</x:v>
      </x:c>
      <x:c r="B10" s="68" t="str">
        <x:f>'Simulation Tasks'!B8</x:f>
        <x:v>S0</x:v>
      </x:c>
      <x:c r="C10" s="68" t="str">
        <x:f>'Simulation Tasks'!C8</x:f>
        <x:v>Validation</x:v>
      </x:c>
      <x:c r="D10" s="68" t="str">
        <x:f>'Simulation Tasks'!D8</x:f>
        <x:v>Record full baseline test result</x:v>
      </x:c>
      <x:c r="E10" s="68" t="str">
        <x:f>'Simulation Tasks'!E8</x:f>
        <x:v>T-101, T-102, T-103</x:v>
      </x:c>
      <x:c r="F10" s="68" t="str">
        <x:f>'Simulation Tasks'!F8</x:f>
        <x:v>Done</x:v>
      </x:c>
      <x:c r="G10" s="94" t="n">
        <x:f>'Simulation Tasks'!I8</x:f>
        <x:v>46240</x:v>
      </x:c>
      <x:c r="H10" s="94" t="n">
        <x:f>'Simulation Tasks'!J8</x:f>
        <x:v>46240</x:v>
      </x:c>
      <x:c r="I10" s="166" t="n">
        <x:f>IF(AND(I$6&lt;=$H10,I$6+6&gt;=$G10),1,"")</x:f>
        <x:v>1</x:v>
      </x:c>
      <x:c r="J10" s="167" t="str">
        <x:f>IF(AND(J$6&lt;=$H10,J$6+6&gt;=$G10),1,"")</x:f>
      </x:c>
      <x:c r="K10" s="167" t="str">
        <x:f>IF(AND(K$6&lt;=$H10,K$6+6&gt;=$G10),1,"")</x:f>
      </x:c>
      <x:c r="L10" s="167" t="str">
        <x:f>IF(AND(L$6&lt;=$H10,L$6+6&gt;=$G10),1,"")</x:f>
      </x:c>
      <x:c r="M10" s="167" t="str">
        <x:f>IF(AND(M$6&lt;=$H10,M$6+6&gt;=$G10),1,"")</x:f>
      </x:c>
      <x:c r="N10" s="167" t="str">
        <x:f>IF(AND(N$6&lt;=$H10,N$6+6&gt;=$G10),1,"")</x:f>
      </x:c>
      <x:c r="O10" s="167" t="str">
        <x:f>IF(AND(O$6&lt;=$H10,O$6+6&gt;=$G10),1,"")</x:f>
      </x:c>
      <x:c r="P10" s="167" t="str">
        <x:f>IF(AND(P$6&lt;=$H10,P$6+6&gt;=$G10),1,"")</x:f>
      </x:c>
      <x:c r="Q10" s="167" t="str">
        <x:f>IF(AND(Q$6&lt;=$H10,Q$6+6&gt;=$G10),1,"")</x:f>
      </x:c>
      <x:c r="R10" s="167" t="str">
        <x:f>IF(AND(R$6&lt;=$H10,R$6+6&gt;=$G10),1,"")</x:f>
      </x:c>
      <x:c r="S10" s="167" t="str">
        <x:f>IF(AND(S$6&lt;=$H10,S$6+6&gt;=$G10),1,"")</x:f>
      </x:c>
      <x:c r="T10" s="167" t="str">
        <x:f>IF(AND(T$6&lt;=$H10,T$6+6&gt;=$G10),1,"")</x:f>
      </x:c>
      <x:c r="U10" s="168" t="str">
        <x:f>IF(AND(U$6&lt;=$H10,U$6+6&gt;=$G10),1,"")</x:f>
      </x:c>
    </x:row>
    <x:row r="11" ht="24" customHeight="1">
      <x:c r="A11" s="68" t="str">
        <x:f>'Simulation Tasks'!A9</x:f>
        <x:v>T-105</x:v>
      </x:c>
      <x:c r="B11" s="68" t="str">
        <x:f>'Simulation Tasks'!B9</x:f>
        <x:v>S0</x:v>
      </x:c>
      <x:c r="C11" s="68" t="str">
        <x:f>'Simulation Tasks'!C9</x:f>
        <x:v>Web/Telemetry</x:v>
      </x:c>
      <x:c r="D11" s="68" t="str">
        <x:f>'Simulation Tasks'!D9</x:f>
        <x:v>Capture baseline telemetry and web-runtime behavior</x:v>
      </x:c>
      <x:c r="E11" s="68" t="str">
        <x:f>'Simulation Tasks'!E9</x:f>
        <x:v>T-101, T-103</x:v>
      </x:c>
      <x:c r="F11" s="68" t="str">
        <x:f>'Simulation Tasks'!F9</x:f>
        <x:v>Done</x:v>
      </x:c>
      <x:c r="G11" s="94" t="n">
        <x:f>'Simulation Tasks'!I9</x:f>
        <x:v>46241</x:v>
      </x:c>
      <x:c r="H11" s="94" t="n">
        <x:f>'Simulation Tasks'!J9</x:f>
        <x:v>46241</x:v>
      </x:c>
      <x:c r="I11" s="166" t="n">
        <x:f>IF(AND(I$6&lt;=$H11,I$6+6&gt;=$G11),1,"")</x:f>
        <x:v>1</x:v>
      </x:c>
      <x:c r="J11" s="167" t="str">
        <x:f>IF(AND(J$6&lt;=$H11,J$6+6&gt;=$G11),1,"")</x:f>
      </x:c>
      <x:c r="K11" s="167" t="str">
        <x:f>IF(AND(K$6&lt;=$H11,K$6+6&gt;=$G11),1,"")</x:f>
      </x:c>
      <x:c r="L11" s="167" t="str">
        <x:f>IF(AND(L$6&lt;=$H11,L$6+6&gt;=$G11),1,"")</x:f>
      </x:c>
      <x:c r="M11" s="167" t="str">
        <x:f>IF(AND(M$6&lt;=$H11,M$6+6&gt;=$G11),1,"")</x:f>
      </x:c>
      <x:c r="N11" s="167" t="str">
        <x:f>IF(AND(N$6&lt;=$H11,N$6+6&gt;=$G11),1,"")</x:f>
      </x:c>
      <x:c r="O11" s="167" t="str">
        <x:f>IF(AND(O$6&lt;=$H11,O$6+6&gt;=$G11),1,"")</x:f>
      </x:c>
      <x:c r="P11" s="167" t="str">
        <x:f>IF(AND(P$6&lt;=$H11,P$6+6&gt;=$G11),1,"")</x:f>
      </x:c>
      <x:c r="Q11" s="167" t="str">
        <x:f>IF(AND(Q$6&lt;=$H11,Q$6+6&gt;=$G11),1,"")</x:f>
      </x:c>
      <x:c r="R11" s="167" t="str">
        <x:f>IF(AND(R$6&lt;=$H11,R$6+6&gt;=$G11),1,"")</x:f>
      </x:c>
      <x:c r="S11" s="167" t="str">
        <x:f>IF(AND(S$6&lt;=$H11,S$6+6&gt;=$G11),1,"")</x:f>
      </x:c>
      <x:c r="T11" s="167" t="str">
        <x:f>IF(AND(T$6&lt;=$H11,T$6+6&gt;=$G11),1,"")</x:f>
      </x:c>
      <x:c r="U11" s="168" t="str">
        <x:f>IF(AND(U$6&lt;=$H11,U$6+6&gt;=$G11),1,"")</x:f>
      </x:c>
    </x:row>
    <x:row r="12" ht="24" customHeight="1">
      <x:c r="A12" s="68" t="str">
        <x:f>'Simulation Tasks'!A10</x:f>
        <x:v>T-106</x:v>
      </x:c>
      <x:c r="B12" s="68" t="str">
        <x:f>'Simulation Tasks'!B10</x:f>
        <x:v>S0</x:v>
      </x:c>
      <x:c r="C12" s="68" t="str">
        <x:f>'Simulation Tasks'!C10</x:f>
        <x:v>Documentation</x:v>
      </x:c>
      <x:c r="D12" s="68" t="str">
        <x:f>'Simulation Tasks'!D10</x:f>
        <x:v>Document known simulator shortcuts and limitations</x:v>
      </x:c>
      <x:c r="E12" s="68" t="str">
        <x:f>'Simulation Tasks'!E10</x:f>
        <x:v>T-101, T-102, T-103</x:v>
      </x:c>
      <x:c r="F12" s="68" t="str">
        <x:f>'Simulation Tasks'!F10</x:f>
        <x:v>Done</x:v>
      </x:c>
      <x:c r="G12" s="94" t="n">
        <x:f>'Simulation Tasks'!I10</x:f>
        <x:v>46244</x:v>
      </x:c>
      <x:c r="H12" s="94" t="n">
        <x:f>'Simulation Tasks'!J10</x:f>
        <x:v>46244</x:v>
      </x:c>
      <x:c r="I12" s="166" t="str">
        <x:f>IF(AND(I$6&lt;=$H12,I$6+6&gt;=$G12),1,"")</x:f>
      </x:c>
      <x:c r="J12" s="167" t="n">
        <x:f>IF(AND(J$6&lt;=$H12,J$6+6&gt;=$G12),1,"")</x:f>
        <x:v>1</x:v>
      </x:c>
      <x:c r="K12" s="167" t="str">
        <x:f>IF(AND(K$6&lt;=$H12,K$6+6&gt;=$G12),1,"")</x:f>
      </x:c>
      <x:c r="L12" s="167" t="str">
        <x:f>IF(AND(L$6&lt;=$H12,L$6+6&gt;=$G12),1,"")</x:f>
      </x:c>
      <x:c r="M12" s="167" t="str">
        <x:f>IF(AND(M$6&lt;=$H12,M$6+6&gt;=$G12),1,"")</x:f>
      </x:c>
      <x:c r="N12" s="167" t="str">
        <x:f>IF(AND(N$6&lt;=$H12,N$6+6&gt;=$G12),1,"")</x:f>
      </x:c>
      <x:c r="O12" s="167" t="str">
        <x:f>IF(AND(O$6&lt;=$H12,O$6+6&gt;=$G12),1,"")</x:f>
      </x:c>
      <x:c r="P12" s="167" t="str">
        <x:f>IF(AND(P$6&lt;=$H12,P$6+6&gt;=$G12),1,"")</x:f>
      </x:c>
      <x:c r="Q12" s="167" t="str">
        <x:f>IF(AND(Q$6&lt;=$H12,Q$6+6&gt;=$G12),1,"")</x:f>
      </x:c>
      <x:c r="R12" s="167" t="str">
        <x:f>IF(AND(R$6&lt;=$H12,R$6+6&gt;=$G12),1,"")</x:f>
      </x:c>
      <x:c r="S12" s="167" t="str">
        <x:f>IF(AND(S$6&lt;=$H12,S$6+6&gt;=$G12),1,"")</x:f>
      </x:c>
      <x:c r="T12" s="167" t="str">
        <x:f>IF(AND(T$6&lt;=$H12,T$6+6&gt;=$G12),1,"")</x:f>
      </x:c>
      <x:c r="U12" s="168" t="str">
        <x:f>IF(AND(U$6&lt;=$H12,U$6+6&gt;=$G12),1,"")</x:f>
      </x:c>
    </x:row>
    <x:row r="13" ht="24" customHeight="1">
      <x:c r="A13" s="68" t="str">
        <x:f>'Simulation Tasks'!A11</x:f>
        <x:v>T-107</x:v>
      </x:c>
      <x:c r="B13" s="68" t="str">
        <x:f>'Simulation Tasks'!B11</x:f>
        <x:v>S0</x:v>
      </x:c>
      <x:c r="C13" s="68" t="str">
        <x:f>'Simulation Tasks'!C11</x:f>
        <x:v>Research Ops</x:v>
      </x:c>
      <x:c r="D13" s="68" t="str">
        <x:f>'Simulation Tasks'!D11</x:f>
        <x:v>Define baseline artifact bundle</x:v>
      </x:c>
      <x:c r="E13" s="68" t="str">
        <x:f>'Simulation Tasks'!E11</x:f>
        <x:v>T-003, T-104, T-105</x:v>
      </x:c>
      <x:c r="F13" s="68" t="str">
        <x:f>'Simulation Tasks'!F11</x:f>
        <x:v>Done</x:v>
      </x:c>
      <x:c r="G13" s="94" t="n">
        <x:f>'Simulation Tasks'!I11</x:f>
        <x:v>46245</x:v>
      </x:c>
      <x:c r="H13" s="94" t="n">
        <x:f>'Simulation Tasks'!J11</x:f>
        <x:v>46245</x:v>
      </x:c>
      <x:c r="I13" s="166" t="str">
        <x:f>IF(AND(I$6&lt;=$H13,I$6+6&gt;=$G13),1,"")</x:f>
      </x:c>
      <x:c r="J13" s="167" t="n">
        <x:f>IF(AND(J$6&lt;=$H13,J$6+6&gt;=$G13),1,"")</x:f>
        <x:v>1</x:v>
      </x:c>
      <x:c r="K13" s="167" t="str">
        <x:f>IF(AND(K$6&lt;=$H13,K$6+6&gt;=$G13),1,"")</x:f>
      </x:c>
      <x:c r="L13" s="167" t="str">
        <x:f>IF(AND(L$6&lt;=$H13,L$6+6&gt;=$G13),1,"")</x:f>
      </x:c>
      <x:c r="M13" s="167" t="str">
        <x:f>IF(AND(M$6&lt;=$H13,M$6+6&gt;=$G13),1,"")</x:f>
      </x:c>
      <x:c r="N13" s="167" t="str">
        <x:f>IF(AND(N$6&lt;=$H13,N$6+6&gt;=$G13),1,"")</x:f>
      </x:c>
      <x:c r="O13" s="167" t="str">
        <x:f>IF(AND(O$6&lt;=$H13,O$6+6&gt;=$G13),1,"")</x:f>
      </x:c>
      <x:c r="P13" s="167" t="str">
        <x:f>IF(AND(P$6&lt;=$H13,P$6+6&gt;=$G13),1,"")</x:f>
      </x:c>
      <x:c r="Q13" s="167" t="str">
        <x:f>IF(AND(Q$6&lt;=$H13,Q$6+6&gt;=$G13),1,"")</x:f>
      </x:c>
      <x:c r="R13" s="167" t="str">
        <x:f>IF(AND(R$6&lt;=$H13,R$6+6&gt;=$G13),1,"")</x:f>
      </x:c>
      <x:c r="S13" s="167" t="str">
        <x:f>IF(AND(S$6&lt;=$H13,S$6+6&gt;=$G13),1,"")</x:f>
      </x:c>
      <x:c r="T13" s="167" t="str">
        <x:f>IF(AND(T$6&lt;=$H13,T$6+6&gt;=$G13),1,"")</x:f>
      </x:c>
      <x:c r="U13" s="168" t="str">
        <x:f>IF(AND(U$6&lt;=$H13,U$6+6&gt;=$G13),1,"")</x:f>
      </x:c>
    </x:row>
    <x:row r="14" ht="24" customHeight="1">
      <x:c r="A14" s="68" t="str">
        <x:f>'Simulation Tasks'!A12</x:f>
        <x:v>T-108</x:v>
      </x:c>
      <x:c r="B14" s="68" t="str">
        <x:f>'Simulation Tasks'!B12</x:f>
        <x:v>S0</x:v>
      </x:c>
      <x:c r="C14" s="68" t="str">
        <x:f>'Simulation Tasks'!C12</x:f>
        <x:v>Validation</x:v>
      </x:c>
      <x:c r="D14" s="68" t="str">
        <x:f>'Simulation Tasks'!D12</x:f>
        <x:v>S0 reference-contract decision</x:v>
      </x:c>
      <x:c r="E14" s="68" t="str">
        <x:f>'Simulation Tasks'!E12</x:f>
        <x:v>T-104, T-105, T-106, T-107</x:v>
      </x:c>
      <x:c r="F14" s="68" t="str">
        <x:f>'Simulation Tasks'!F12</x:f>
        <x:v>Ready</x:v>
      </x:c>
      <x:c r="G14" s="94" t="n">
        <x:f>'Simulation Tasks'!I12</x:f>
        <x:v>46246</x:v>
      </x:c>
      <x:c r="H14" s="94" t="n">
        <x:f>'Simulation Tasks'!J12</x:f>
        <x:v>46246</x:v>
      </x:c>
      <x:c r="I14" s="166" t="str">
        <x:f>IF(AND(I$6&lt;=$H14,I$6+6&gt;=$G14),1,"")</x:f>
      </x:c>
      <x:c r="J14" s="167" t="n">
        <x:f>IF(AND(J$6&lt;=$H14,J$6+6&gt;=$G14),1,"")</x:f>
        <x:v>1</x:v>
      </x:c>
      <x:c r="K14" s="167" t="str">
        <x:f>IF(AND(K$6&lt;=$H14,K$6+6&gt;=$G14),1,"")</x:f>
      </x:c>
      <x:c r="L14" s="167" t="str">
        <x:f>IF(AND(L$6&lt;=$H14,L$6+6&gt;=$G14),1,"")</x:f>
      </x:c>
      <x:c r="M14" s="167" t="str">
        <x:f>IF(AND(M$6&lt;=$H14,M$6+6&gt;=$G14),1,"")</x:f>
      </x:c>
      <x:c r="N14" s="167" t="str">
        <x:f>IF(AND(N$6&lt;=$H14,N$6+6&gt;=$G14),1,"")</x:f>
      </x:c>
      <x:c r="O14" s="167" t="str">
        <x:f>IF(AND(O$6&lt;=$H14,O$6+6&gt;=$G14),1,"")</x:f>
      </x:c>
      <x:c r="P14" s="167" t="str">
        <x:f>IF(AND(P$6&lt;=$H14,P$6+6&gt;=$G14),1,"")</x:f>
      </x:c>
      <x:c r="Q14" s="167" t="str">
        <x:f>IF(AND(Q$6&lt;=$H14,Q$6+6&gt;=$G14),1,"")</x:f>
      </x:c>
      <x:c r="R14" s="167" t="str">
        <x:f>IF(AND(R$6&lt;=$H14,R$6+6&gt;=$G14),1,"")</x:f>
      </x:c>
      <x:c r="S14" s="167" t="str">
        <x:f>IF(AND(S$6&lt;=$H14,S$6+6&gt;=$G14),1,"")</x:f>
      </x:c>
      <x:c r="T14" s="167" t="str">
        <x:f>IF(AND(T$6&lt;=$H14,T$6+6&gt;=$G14),1,"")</x:f>
      </x:c>
      <x:c r="U14" s="168" t="str">
        <x:f>IF(AND(U$6&lt;=$H14,U$6+6&gt;=$G14),1,"")</x:f>
      </x:c>
    </x:row>
    <x:row r="15" ht="24" customHeight="1">
      <x:c r="A15" s="68" t="str">
        <x:f>'Simulation Tasks'!A13</x:f>
        <x:v>T-201</x:v>
      </x:c>
      <x:c r="B15" s="68" t="str">
        <x:f>'Simulation Tasks'!B13</x:f>
        <x:v>S1</x:v>
      </x:c>
      <x:c r="C15" s="68" t="str">
        <x:f>'Simulation Tasks'!C13</x:f>
        <x:v>MuJoCo</x:v>
      </x:c>
      <x:c r="D15" s="68" t="str">
        <x:f>'Simulation Tasks'!D13</x:f>
        <x:v>Match native arm constants in MuJoCo XML</x:v>
      </x:c>
      <x:c r="E15" s="68" t="str">
        <x:f>'Simulation Tasks'!E13</x:f>
        <x:v>T-101</x:v>
      </x:c>
      <x:c r="F15" s="68" t="str">
        <x:f>'Simulation Tasks'!F13</x:f>
        <x:v>Done</x:v>
      </x:c>
      <x:c r="G15" s="94" t="n">
        <x:f>'Simulation Tasks'!I13</x:f>
        <x:v>46258</x:v>
      </x:c>
      <x:c r="H15" s="94" t="n">
        <x:f>'Simulation Tasks'!J13</x:f>
        <x:v>46258</x:v>
      </x:c>
      <x:c r="I15" s="166" t="str">
        <x:f>IF(AND(I$6&lt;=$H15,I$6+6&gt;=$G15),1,"")</x:f>
      </x:c>
      <x:c r="J15" s="167" t="str">
        <x:f>IF(AND(J$6&lt;=$H15,J$6+6&gt;=$G15),1,"")</x:f>
      </x:c>
      <x:c r="K15" s="167" t="str">
        <x:f>IF(AND(K$6&lt;=$H15,K$6+6&gt;=$G15),1,"")</x:f>
      </x:c>
      <x:c r="L15" s="167" t="n">
        <x:f>IF(AND(L$6&lt;=$H15,L$6+6&gt;=$G15),1,"")</x:f>
        <x:v>1</x:v>
      </x:c>
      <x:c r="M15" s="167" t="str">
        <x:f>IF(AND(M$6&lt;=$H15,M$6+6&gt;=$G15),1,"")</x:f>
      </x:c>
      <x:c r="N15" s="167" t="str">
        <x:f>IF(AND(N$6&lt;=$H15,N$6+6&gt;=$G15),1,"")</x:f>
      </x:c>
      <x:c r="O15" s="167" t="str">
        <x:f>IF(AND(O$6&lt;=$H15,O$6+6&gt;=$G15),1,"")</x:f>
      </x:c>
      <x:c r="P15" s="167" t="str">
        <x:f>IF(AND(P$6&lt;=$H15,P$6+6&gt;=$G15),1,"")</x:f>
      </x:c>
      <x:c r="Q15" s="167" t="str">
        <x:f>IF(AND(Q$6&lt;=$H15,Q$6+6&gt;=$G15),1,"")</x:f>
      </x:c>
      <x:c r="R15" s="167" t="str">
        <x:f>IF(AND(R$6&lt;=$H15,R$6+6&gt;=$G15),1,"")</x:f>
      </x:c>
      <x:c r="S15" s="167" t="str">
        <x:f>IF(AND(S$6&lt;=$H15,S$6+6&gt;=$G15),1,"")</x:f>
      </x:c>
      <x:c r="T15" s="167" t="str">
        <x:f>IF(AND(T$6&lt;=$H15,T$6+6&gt;=$G15),1,"")</x:f>
      </x:c>
      <x:c r="U15" s="168" t="str">
        <x:f>IF(AND(U$6&lt;=$H15,U$6+6&gt;=$G15),1,"")</x:f>
      </x:c>
    </x:row>
    <x:row r="16" ht="24" customHeight="1">
      <x:c r="A16" s="68" t="str">
        <x:f>'Simulation Tasks'!A14</x:f>
        <x:v>T-202</x:v>
      </x:c>
      <x:c r="B16" s="68" t="str">
        <x:f>'Simulation Tasks'!B14</x:f>
        <x:v>S1</x:v>
      </x:c>
      <x:c r="C16" s="68" t="str">
        <x:f>'Simulation Tasks'!C14</x:f>
        <x:v>Validation</x:v>
      </x:c>
      <x:c r="D16" s="68" t="str">
        <x:f>'Simulation Tasks'!D14</x:f>
        <x:v>Add XML constant tests</x:v>
      </x:c>
      <x:c r="E16" s="68" t="str">
        <x:f>'Simulation Tasks'!E14</x:f>
        <x:v>T-201</x:v>
      </x:c>
      <x:c r="F16" s="68" t="str">
        <x:f>'Simulation Tasks'!F14</x:f>
        <x:v>Done</x:v>
      </x:c>
      <x:c r="G16" s="94" t="n">
        <x:f>'Simulation Tasks'!I14</x:f>
        <x:v>46259</x:v>
      </x:c>
      <x:c r="H16" s="94" t="n">
        <x:f>'Simulation Tasks'!J14</x:f>
        <x:v>46259</x:v>
      </x:c>
      <x:c r="I16" s="166" t="str">
        <x:f>IF(AND(I$6&lt;=$H16,I$6+6&gt;=$G16),1,"")</x:f>
      </x:c>
      <x:c r="J16" s="167" t="str">
        <x:f>IF(AND(J$6&lt;=$H16,J$6+6&gt;=$G16),1,"")</x:f>
      </x:c>
      <x:c r="K16" s="167" t="str">
        <x:f>IF(AND(K$6&lt;=$H16,K$6+6&gt;=$G16),1,"")</x:f>
      </x:c>
      <x:c r="L16" s="167" t="n">
        <x:f>IF(AND(L$6&lt;=$H16,L$6+6&gt;=$G16),1,"")</x:f>
        <x:v>1</x:v>
      </x:c>
      <x:c r="M16" s="167" t="str">
        <x:f>IF(AND(M$6&lt;=$H16,M$6+6&gt;=$G16),1,"")</x:f>
      </x:c>
      <x:c r="N16" s="167" t="str">
        <x:f>IF(AND(N$6&lt;=$H16,N$6+6&gt;=$G16),1,"")</x:f>
      </x:c>
      <x:c r="O16" s="167" t="str">
        <x:f>IF(AND(O$6&lt;=$H16,O$6+6&gt;=$G16),1,"")</x:f>
      </x:c>
      <x:c r="P16" s="167" t="str">
        <x:f>IF(AND(P$6&lt;=$H16,P$6+6&gt;=$G16),1,"")</x:f>
      </x:c>
      <x:c r="Q16" s="167" t="str">
        <x:f>IF(AND(Q$6&lt;=$H16,Q$6+6&gt;=$G16),1,"")</x:f>
      </x:c>
      <x:c r="R16" s="167" t="str">
        <x:f>IF(AND(R$6&lt;=$H16,R$6+6&gt;=$G16),1,"")</x:f>
      </x:c>
      <x:c r="S16" s="167" t="str">
        <x:f>IF(AND(S$6&lt;=$H16,S$6+6&gt;=$G16),1,"")</x:f>
      </x:c>
      <x:c r="T16" s="167" t="str">
        <x:f>IF(AND(T$6&lt;=$H16,T$6+6&gt;=$G16),1,"")</x:f>
      </x:c>
      <x:c r="U16" s="168" t="str">
        <x:f>IF(AND(U$6&lt;=$H16,U$6+6&gt;=$G16),1,"")</x:f>
      </x:c>
    </x:row>
    <x:row r="17" ht="24" customHeight="1">
      <x:c r="A17" s="68" t="str">
        <x:f>'Simulation Tasks'!A15</x:f>
        <x:v>T-203</x:v>
      </x:c>
      <x:c r="B17" s="68" t="str">
        <x:f>'Simulation Tasks'!B15</x:f>
        <x:v>S1</x:v>
      </x:c>
      <x:c r="C17" s="68" t="str">
        <x:f>'Simulation Tasks'!C15</x:f>
        <x:v>MuJoCo</x:v>
      </x:c>
      <x:c r="D17" s="68" t="str">
        <x:f>'Simulation Tasks'!D15</x:f>
        <x:v>Validate MuJoCo forward kinematics against native kinematics</x:v>
      </x:c>
      <x:c r="E17" s="68" t="str">
        <x:f>'Simulation Tasks'!E15</x:f>
        <x:v>T-201, T-202</x:v>
      </x:c>
      <x:c r="F17" s="68" t="str">
        <x:f>'Simulation Tasks'!F15</x:f>
        <x:v>Done</x:v>
      </x:c>
      <x:c r="G17" s="94" t="n">
        <x:f>'Simulation Tasks'!I15</x:f>
        <x:v>46260</x:v>
      </x:c>
      <x:c r="H17" s="94" t="n">
        <x:f>'Simulation Tasks'!J15</x:f>
        <x:v>46260</x:v>
      </x:c>
      <x:c r="I17" s="166" t="str">
        <x:f>IF(AND(I$6&lt;=$H17,I$6+6&gt;=$G17),1,"")</x:f>
      </x:c>
      <x:c r="J17" s="167" t="str">
        <x:f>IF(AND(J$6&lt;=$H17,J$6+6&gt;=$G17),1,"")</x:f>
      </x:c>
      <x:c r="K17" s="167" t="str">
        <x:f>IF(AND(K$6&lt;=$H17,K$6+6&gt;=$G17),1,"")</x:f>
      </x:c>
      <x:c r="L17" s="167" t="n">
        <x:f>IF(AND(L$6&lt;=$H17,L$6+6&gt;=$G17),1,"")</x:f>
        <x:v>1</x:v>
      </x:c>
      <x:c r="M17" s="167" t="str">
        <x:f>IF(AND(M$6&lt;=$H17,M$6+6&gt;=$G17),1,"")</x:f>
      </x:c>
      <x:c r="N17" s="167" t="str">
        <x:f>IF(AND(N$6&lt;=$H17,N$6+6&gt;=$G17),1,"")</x:f>
      </x:c>
      <x:c r="O17" s="167" t="str">
        <x:f>IF(AND(O$6&lt;=$H17,O$6+6&gt;=$G17),1,"")</x:f>
      </x:c>
      <x:c r="P17" s="167" t="str">
        <x:f>IF(AND(P$6&lt;=$H17,P$6+6&gt;=$G17),1,"")</x:f>
      </x:c>
      <x:c r="Q17" s="167" t="str">
        <x:f>IF(AND(Q$6&lt;=$H17,Q$6+6&gt;=$G17),1,"")</x:f>
      </x:c>
      <x:c r="R17" s="167" t="str">
        <x:f>IF(AND(R$6&lt;=$H17,R$6+6&gt;=$G17),1,"")</x:f>
      </x:c>
      <x:c r="S17" s="167" t="str">
        <x:f>IF(AND(S$6&lt;=$H17,S$6+6&gt;=$G17),1,"")</x:f>
      </x:c>
      <x:c r="T17" s="167" t="str">
        <x:f>IF(AND(T$6&lt;=$H17,T$6+6&gt;=$G17),1,"")</x:f>
      </x:c>
      <x:c r="U17" s="168" t="str">
        <x:f>IF(AND(U$6&lt;=$H17,U$6+6&gt;=$G17),1,"")</x:f>
      </x:c>
    </x:row>
    <x:row r="18" ht="24" customHeight="1">
      <x:c r="A18" s="68" t="str">
        <x:f>'Simulation Tasks'!A16</x:f>
        <x:v>T-204</x:v>
      </x:c>
      <x:c r="B18" s="68" t="str">
        <x:f>'Simulation Tasks'!B16</x:f>
        <x:v>S1</x:v>
      </x:c>
      <x:c r="C18" s="68" t="str">
        <x:f>'Simulation Tasks'!C16</x:f>
        <x:v>MuJoCo</x:v>
      </x:c>
      <x:c r="D18" s="68" t="str">
        <x:f>'Simulation Tasks'!D16</x:f>
        <x:v>Keep physical housings visual-only</x:v>
      </x:c>
      <x:c r="E18" s="68" t="str">
        <x:f>'Simulation Tasks'!E16</x:f>
        <x:v>T-201</x:v>
      </x:c>
      <x:c r="F18" s="68" t="str">
        <x:f>'Simulation Tasks'!F16</x:f>
        <x:v>Done</x:v>
      </x:c>
      <x:c r="G18" s="94" t="n">
        <x:f>'Simulation Tasks'!I16</x:f>
        <x:v>46261</x:v>
      </x:c>
      <x:c r="H18" s="94" t="n">
        <x:f>'Simulation Tasks'!J16</x:f>
        <x:v>46261</x:v>
      </x:c>
      <x:c r="I18" s="166" t="str">
        <x:f>IF(AND(I$6&lt;=$H18,I$6+6&gt;=$G18),1,"")</x:f>
      </x:c>
      <x:c r="J18" s="167" t="str">
        <x:f>IF(AND(J$6&lt;=$H18,J$6+6&gt;=$G18),1,"")</x:f>
      </x:c>
      <x:c r="K18" s="167" t="str">
        <x:f>IF(AND(K$6&lt;=$H18,K$6+6&gt;=$G18),1,"")</x:f>
      </x:c>
      <x:c r="L18" s="167" t="n">
        <x:f>IF(AND(L$6&lt;=$H18,L$6+6&gt;=$G18),1,"")</x:f>
        <x:v>1</x:v>
      </x:c>
      <x:c r="M18" s="167" t="str">
        <x:f>IF(AND(M$6&lt;=$H18,M$6+6&gt;=$G18),1,"")</x:f>
      </x:c>
      <x:c r="N18" s="167" t="str">
        <x:f>IF(AND(N$6&lt;=$H18,N$6+6&gt;=$G18),1,"")</x:f>
      </x:c>
      <x:c r="O18" s="167" t="str">
        <x:f>IF(AND(O$6&lt;=$H18,O$6+6&gt;=$G18),1,"")</x:f>
      </x:c>
      <x:c r="P18" s="167" t="str">
        <x:f>IF(AND(P$6&lt;=$H18,P$6+6&gt;=$G18),1,"")</x:f>
      </x:c>
      <x:c r="Q18" s="167" t="str">
        <x:f>IF(AND(Q$6&lt;=$H18,Q$6+6&gt;=$G18),1,"")</x:f>
      </x:c>
      <x:c r="R18" s="167" t="str">
        <x:f>IF(AND(R$6&lt;=$H18,R$6+6&gt;=$G18),1,"")</x:f>
      </x:c>
      <x:c r="S18" s="167" t="str">
        <x:f>IF(AND(S$6&lt;=$H18,S$6+6&gt;=$G18),1,"")</x:f>
      </x:c>
      <x:c r="T18" s="167" t="str">
        <x:f>IF(AND(T$6&lt;=$H18,T$6+6&gt;=$G18),1,"")</x:f>
      </x:c>
      <x:c r="U18" s="168" t="str">
        <x:f>IF(AND(U$6&lt;=$H18,U$6+6&gt;=$G18),1,"")</x:f>
      </x:c>
    </x:row>
    <x:row r="19" ht="24" customHeight="1">
      <x:c r="A19" s="68" t="str">
        <x:f>'Simulation Tasks'!A17</x:f>
        <x:v>T-205</x:v>
      </x:c>
      <x:c r="B19" s="68" t="str">
        <x:f>'Simulation Tasks'!B17</x:f>
        <x:v>S1</x:v>
      </x:c>
      <x:c r="C19" s="68" t="str">
        <x:f>'Simulation Tasks'!C17</x:f>
        <x:v>Documentation</x:v>
      </x:c>
      <x:c r="D19" s="68" t="str">
        <x:f>'Simulation Tasks'!D17</x:f>
        <x:v>Document exact versus approximate model fields</x:v>
      </x:c>
      <x:c r="E19" s="68" t="str">
        <x:f>'Simulation Tasks'!E17</x:f>
        <x:v>T-201</x:v>
      </x:c>
      <x:c r="F19" s="68" t="str">
        <x:f>'Simulation Tasks'!F17</x:f>
        <x:v>Done</x:v>
      </x:c>
      <x:c r="G19" s="94" t="n">
        <x:f>'Simulation Tasks'!I17</x:f>
        <x:v>46262</x:v>
      </x:c>
      <x:c r="H19" s="94" t="n">
        <x:f>'Simulation Tasks'!J17</x:f>
        <x:v>46262</x:v>
      </x:c>
      <x:c r="I19" s="166" t="str">
        <x:f>IF(AND(I$6&lt;=$H19,I$6+6&gt;=$G19),1,"")</x:f>
      </x:c>
      <x:c r="J19" s="167" t="str">
        <x:f>IF(AND(J$6&lt;=$H19,J$6+6&gt;=$G19),1,"")</x:f>
      </x:c>
      <x:c r="K19" s="167" t="str">
        <x:f>IF(AND(K$6&lt;=$H19,K$6+6&gt;=$G19),1,"")</x:f>
      </x:c>
      <x:c r="L19" s="167" t="n">
        <x:f>IF(AND(L$6&lt;=$H19,L$6+6&gt;=$G19),1,"")</x:f>
        <x:v>1</x:v>
      </x:c>
      <x:c r="M19" s="167" t="str">
        <x:f>IF(AND(M$6&lt;=$H19,M$6+6&gt;=$G19),1,"")</x:f>
      </x:c>
      <x:c r="N19" s="167" t="str">
        <x:f>IF(AND(N$6&lt;=$H19,N$6+6&gt;=$G19),1,"")</x:f>
      </x:c>
      <x:c r="O19" s="167" t="str">
        <x:f>IF(AND(O$6&lt;=$H19,O$6+6&gt;=$G19),1,"")</x:f>
      </x:c>
      <x:c r="P19" s="167" t="str">
        <x:f>IF(AND(P$6&lt;=$H19,P$6+6&gt;=$G19),1,"")</x:f>
      </x:c>
      <x:c r="Q19" s="167" t="str">
        <x:f>IF(AND(Q$6&lt;=$H19,Q$6+6&gt;=$G19),1,"")</x:f>
      </x:c>
      <x:c r="R19" s="167" t="str">
        <x:f>IF(AND(R$6&lt;=$H19,R$6+6&gt;=$G19),1,"")</x:f>
      </x:c>
      <x:c r="S19" s="167" t="str">
        <x:f>IF(AND(S$6&lt;=$H19,S$6+6&gt;=$G19),1,"")</x:f>
      </x:c>
      <x:c r="T19" s="167" t="str">
        <x:f>IF(AND(T$6&lt;=$H19,T$6+6&gt;=$G19),1,"")</x:f>
      </x:c>
      <x:c r="U19" s="168" t="str">
        <x:f>IF(AND(U$6&lt;=$H19,U$6+6&gt;=$G19),1,"")</x:f>
      </x:c>
    </x:row>
    <x:row r="20" ht="24" customHeight="1">
      <x:c r="A20" s="68" t="str">
        <x:f>'Simulation Tasks'!A18</x:f>
        <x:v>T-206</x:v>
      </x:c>
      <x:c r="B20" s="68" t="str">
        <x:f>'Simulation Tasks'!B18</x:f>
        <x:v>S1</x:v>
      </x:c>
      <x:c r="C20" s="68" t="str">
        <x:f>'Simulation Tasks'!C18</x:f>
        <x:v>Validation</x:v>
      </x:c>
      <x:c r="D20" s="68" t="str">
        <x:f>'Simulation Tasks'!D18</x:f>
        <x:v>Add MuJoCo load/compile smoke test</x:v>
      </x:c>
      <x:c r="E20" s="68" t="str">
        <x:f>'Simulation Tasks'!E18</x:f>
        <x:v>T-201</x:v>
      </x:c>
      <x:c r="F20" s="68" t="str">
        <x:f>'Simulation Tasks'!F18</x:f>
        <x:v>Done</x:v>
      </x:c>
      <x:c r="G20" s="94" t="n">
        <x:f>'Simulation Tasks'!I18</x:f>
        <x:v>46265</x:v>
      </x:c>
      <x:c r="H20" s="94" t="n">
        <x:f>'Simulation Tasks'!J18</x:f>
        <x:v>46265</x:v>
      </x:c>
      <x:c r="I20" s="166" t="str">
        <x:f>IF(AND(I$6&lt;=$H20,I$6+6&gt;=$G20),1,"")</x:f>
      </x:c>
      <x:c r="J20" s="167" t="str">
        <x:f>IF(AND(J$6&lt;=$H20,J$6+6&gt;=$G20),1,"")</x:f>
      </x:c>
      <x:c r="K20" s="167" t="str">
        <x:f>IF(AND(K$6&lt;=$H20,K$6+6&gt;=$G20),1,"")</x:f>
      </x:c>
      <x:c r="L20" s="167" t="str">
        <x:f>IF(AND(L$6&lt;=$H20,L$6+6&gt;=$G20),1,"")</x:f>
      </x:c>
      <x:c r="M20" s="167" t="n">
        <x:f>IF(AND(M$6&lt;=$H20,M$6+6&gt;=$G20),1,"")</x:f>
        <x:v>1</x:v>
      </x:c>
      <x:c r="N20" s="167" t="str">
        <x:f>IF(AND(N$6&lt;=$H20,N$6+6&gt;=$G20),1,"")</x:f>
      </x:c>
      <x:c r="O20" s="167" t="str">
        <x:f>IF(AND(O$6&lt;=$H20,O$6+6&gt;=$G20),1,"")</x:f>
      </x:c>
      <x:c r="P20" s="167" t="str">
        <x:f>IF(AND(P$6&lt;=$H20,P$6+6&gt;=$G20),1,"")</x:f>
      </x:c>
      <x:c r="Q20" s="167" t="str">
        <x:f>IF(AND(Q$6&lt;=$H20,Q$6+6&gt;=$G20),1,"")</x:f>
      </x:c>
      <x:c r="R20" s="167" t="str">
        <x:f>IF(AND(R$6&lt;=$H20,R$6+6&gt;=$G20),1,"")</x:f>
      </x:c>
      <x:c r="S20" s="167" t="str">
        <x:f>IF(AND(S$6&lt;=$H20,S$6+6&gt;=$G20),1,"")</x:f>
      </x:c>
      <x:c r="T20" s="167" t="str">
        <x:f>IF(AND(T$6&lt;=$H20,T$6+6&gt;=$G20),1,"")</x:f>
      </x:c>
      <x:c r="U20" s="168" t="str">
        <x:f>IF(AND(U$6&lt;=$H20,U$6+6&gt;=$G20),1,"")</x:f>
      </x:c>
    </x:row>
    <x:row r="21" ht="24" customHeight="1">
      <x:c r="A21" s="68" t="str">
        <x:f>'Simulation Tasks'!A19</x:f>
        <x:v>T-207</x:v>
      </x:c>
      <x:c r="B21" s="68" t="str">
        <x:f>'Simulation Tasks'!B19</x:f>
        <x:v>S1</x:v>
      </x:c>
      <x:c r="C21" s="68" t="str">
        <x:f>'Simulation Tasks'!C19</x:f>
        <x:v>Operations</x:v>
      </x:c>
      <x:c r="D21" s="68" t="str">
        <x:f>'Simulation Tasks'!D19</x:f>
        <x:v>Define model version label</x:v>
      </x:c>
      <x:c r="E21" s="68" t="str">
        <x:f>'Simulation Tasks'!E19</x:f>
        <x:v>T-002, T-201</x:v>
      </x:c>
      <x:c r="F21" s="68" t="str">
        <x:f>'Simulation Tasks'!F19</x:f>
        <x:v>Done</x:v>
      </x:c>
      <x:c r="G21" s="94" t="n">
        <x:f>'Simulation Tasks'!I19</x:f>
        <x:v>46266</x:v>
      </x:c>
      <x:c r="H21" s="94" t="n">
        <x:f>'Simulation Tasks'!J19</x:f>
        <x:v>46266</x:v>
      </x:c>
      <x:c r="I21" s="166" t="str">
        <x:f>IF(AND(I$6&lt;=$H21,I$6+6&gt;=$G21),1,"")</x:f>
      </x:c>
      <x:c r="J21" s="167" t="str">
        <x:f>IF(AND(J$6&lt;=$H21,J$6+6&gt;=$G21),1,"")</x:f>
      </x:c>
      <x:c r="K21" s="167" t="str">
        <x:f>IF(AND(K$6&lt;=$H21,K$6+6&gt;=$G21),1,"")</x:f>
      </x:c>
      <x:c r="L21" s="167" t="str">
        <x:f>IF(AND(L$6&lt;=$H21,L$6+6&gt;=$G21),1,"")</x:f>
      </x:c>
      <x:c r="M21" s="167" t="n">
        <x:f>IF(AND(M$6&lt;=$H21,M$6+6&gt;=$G21),1,"")</x:f>
        <x:v>1</x:v>
      </x:c>
      <x:c r="N21" s="167" t="str">
        <x:f>IF(AND(N$6&lt;=$H21,N$6+6&gt;=$G21),1,"")</x:f>
      </x:c>
      <x:c r="O21" s="167" t="str">
        <x:f>IF(AND(O$6&lt;=$H21,O$6+6&gt;=$G21),1,"")</x:f>
      </x:c>
      <x:c r="P21" s="167" t="str">
        <x:f>IF(AND(P$6&lt;=$H21,P$6+6&gt;=$G21),1,"")</x:f>
      </x:c>
      <x:c r="Q21" s="167" t="str">
        <x:f>IF(AND(Q$6&lt;=$H21,Q$6+6&gt;=$G21),1,"")</x:f>
      </x:c>
      <x:c r="R21" s="167" t="str">
        <x:f>IF(AND(R$6&lt;=$H21,R$6+6&gt;=$G21),1,"")</x:f>
      </x:c>
      <x:c r="S21" s="167" t="str">
        <x:f>IF(AND(S$6&lt;=$H21,S$6+6&gt;=$G21),1,"")</x:f>
      </x:c>
      <x:c r="T21" s="167" t="str">
        <x:f>IF(AND(T$6&lt;=$H21,T$6+6&gt;=$G21),1,"")</x:f>
      </x:c>
      <x:c r="U21" s="168" t="str">
        <x:f>IF(AND(U$6&lt;=$H21,U$6+6&gt;=$G21),1,"")</x:f>
      </x:c>
    </x:row>
    <x:row r="22" ht="24" customHeight="1">
      <x:c r="A22" s="68" t="str">
        <x:f>'Simulation Tasks'!A20</x:f>
        <x:v>T-208</x:v>
      </x:c>
      <x:c r="B22" s="68" t="str">
        <x:f>'Simulation Tasks'!B20</x:f>
        <x:v>S1</x:v>
      </x:c>
      <x:c r="C22" s="68" t="str">
        <x:f>'Simulation Tasks'!C20</x:f>
        <x:v>Manual Validation</x:v>
      </x:c>
      <x:c r="D22" s="68" t="str">
        <x:f>'Simulation Tasks'!D20</x:f>
        <x:v>Compare model behavior in MuJoCo viewer</x:v>
      </x:c>
      <x:c r="E22" s="68" t="str">
        <x:f>'Simulation Tasks'!E20</x:f>
        <x:v>T-201, T-206</x:v>
      </x:c>
      <x:c r="F22" s="68" t="str">
        <x:f>'Simulation Tasks'!F20</x:f>
        <x:v>Active</x:v>
      </x:c>
      <x:c r="G22" s="94" t="n">
        <x:f>'Simulation Tasks'!I20</x:f>
        <x:v>46267</x:v>
      </x:c>
      <x:c r="H22" s="94" t="n">
        <x:f>'Simulation Tasks'!J20</x:f>
        <x:v>46267</x:v>
      </x:c>
      <x:c r="I22" s="166" t="str">
        <x:f>IF(AND(I$6&lt;=$H22,I$6+6&gt;=$G22),1,"")</x:f>
      </x:c>
      <x:c r="J22" s="167" t="str">
        <x:f>IF(AND(J$6&lt;=$H22,J$6+6&gt;=$G22),1,"")</x:f>
      </x:c>
      <x:c r="K22" s="167" t="str">
        <x:f>IF(AND(K$6&lt;=$H22,K$6+6&gt;=$G22),1,"")</x:f>
      </x:c>
      <x:c r="L22" s="167" t="str">
        <x:f>IF(AND(L$6&lt;=$H22,L$6+6&gt;=$G22),1,"")</x:f>
      </x:c>
      <x:c r="M22" s="167" t="n">
        <x:f>IF(AND(M$6&lt;=$H22,M$6+6&gt;=$G22),1,"")</x:f>
        <x:v>1</x:v>
      </x:c>
      <x:c r="N22" s="167" t="str">
        <x:f>IF(AND(N$6&lt;=$H22,N$6+6&gt;=$G22),1,"")</x:f>
      </x:c>
      <x:c r="O22" s="167" t="str">
        <x:f>IF(AND(O$6&lt;=$H22,O$6+6&gt;=$G22),1,"")</x:f>
      </x:c>
      <x:c r="P22" s="167" t="str">
        <x:f>IF(AND(P$6&lt;=$H22,P$6+6&gt;=$G22),1,"")</x:f>
      </x:c>
      <x:c r="Q22" s="167" t="str">
        <x:f>IF(AND(Q$6&lt;=$H22,Q$6+6&gt;=$G22),1,"")</x:f>
      </x:c>
      <x:c r="R22" s="167" t="str">
        <x:f>IF(AND(R$6&lt;=$H22,R$6+6&gt;=$G22),1,"")</x:f>
      </x:c>
      <x:c r="S22" s="167" t="str">
        <x:f>IF(AND(S$6&lt;=$H22,S$6+6&gt;=$G22),1,"")</x:f>
      </x:c>
      <x:c r="T22" s="167" t="str">
        <x:f>IF(AND(T$6&lt;=$H22,T$6+6&gt;=$G22),1,"")</x:f>
      </x:c>
      <x:c r="U22" s="168" t="str">
        <x:f>IF(AND(U$6&lt;=$H22,U$6+6&gt;=$G22),1,"")</x:f>
      </x:c>
    </x:row>
    <x:row r="23" ht="24" customHeight="1">
      <x:c r="A23" s="68" t="str">
        <x:f>'Simulation Tasks'!A21</x:f>
        <x:v>T-209</x:v>
      </x:c>
      <x:c r="B23" s="68" t="str">
        <x:f>'Simulation Tasks'!B21</x:f>
        <x:v>S1</x:v>
      </x:c>
      <x:c r="C23" s="68" t="str">
        <x:f>'Simulation Tasks'!C21</x:f>
        <x:v>Validation</x:v>
      </x:c>
      <x:c r="D23" s="68" t="str">
        <x:f>'Simulation Tasks'!D21</x:f>
        <x:v>S1 lock decision</x:v>
      </x:c>
      <x:c r="E23" s="68" t="str">
        <x:f>'Simulation Tasks'!E21</x:f>
        <x:v>T-203, T-204, T-205, T-206, T-208</x:v>
      </x:c>
      <x:c r="F23" s="68" t="str">
        <x:f>'Simulation Tasks'!F21</x:f>
        <x:v>Blocked</x:v>
      </x:c>
      <x:c r="G23" s="94" t="n">
        <x:f>'Simulation Tasks'!I21</x:f>
        <x:v>46268</x:v>
      </x:c>
      <x:c r="H23" s="94" t="n">
        <x:f>'Simulation Tasks'!J21</x:f>
        <x:v>46268</x:v>
      </x:c>
      <x:c r="I23" s="166" t="str">
        <x:f>IF(AND(I$6&lt;=$H23,I$6+6&gt;=$G23),1,"")</x:f>
      </x:c>
      <x:c r="J23" s="167" t="str">
        <x:f>IF(AND(J$6&lt;=$H23,J$6+6&gt;=$G23),1,"")</x:f>
      </x:c>
      <x:c r="K23" s="167" t="str">
        <x:f>IF(AND(K$6&lt;=$H23,K$6+6&gt;=$G23),1,"")</x:f>
      </x:c>
      <x:c r="L23" s="167" t="str">
        <x:f>IF(AND(L$6&lt;=$H23,L$6+6&gt;=$G23),1,"")</x:f>
      </x:c>
      <x:c r="M23" s="167" t="n">
        <x:f>IF(AND(M$6&lt;=$H23,M$6+6&gt;=$G23),1,"")</x:f>
        <x:v>1</x:v>
      </x:c>
      <x:c r="N23" s="167" t="str">
        <x:f>IF(AND(N$6&lt;=$H23,N$6+6&gt;=$G23),1,"")</x:f>
      </x:c>
      <x:c r="O23" s="167" t="str">
        <x:f>IF(AND(O$6&lt;=$H23,O$6+6&gt;=$G23),1,"")</x:f>
      </x:c>
      <x:c r="P23" s="167" t="str">
        <x:f>IF(AND(P$6&lt;=$H23,P$6+6&gt;=$G23),1,"")</x:f>
      </x:c>
      <x:c r="Q23" s="167" t="str">
        <x:f>IF(AND(Q$6&lt;=$H23,Q$6+6&gt;=$G23),1,"")</x:f>
      </x:c>
      <x:c r="R23" s="167" t="str">
        <x:f>IF(AND(R$6&lt;=$H23,R$6+6&gt;=$G23),1,"")</x:f>
      </x:c>
      <x:c r="S23" s="167" t="str">
        <x:f>IF(AND(S$6&lt;=$H23,S$6+6&gt;=$G23),1,"")</x:f>
      </x:c>
      <x:c r="T23" s="167" t="str">
        <x:f>IF(AND(T$6&lt;=$H23,T$6+6&gt;=$G23),1,"")</x:f>
      </x:c>
      <x:c r="U23" s="168" t="str">
        <x:f>IF(AND(U$6&lt;=$H23,U$6+6&gt;=$G23),1,"")</x:f>
      </x:c>
    </x:row>
    <x:row r="24" ht="24" customHeight="1">
      <x:c r="A24" s="68" t="str">
        <x:f>'Simulation Tasks'!A22</x:f>
        <x:v>T-301</x:v>
      </x:c>
      <x:c r="B24" s="68" t="str">
        <x:f>'Simulation Tasks'!B22</x:f>
        <x:v>S2</x:v>
      </x:c>
      <x:c r="C24" s="68" t="str">
        <x:f>'Simulation Tasks'!C22</x:f>
        <x:v>Architecture</x:v>
      </x:c>
      <x:c r="D24" s="68" t="str">
        <x:f>'Simulation Tasks'!D22</x:f>
        <x:v>Define common backend surface</x:v>
      </x:c>
      <x:c r="E24" s="68" t="str">
        <x:f>'Simulation Tasks'!E22</x:f>
        <x:v>S0, S1</x:v>
      </x:c>
      <x:c r="F24" s="68" t="str">
        <x:f>'Simulation Tasks'!F22</x:f>
        <x:v>Done</x:v>
      </x:c>
      <x:c r="G24" s="94" t="n">
        <x:f>'Simulation Tasks'!I22</x:f>
        <x:v>46279</x:v>
      </x:c>
      <x:c r="H24" s="94" t="n">
        <x:f>'Simulation Tasks'!J22</x:f>
        <x:v>46279</x:v>
      </x:c>
      <x:c r="I24" s="166" t="str">
        <x:f>IF(AND(I$6&lt;=$H24,I$6+6&gt;=$G24),1,"")</x:f>
      </x:c>
      <x:c r="J24" s="167" t="str">
        <x:f>IF(AND(J$6&lt;=$H24,J$6+6&gt;=$G24),1,"")</x:f>
      </x:c>
      <x:c r="K24" s="167" t="str">
        <x:f>IF(AND(K$6&lt;=$H24,K$6+6&gt;=$G24),1,"")</x:f>
      </x:c>
      <x:c r="L24" s="167" t="str">
        <x:f>IF(AND(L$6&lt;=$H24,L$6+6&gt;=$G24),1,"")</x:f>
      </x:c>
      <x:c r="M24" s="167" t="str">
        <x:f>IF(AND(M$6&lt;=$H24,M$6+6&gt;=$G24),1,"")</x:f>
      </x:c>
      <x:c r="N24" s="167" t="str">
        <x:f>IF(AND(N$6&lt;=$H24,N$6+6&gt;=$G24),1,"")</x:f>
      </x:c>
      <x:c r="O24" s="167" t="n">
        <x:f>IF(AND(O$6&lt;=$H24,O$6+6&gt;=$G24),1,"")</x:f>
        <x:v>1</x:v>
      </x:c>
      <x:c r="P24" s="167" t="str">
        <x:f>IF(AND(P$6&lt;=$H24,P$6+6&gt;=$G24),1,"")</x:f>
      </x:c>
      <x:c r="Q24" s="167" t="str">
        <x:f>IF(AND(Q$6&lt;=$H24,Q$6+6&gt;=$G24),1,"")</x:f>
      </x:c>
      <x:c r="R24" s="167" t="str">
        <x:f>IF(AND(R$6&lt;=$H24,R$6+6&gt;=$G24),1,"")</x:f>
      </x:c>
      <x:c r="S24" s="167" t="str">
        <x:f>IF(AND(S$6&lt;=$H24,S$6+6&gt;=$G24),1,"")</x:f>
      </x:c>
      <x:c r="T24" s="167" t="str">
        <x:f>IF(AND(T$6&lt;=$H24,T$6+6&gt;=$G24),1,"")</x:f>
      </x:c>
      <x:c r="U24" s="168" t="str">
        <x:f>IF(AND(U$6&lt;=$H24,U$6+6&gt;=$G24),1,"")</x:f>
      </x:c>
    </x:row>
    <x:row r="25" ht="24" customHeight="1">
      <x:c r="A25" s="68" t="str">
        <x:f>'Simulation Tasks'!A23</x:f>
        <x:v>T-302</x:v>
      </x:c>
      <x:c r="B25" s="68" t="str">
        <x:f>'Simulation Tasks'!B23</x:f>
        <x:v>S2</x:v>
      </x:c>
      <x:c r="C25" s="68" t="str">
        <x:f>'Simulation Tasks'!C23</x:f>
        <x:v>Control</x:v>
      </x:c>
      <x:c r="D25" s="68" t="str">
        <x:f>'Simulation Tasks'!D23</x:f>
        <x:v>Map ArmPose targets to MuJoCo controls</x:v>
      </x:c>
      <x:c r="E25" s="68" t="str">
        <x:f>'Simulation Tasks'!E23</x:f>
        <x:v>T-301</x:v>
      </x:c>
      <x:c r="F25" s="68" t="str">
        <x:f>'Simulation Tasks'!F23</x:f>
        <x:v>Done</x:v>
      </x:c>
      <x:c r="G25" s="94" t="n">
        <x:f>'Simulation Tasks'!I23</x:f>
        <x:v>46280</x:v>
      </x:c>
      <x:c r="H25" s="94" t="n">
        <x:f>'Simulation Tasks'!J23</x:f>
        <x:v>46280</x:v>
      </x:c>
      <x:c r="I25" s="166" t="str">
        <x:f>IF(AND(I$6&lt;=$H25,I$6+6&gt;=$G25),1,"")</x:f>
      </x:c>
      <x:c r="J25" s="167" t="str">
        <x:f>IF(AND(J$6&lt;=$H25,J$6+6&gt;=$G25),1,"")</x:f>
      </x:c>
      <x:c r="K25" s="167" t="str">
        <x:f>IF(AND(K$6&lt;=$H25,K$6+6&gt;=$G25),1,"")</x:f>
      </x:c>
      <x:c r="L25" s="167" t="str">
        <x:f>IF(AND(L$6&lt;=$H25,L$6+6&gt;=$G25),1,"")</x:f>
      </x:c>
      <x:c r="M25" s="167" t="str">
        <x:f>IF(AND(M$6&lt;=$H25,M$6+6&gt;=$G25),1,"")</x:f>
      </x:c>
      <x:c r="N25" s="167" t="str">
        <x:f>IF(AND(N$6&lt;=$H25,N$6+6&gt;=$G25),1,"")</x:f>
      </x:c>
      <x:c r="O25" s="167" t="n">
        <x:f>IF(AND(O$6&lt;=$H25,O$6+6&gt;=$G25),1,"")</x:f>
        <x:v>1</x:v>
      </x:c>
      <x:c r="P25" s="167" t="str">
        <x:f>IF(AND(P$6&lt;=$H25,P$6+6&gt;=$G25),1,"")</x:f>
      </x:c>
      <x:c r="Q25" s="167" t="str">
        <x:f>IF(AND(Q$6&lt;=$H25,Q$6+6&gt;=$G25),1,"")</x:f>
      </x:c>
      <x:c r="R25" s="167" t="str">
        <x:f>IF(AND(R$6&lt;=$H25,R$6+6&gt;=$G25),1,"")</x:f>
      </x:c>
      <x:c r="S25" s="167" t="str">
        <x:f>IF(AND(S$6&lt;=$H25,S$6+6&gt;=$G25),1,"")</x:f>
      </x:c>
      <x:c r="T25" s="167" t="str">
        <x:f>IF(AND(T$6&lt;=$H25,T$6+6&gt;=$G25),1,"")</x:f>
      </x:c>
      <x:c r="U25" s="168" t="str">
        <x:f>IF(AND(U$6&lt;=$H25,U$6+6&gt;=$G25),1,"")</x:f>
      </x:c>
    </x:row>
    <x:row r="26" ht="24" customHeight="1">
      <x:c r="A26" s="68" t="str">
        <x:f>'Simulation Tasks'!A24</x:f>
        <x:v>T-303</x:v>
      </x:c>
      <x:c r="B26" s="68" t="str">
        <x:f>'Simulation Tasks'!B24</x:f>
        <x:v>S2</x:v>
      </x:c>
      <x:c r="C26" s="68" t="str">
        <x:f>'Simulation Tasks'!C24</x:f>
        <x:v>MuJoCo</x:v>
      </x:c>
      <x:c r="D26" s="68" t="str">
        <x:f>'Simulation Tasks'!D24</x:f>
        <x:v>Read MuJoCo state into existing pose/contact structures</x:v>
      </x:c>
      <x:c r="E26" s="68" t="str">
        <x:f>'Simulation Tasks'!E24</x:f>
        <x:v>T-301, T-302</x:v>
      </x:c>
      <x:c r="F26" s="68" t="str">
        <x:f>'Simulation Tasks'!F24</x:f>
        <x:v>Done</x:v>
      </x:c>
      <x:c r="G26" s="94" t="n">
        <x:f>'Simulation Tasks'!I24</x:f>
        <x:v>46281</x:v>
      </x:c>
      <x:c r="H26" s="94" t="n">
        <x:f>'Simulation Tasks'!J24</x:f>
        <x:v>46281</x:v>
      </x:c>
      <x:c r="I26" s="166" t="str">
        <x:f>IF(AND(I$6&lt;=$H26,I$6+6&gt;=$G26),1,"")</x:f>
      </x:c>
      <x:c r="J26" s="167" t="str">
        <x:f>IF(AND(J$6&lt;=$H26,J$6+6&gt;=$G26),1,"")</x:f>
      </x:c>
      <x:c r="K26" s="167" t="str">
        <x:f>IF(AND(K$6&lt;=$H26,K$6+6&gt;=$G26),1,"")</x:f>
      </x:c>
      <x:c r="L26" s="167" t="str">
        <x:f>IF(AND(L$6&lt;=$H26,L$6+6&gt;=$G26),1,"")</x:f>
      </x:c>
      <x:c r="M26" s="167" t="str">
        <x:f>IF(AND(M$6&lt;=$H26,M$6+6&gt;=$G26),1,"")</x:f>
      </x:c>
      <x:c r="N26" s="167" t="str">
        <x:f>IF(AND(N$6&lt;=$H26,N$6+6&gt;=$G26),1,"")</x:f>
      </x:c>
      <x:c r="O26" s="167" t="n">
        <x:f>IF(AND(O$6&lt;=$H26,O$6+6&gt;=$G26),1,"")</x:f>
        <x:v>1</x:v>
      </x:c>
      <x:c r="P26" s="167" t="str">
        <x:f>IF(AND(P$6&lt;=$H26,P$6+6&gt;=$G26),1,"")</x:f>
      </x:c>
      <x:c r="Q26" s="167" t="str">
        <x:f>IF(AND(Q$6&lt;=$H26,Q$6+6&gt;=$G26),1,"")</x:f>
      </x:c>
      <x:c r="R26" s="167" t="str">
        <x:f>IF(AND(R$6&lt;=$H26,R$6+6&gt;=$G26),1,"")</x:f>
      </x:c>
      <x:c r="S26" s="167" t="str">
        <x:f>IF(AND(S$6&lt;=$H26,S$6+6&gt;=$G26),1,"")</x:f>
      </x:c>
      <x:c r="T26" s="167" t="str">
        <x:f>IF(AND(T$6&lt;=$H26,T$6+6&gt;=$G26),1,"")</x:f>
      </x:c>
      <x:c r="U26" s="168" t="str">
        <x:f>IF(AND(U$6&lt;=$H26,U$6+6&gt;=$G26),1,"")</x:f>
      </x:c>
    </x:row>
    <x:row r="27" ht="24" customHeight="1">
      <x:c r="A27" s="68" t="str">
        <x:f>'Simulation Tasks'!A25</x:f>
        <x:v>T-304</x:v>
      </x:c>
      <x:c r="B27" s="68" t="str">
        <x:f>'Simulation Tasks'!B25</x:f>
        <x:v>S2</x:v>
      </x:c>
      <x:c r="C27" s="68" t="str">
        <x:f>'Simulation Tasks'!C25</x:f>
        <x:v>Painting Model</x:v>
      </x:c>
      <x:c r="D27" s="68" t="str">
        <x:f>'Simulation Tasks'!D25</x:f>
        <x:v>Reuse VerticalCanvas for MuJoCo-driven paint</x:v>
      </x:c>
      <x:c r="E27" s="68" t="str">
        <x:f>'Simulation Tasks'!E25</x:f>
        <x:v>T-303</x:v>
      </x:c>
      <x:c r="F27" s="68" t="str">
        <x:f>'Simulation Tasks'!F25</x:f>
        <x:v>Done</x:v>
      </x:c>
      <x:c r="G27" s="94" t="n">
        <x:f>'Simulation Tasks'!I25</x:f>
        <x:v>46282</x:v>
      </x:c>
      <x:c r="H27" s="94" t="n">
        <x:f>'Simulation Tasks'!J25</x:f>
        <x:v>46282</x:v>
      </x:c>
      <x:c r="I27" s="166" t="str">
        <x:f>IF(AND(I$6&lt;=$H27,I$6+6&gt;=$G27),1,"")</x:f>
      </x:c>
      <x:c r="J27" s="167" t="str">
        <x:f>IF(AND(J$6&lt;=$H27,J$6+6&gt;=$G27),1,"")</x:f>
      </x:c>
      <x:c r="K27" s="167" t="str">
        <x:f>IF(AND(K$6&lt;=$H27,K$6+6&gt;=$G27),1,"")</x:f>
      </x:c>
      <x:c r="L27" s="167" t="str">
        <x:f>IF(AND(L$6&lt;=$H27,L$6+6&gt;=$G27),1,"")</x:f>
      </x:c>
      <x:c r="M27" s="167" t="str">
        <x:f>IF(AND(M$6&lt;=$H27,M$6+6&gt;=$G27),1,"")</x:f>
      </x:c>
      <x:c r="N27" s="167" t="str">
        <x:f>IF(AND(N$6&lt;=$H27,N$6+6&gt;=$G27),1,"")</x:f>
      </x:c>
      <x:c r="O27" s="167" t="n">
        <x:f>IF(AND(O$6&lt;=$H27,O$6+6&gt;=$G27),1,"")</x:f>
        <x:v>1</x:v>
      </x:c>
      <x:c r="P27" s="167" t="str">
        <x:f>IF(AND(P$6&lt;=$H27,P$6+6&gt;=$G27),1,"")</x:f>
      </x:c>
      <x:c r="Q27" s="167" t="str">
        <x:f>IF(AND(Q$6&lt;=$H27,Q$6+6&gt;=$G27),1,"")</x:f>
      </x:c>
      <x:c r="R27" s="167" t="str">
        <x:f>IF(AND(R$6&lt;=$H27,R$6+6&gt;=$G27),1,"")</x:f>
      </x:c>
      <x:c r="S27" s="167" t="str">
        <x:f>IF(AND(S$6&lt;=$H27,S$6+6&gt;=$G27),1,"")</x:f>
      </x:c>
      <x:c r="T27" s="167" t="str">
        <x:f>IF(AND(T$6&lt;=$H27,T$6+6&gt;=$G27),1,"")</x:f>
      </x:c>
      <x:c r="U27" s="168" t="str">
        <x:f>IF(AND(U$6&lt;=$H27,U$6+6&gt;=$G27),1,"")</x:f>
      </x:c>
    </x:row>
    <x:row r="28" ht="24" customHeight="1">
      <x:c r="A28" s="68" t="str">
        <x:f>'Simulation Tasks'!A26</x:f>
        <x:v>T-305</x:v>
      </x:c>
      <x:c r="B28" s="68" t="str">
        <x:f>'Simulation Tasks'!B26</x:f>
        <x:v>S2</x:v>
      </x:c>
      <x:c r="C28" s="68" t="str">
        <x:f>'Simulation Tasks'!C26</x:f>
        <x:v>Validation</x:v>
      </x:c>
      <x:c r="D28" s="68" t="str">
        <x:f>'Simulation Tasks'!D26</x:f>
        <x:v>Add scripted-stroke smoke tests</x:v>
      </x:c>
      <x:c r="E28" s="68" t="str">
        <x:f>'Simulation Tasks'!E26</x:f>
        <x:v>T-302, T-303, T-304</x:v>
      </x:c>
      <x:c r="F28" s="68" t="str">
        <x:f>'Simulation Tasks'!F26</x:f>
        <x:v>Done</x:v>
      </x:c>
      <x:c r="G28" s="94" t="n">
        <x:f>'Simulation Tasks'!I26</x:f>
        <x:v>46283</x:v>
      </x:c>
      <x:c r="H28" s="94" t="n">
        <x:f>'Simulation Tasks'!J26</x:f>
        <x:v>46283</x:v>
      </x:c>
      <x:c r="I28" s="166" t="str">
        <x:f>IF(AND(I$6&lt;=$H28,I$6+6&gt;=$G28),1,"")</x:f>
      </x:c>
      <x:c r="J28" s="167" t="str">
        <x:f>IF(AND(J$6&lt;=$H28,J$6+6&gt;=$G28),1,"")</x:f>
      </x:c>
      <x:c r="K28" s="167" t="str">
        <x:f>IF(AND(K$6&lt;=$H28,K$6+6&gt;=$G28),1,"")</x:f>
      </x:c>
      <x:c r="L28" s="167" t="str">
        <x:f>IF(AND(L$6&lt;=$H28,L$6+6&gt;=$G28),1,"")</x:f>
      </x:c>
      <x:c r="M28" s="167" t="str">
        <x:f>IF(AND(M$6&lt;=$H28,M$6+6&gt;=$G28),1,"")</x:f>
      </x:c>
      <x:c r="N28" s="167" t="str">
        <x:f>IF(AND(N$6&lt;=$H28,N$6+6&gt;=$G28),1,"")</x:f>
      </x:c>
      <x:c r="O28" s="167" t="n">
        <x:f>IF(AND(O$6&lt;=$H28,O$6+6&gt;=$G28),1,"")</x:f>
        <x:v>1</x:v>
      </x:c>
      <x:c r="P28" s="167" t="str">
        <x:f>IF(AND(P$6&lt;=$H28,P$6+6&gt;=$G28),1,"")</x:f>
      </x:c>
      <x:c r="Q28" s="167" t="str">
        <x:f>IF(AND(Q$6&lt;=$H28,Q$6+6&gt;=$G28),1,"")</x:f>
      </x:c>
      <x:c r="R28" s="167" t="str">
        <x:f>IF(AND(R$6&lt;=$H28,R$6+6&gt;=$G28),1,"")</x:f>
      </x:c>
      <x:c r="S28" s="167" t="str">
        <x:f>IF(AND(S$6&lt;=$H28,S$6+6&gt;=$G28),1,"")</x:f>
      </x:c>
      <x:c r="T28" s="167" t="str">
        <x:f>IF(AND(T$6&lt;=$H28,T$6+6&gt;=$G28),1,"")</x:f>
      </x:c>
      <x:c r="U28" s="168" t="str">
        <x:f>IF(AND(U$6&lt;=$H28,U$6+6&gt;=$G28),1,"")</x:f>
      </x:c>
    </x:row>
    <x:row r="29" ht="24" customHeight="1">
      <x:c r="A29" s="68" t="str">
        <x:f>'Simulation Tasks'!A27</x:f>
        <x:v>T-306</x:v>
      </x:c>
      <x:c r="B29" s="68" t="str">
        <x:f>'Simulation Tasks'!B27</x:f>
        <x:v>S2</x:v>
      </x:c>
      <x:c r="C29" s="68" t="str">
        <x:f>'Simulation Tasks'!C27</x:f>
        <x:v>Web/Runtime</x:v>
      </x:c>
      <x:c r="D29" s="68" t="str">
        <x:f>'Simulation Tasks'!D27</x:f>
        <x:v>Add backend selection to web runtime</x:v>
      </x:c>
      <x:c r="E29" s="68" t="str">
        <x:f>'Simulation Tasks'!E27</x:f>
        <x:v>T-301, T-304</x:v>
      </x:c>
      <x:c r="F29" s="68" t="str">
        <x:f>'Simulation Tasks'!F27</x:f>
        <x:v>Done</x:v>
      </x:c>
      <x:c r="G29" s="94" t="n">
        <x:f>'Simulation Tasks'!I27</x:f>
        <x:v>46286</x:v>
      </x:c>
      <x:c r="H29" s="94" t="n">
        <x:f>'Simulation Tasks'!J27</x:f>
        <x:v>46286</x:v>
      </x:c>
      <x:c r="I29" s="166" t="str">
        <x:f>IF(AND(I$6&lt;=$H29,I$6+6&gt;=$G29),1,"")</x:f>
      </x:c>
      <x:c r="J29" s="167" t="str">
        <x:f>IF(AND(J$6&lt;=$H29,J$6+6&gt;=$G29),1,"")</x:f>
      </x:c>
      <x:c r="K29" s="167" t="str">
        <x:f>IF(AND(K$6&lt;=$H29,K$6+6&gt;=$G29),1,"")</x:f>
      </x:c>
      <x:c r="L29" s="167" t="str">
        <x:f>IF(AND(L$6&lt;=$H29,L$6+6&gt;=$G29),1,"")</x:f>
      </x:c>
      <x:c r="M29" s="167" t="str">
        <x:f>IF(AND(M$6&lt;=$H29,M$6+6&gt;=$G29),1,"")</x:f>
      </x:c>
      <x:c r="N29" s="167" t="str">
        <x:f>IF(AND(N$6&lt;=$H29,N$6+6&gt;=$G29),1,"")</x:f>
      </x:c>
      <x:c r="O29" s="167" t="str">
        <x:f>IF(AND(O$6&lt;=$H29,O$6+6&gt;=$G29),1,"")</x:f>
      </x:c>
      <x:c r="P29" s="167" t="n">
        <x:f>IF(AND(P$6&lt;=$H29,P$6+6&gt;=$G29),1,"")</x:f>
        <x:v>1</x:v>
      </x:c>
      <x:c r="Q29" s="167" t="str">
        <x:f>IF(AND(Q$6&lt;=$H29,Q$6+6&gt;=$G29),1,"")</x:f>
      </x:c>
      <x:c r="R29" s="167" t="str">
        <x:f>IF(AND(R$6&lt;=$H29,R$6+6&gt;=$G29),1,"")</x:f>
      </x:c>
      <x:c r="S29" s="167" t="str">
        <x:f>IF(AND(S$6&lt;=$H29,S$6+6&gt;=$G29),1,"")</x:f>
      </x:c>
      <x:c r="T29" s="167" t="str">
        <x:f>IF(AND(T$6&lt;=$H29,T$6+6&gt;=$G29),1,"")</x:f>
      </x:c>
      <x:c r="U29" s="168" t="str">
        <x:f>IF(AND(U$6&lt;=$H29,U$6+6&gt;=$G29),1,"")</x:f>
      </x:c>
    </x:row>
    <x:row r="30" ht="24" customHeight="1">
      <x:c r="A30" s="68" t="str">
        <x:f>'Simulation Tasks'!A28</x:f>
        <x:v>T-307</x:v>
      </x:c>
      <x:c r="B30" s="68" t="str">
        <x:f>'Simulation Tasks'!B28</x:f>
        <x:v>S2</x:v>
      </x:c>
      <x:c r="C30" s="68" t="str">
        <x:f>'Simulation Tasks'!C28</x:f>
        <x:v>Telemetry</x:v>
      </x:c>
      <x:c r="D30" s="68" t="str">
        <x:f>'Simulation Tasks'!D28</x:f>
        <x:v>Adapt telemetry for MuJoCo backend</x:v>
      </x:c>
      <x:c r="E30" s="68" t="str">
        <x:f>'Simulation Tasks'!E28</x:f>
        <x:v>T-303, T-306</x:v>
      </x:c>
      <x:c r="F30" s="68" t="str">
        <x:f>'Simulation Tasks'!F28</x:f>
        <x:v>Done</x:v>
      </x:c>
      <x:c r="G30" s="94" t="n">
        <x:f>'Simulation Tasks'!I28</x:f>
        <x:v>46287</x:v>
      </x:c>
      <x:c r="H30" s="94" t="n">
        <x:f>'Simulation Tasks'!J28</x:f>
        <x:v>46287</x:v>
      </x:c>
      <x:c r="I30" s="166" t="str">
        <x:f>IF(AND(I$6&lt;=$H30,I$6+6&gt;=$G30),1,"")</x:f>
      </x:c>
      <x:c r="J30" s="167" t="str">
        <x:f>IF(AND(J$6&lt;=$H30,J$6+6&gt;=$G30),1,"")</x:f>
      </x:c>
      <x:c r="K30" s="167" t="str">
        <x:f>IF(AND(K$6&lt;=$H30,K$6+6&gt;=$G30),1,"")</x:f>
      </x:c>
      <x:c r="L30" s="167" t="str">
        <x:f>IF(AND(L$6&lt;=$H30,L$6+6&gt;=$G30),1,"")</x:f>
      </x:c>
      <x:c r="M30" s="167" t="str">
        <x:f>IF(AND(M$6&lt;=$H30,M$6+6&gt;=$G30),1,"")</x:f>
      </x:c>
      <x:c r="N30" s="167" t="str">
        <x:f>IF(AND(N$6&lt;=$H30,N$6+6&gt;=$G30),1,"")</x:f>
      </x:c>
      <x:c r="O30" s="167" t="str">
        <x:f>IF(AND(O$6&lt;=$H30,O$6+6&gt;=$G30),1,"")</x:f>
      </x:c>
      <x:c r="P30" s="167" t="n">
        <x:f>IF(AND(P$6&lt;=$H30,P$6+6&gt;=$G30),1,"")</x:f>
        <x:v>1</x:v>
      </x:c>
      <x:c r="Q30" s="167" t="str">
        <x:f>IF(AND(Q$6&lt;=$H30,Q$6+6&gt;=$G30),1,"")</x:f>
      </x:c>
      <x:c r="R30" s="167" t="str">
        <x:f>IF(AND(R$6&lt;=$H30,R$6+6&gt;=$G30),1,"")</x:f>
      </x:c>
      <x:c r="S30" s="167" t="str">
        <x:f>IF(AND(S$6&lt;=$H30,S$6+6&gt;=$G30),1,"")</x:f>
      </x:c>
      <x:c r="T30" s="167" t="str">
        <x:f>IF(AND(T$6&lt;=$H30,T$6+6&gt;=$G30),1,"")</x:f>
      </x:c>
      <x:c r="U30" s="168" t="str">
        <x:f>IF(AND(U$6&lt;=$H30,U$6+6&gt;=$G30),1,"")</x:f>
      </x:c>
    </x:row>
    <x:row r="31" ht="24" customHeight="1">
      <x:c r="A31" s="68" t="str">
        <x:f>'Simulation Tasks'!A29</x:f>
        <x:v>T-308</x:v>
      </x:c>
      <x:c r="B31" s="68" t="str">
        <x:f>'Simulation Tasks'!B29</x:f>
        <x:v>S2</x:v>
      </x:c>
      <x:c r="C31" s="68" t="str">
        <x:f>'Simulation Tasks'!C29</x:f>
        <x:v>Planning/Forecasting</x:v>
      </x:c>
      <x:c r="D31" s="68" t="str">
        <x:f>'Simulation Tasks'!D29</x:f>
        <x:v>Define MuJoCo forecast strategy</x:v>
      </x:c>
      <x:c r="E31" s="68" t="str">
        <x:f>'Simulation Tasks'!E29</x:f>
        <x:v>T-301, T-305</x:v>
      </x:c>
      <x:c r="F31" s="68" t="str">
        <x:f>'Simulation Tasks'!F29</x:f>
        <x:v>Done</x:v>
      </x:c>
      <x:c r="G31" s="94" t="n">
        <x:f>'Simulation Tasks'!I29</x:f>
        <x:v>46288</x:v>
      </x:c>
      <x:c r="H31" s="94" t="n">
        <x:f>'Simulation Tasks'!J29</x:f>
        <x:v>46288</x:v>
      </x:c>
      <x:c r="I31" s="166" t="str">
        <x:f>IF(AND(I$6&lt;=$H31,I$6+6&gt;=$G31),1,"")</x:f>
      </x:c>
      <x:c r="J31" s="167" t="str">
        <x:f>IF(AND(J$6&lt;=$H31,J$6+6&gt;=$G31),1,"")</x:f>
      </x:c>
      <x:c r="K31" s="167" t="str">
        <x:f>IF(AND(K$6&lt;=$H31,K$6+6&gt;=$G31),1,"")</x:f>
      </x:c>
      <x:c r="L31" s="167" t="str">
        <x:f>IF(AND(L$6&lt;=$H31,L$6+6&gt;=$G31),1,"")</x:f>
      </x:c>
      <x:c r="M31" s="167" t="str">
        <x:f>IF(AND(M$6&lt;=$H31,M$6+6&gt;=$G31),1,"")</x:f>
      </x:c>
      <x:c r="N31" s="167" t="str">
        <x:f>IF(AND(N$6&lt;=$H31,N$6+6&gt;=$G31),1,"")</x:f>
      </x:c>
      <x:c r="O31" s="167" t="str">
        <x:f>IF(AND(O$6&lt;=$H31,O$6+6&gt;=$G31),1,"")</x:f>
      </x:c>
      <x:c r="P31" s="167" t="n">
        <x:f>IF(AND(P$6&lt;=$H31,P$6+6&gt;=$G31),1,"")</x:f>
        <x:v>1</x:v>
      </x:c>
      <x:c r="Q31" s="167" t="str">
        <x:f>IF(AND(Q$6&lt;=$H31,Q$6+6&gt;=$G31),1,"")</x:f>
      </x:c>
      <x:c r="R31" s="167" t="str">
        <x:f>IF(AND(R$6&lt;=$H31,R$6+6&gt;=$G31),1,"")</x:f>
      </x:c>
      <x:c r="S31" s="167" t="str">
        <x:f>IF(AND(S$6&lt;=$H31,S$6+6&gt;=$G31),1,"")</x:f>
      </x:c>
      <x:c r="T31" s="167" t="str">
        <x:f>IF(AND(T$6&lt;=$H31,T$6+6&gt;=$G31),1,"")</x:f>
      </x:c>
      <x:c r="U31" s="168" t="str">
        <x:f>IF(AND(U$6&lt;=$H31,U$6+6&gt;=$G31),1,"")</x:f>
      </x:c>
    </x:row>
    <x:row r="32" ht="24" customHeight="1">
      <x:c r="A32" s="68" t="str">
        <x:f>'Simulation Tasks'!A30</x:f>
        <x:v>T-309</x:v>
      </x:c>
      <x:c r="B32" s="68" t="str">
        <x:f>'Simulation Tasks'!B30</x:f>
        <x:v>S2</x:v>
      </x:c>
      <x:c r="C32" s="68" t="str">
        <x:f>'Simulation Tasks'!C30</x:f>
        <x:v>Validation</x:v>
      </x:c>
      <x:c r="D32" s="68" t="str">
        <x:f>'Simulation Tasks'!D30</x:f>
        <x:v>Add backend parity checks</x:v>
      </x:c>
      <x:c r="E32" s="68" t="str">
        <x:f>'Simulation Tasks'!E30</x:f>
        <x:v>T-305, T-306</x:v>
      </x:c>
      <x:c r="F32" s="68" t="str">
        <x:f>'Simulation Tasks'!F30</x:f>
        <x:v>Active</x:v>
      </x:c>
      <x:c r="G32" s="94" t="n">
        <x:f>'Simulation Tasks'!I30</x:f>
        <x:v>46289</x:v>
      </x:c>
      <x:c r="H32" s="94" t="n">
        <x:f>'Simulation Tasks'!J30</x:f>
        <x:v>46289</x:v>
      </x:c>
      <x:c r="I32" s="166" t="str">
        <x:f>IF(AND(I$6&lt;=$H32,I$6+6&gt;=$G32),1,"")</x:f>
      </x:c>
      <x:c r="J32" s="167" t="str">
        <x:f>IF(AND(J$6&lt;=$H32,J$6+6&gt;=$G32),1,"")</x:f>
      </x:c>
      <x:c r="K32" s="167" t="str">
        <x:f>IF(AND(K$6&lt;=$H32,K$6+6&gt;=$G32),1,"")</x:f>
      </x:c>
      <x:c r="L32" s="167" t="str">
        <x:f>IF(AND(L$6&lt;=$H32,L$6+6&gt;=$G32),1,"")</x:f>
      </x:c>
      <x:c r="M32" s="167" t="str">
        <x:f>IF(AND(M$6&lt;=$H32,M$6+6&gt;=$G32),1,"")</x:f>
      </x:c>
      <x:c r="N32" s="167" t="str">
        <x:f>IF(AND(N$6&lt;=$H32,N$6+6&gt;=$G32),1,"")</x:f>
      </x:c>
      <x:c r="O32" s="167" t="str">
        <x:f>IF(AND(O$6&lt;=$H32,O$6+6&gt;=$G32),1,"")</x:f>
      </x:c>
      <x:c r="P32" s="167" t="n">
        <x:f>IF(AND(P$6&lt;=$H32,P$6+6&gt;=$G32),1,"")</x:f>
        <x:v>1</x:v>
      </x:c>
      <x:c r="Q32" s="167" t="str">
        <x:f>IF(AND(Q$6&lt;=$H32,Q$6+6&gt;=$G32),1,"")</x:f>
      </x:c>
      <x:c r="R32" s="167" t="str">
        <x:f>IF(AND(R$6&lt;=$H32,R$6+6&gt;=$G32),1,"")</x:f>
      </x:c>
      <x:c r="S32" s="167" t="str">
        <x:f>IF(AND(S$6&lt;=$H32,S$6+6&gt;=$G32),1,"")</x:f>
      </x:c>
      <x:c r="T32" s="167" t="str">
        <x:f>IF(AND(T$6&lt;=$H32,T$6+6&gt;=$G32),1,"")</x:f>
      </x:c>
      <x:c r="U32" s="168" t="str">
        <x:f>IF(AND(U$6&lt;=$H32,U$6+6&gt;=$G32),1,"")</x:f>
      </x:c>
    </x:row>
    <x:row r="33" ht="24" customHeight="1">
      <x:c r="A33" s="68" t="str">
        <x:f>'Simulation Tasks'!A31</x:f>
        <x:v>T-310</x:v>
      </x:c>
      <x:c r="B33" s="68" t="str">
        <x:f>'Simulation Tasks'!B31</x:f>
        <x:v>S2</x:v>
      </x:c>
      <x:c r="C33" s="68" t="str">
        <x:f>'Simulation Tasks'!C31</x:f>
        <x:v>Validation</x:v>
      </x:c>
      <x:c r="D33" s="68" t="str">
        <x:f>'Simulation Tasks'!D31</x:f>
        <x:v>S2 lock decision</x:v>
      </x:c>
      <x:c r="E33" s="68" t="str">
        <x:f>'Simulation Tasks'!E31</x:f>
        <x:v>T-305, T-306, T-307, T-308, T-309</x:v>
      </x:c>
      <x:c r="F33" s="68" t="str">
        <x:f>'Simulation Tasks'!F31</x:f>
        <x:v>Blocked</x:v>
      </x:c>
      <x:c r="G33" s="94" t="n">
        <x:f>'Simulation Tasks'!I31</x:f>
        <x:v>46290</x:v>
      </x:c>
      <x:c r="H33" s="94" t="n">
        <x:f>'Simulation Tasks'!J31</x:f>
        <x:v>46290</x:v>
      </x:c>
      <x:c r="I33" s="166" t="str">
        <x:f>IF(AND(I$6&lt;=$H33,I$6+6&gt;=$G33),1,"")</x:f>
      </x:c>
      <x:c r="J33" s="167" t="str">
        <x:f>IF(AND(J$6&lt;=$H33,J$6+6&gt;=$G33),1,"")</x:f>
      </x:c>
      <x:c r="K33" s="167" t="str">
        <x:f>IF(AND(K$6&lt;=$H33,K$6+6&gt;=$G33),1,"")</x:f>
      </x:c>
      <x:c r="L33" s="167" t="str">
        <x:f>IF(AND(L$6&lt;=$H33,L$6+6&gt;=$G33),1,"")</x:f>
      </x:c>
      <x:c r="M33" s="167" t="str">
        <x:f>IF(AND(M$6&lt;=$H33,M$6+6&gt;=$G33),1,"")</x:f>
      </x:c>
      <x:c r="N33" s="167" t="str">
        <x:f>IF(AND(N$6&lt;=$H33,N$6+6&gt;=$G33),1,"")</x:f>
      </x:c>
      <x:c r="O33" s="167" t="str">
        <x:f>IF(AND(O$6&lt;=$H33,O$6+6&gt;=$G33),1,"")</x:f>
      </x:c>
      <x:c r="P33" s="167" t="n">
        <x:f>IF(AND(P$6&lt;=$H33,P$6+6&gt;=$G33),1,"")</x:f>
        <x:v>1</x:v>
      </x:c>
      <x:c r="Q33" s="167" t="str">
        <x:f>IF(AND(Q$6&lt;=$H33,Q$6+6&gt;=$G33),1,"")</x:f>
      </x:c>
      <x:c r="R33" s="167" t="str">
        <x:f>IF(AND(R$6&lt;=$H33,R$6+6&gt;=$G33),1,"")</x:f>
      </x:c>
      <x:c r="S33" s="167" t="str">
        <x:f>IF(AND(S$6&lt;=$H33,S$6+6&gt;=$G33),1,"")</x:f>
      </x:c>
      <x:c r="T33" s="167" t="str">
        <x:f>IF(AND(T$6&lt;=$H33,T$6+6&gt;=$G33),1,"")</x:f>
      </x:c>
      <x:c r="U33" s="168" t="str">
        <x:f>IF(AND(U$6&lt;=$H33,U$6+6&gt;=$G33),1,"")</x:f>
      </x:c>
    </x:row>
    <x:row r="34" ht="24" customHeight="1">
      <x:c r="A34" s="68" t="str">
        <x:f>'Simulation Tasks'!A32</x:f>
        <x:v>T-401</x:v>
      </x:c>
      <x:c r="B34" s="68" t="str">
        <x:f>'Simulation Tasks'!B32</x:f>
        <x:v>M4</x:v>
      </x:c>
      <x:c r="C34" s="68" t="str">
        <x:f>'Simulation Tasks'!C32</x:f>
        <x:v>Architecture/Research Ops</x:v>
      </x:c>
      <x:c r="D34" s="68" t="str">
        <x:f>'Simulation Tasks'!D32</x:f>
        <x:v>Define the experimental-state contract</x:v>
      </x:c>
      <x:c r="E34" s="68" t="str">
        <x:f>'Simulation Tasks'!E32</x:f>
        <x:v>T-003, T-103, T-105</x:v>
      </x:c>
      <x:c r="F34" s="68" t="str">
        <x:f>'Simulation Tasks'!F32</x:f>
        <x:v>Blocked</x:v>
      </x:c>
      <x:c r="G34" s="94" t="n">
        <x:f>'Simulation Tasks'!I32</x:f>
        <x:v>46272</x:v>
      </x:c>
      <x:c r="H34" s="94" t="n">
        <x:f>'Simulation Tasks'!J32</x:f>
        <x:v>46272</x:v>
      </x:c>
      <x:c r="I34" s="166" t="str">
        <x:f>IF(AND(I$6&lt;=$H34,I$6+6&gt;=$G34),1,"")</x:f>
      </x:c>
      <x:c r="J34" s="167" t="str">
        <x:f>IF(AND(J$6&lt;=$H34,J$6+6&gt;=$G34),1,"")</x:f>
      </x:c>
      <x:c r="K34" s="167" t="str">
        <x:f>IF(AND(K$6&lt;=$H34,K$6+6&gt;=$G34),1,"")</x:f>
      </x:c>
      <x:c r="L34" s="167" t="str">
        <x:f>IF(AND(L$6&lt;=$H34,L$6+6&gt;=$G34),1,"")</x:f>
      </x:c>
      <x:c r="M34" s="167" t="str">
        <x:f>IF(AND(M$6&lt;=$H34,M$6+6&gt;=$G34),1,"")</x:f>
      </x:c>
      <x:c r="N34" s="167" t="n">
        <x:f>IF(AND(N$6&lt;=$H34,N$6+6&gt;=$G34),1,"")</x:f>
        <x:v>1</x:v>
      </x:c>
      <x:c r="O34" s="167" t="str">
        <x:f>IF(AND(O$6&lt;=$H34,O$6+6&gt;=$G34),1,"")</x:f>
      </x:c>
      <x:c r="P34" s="167" t="str">
        <x:f>IF(AND(P$6&lt;=$H34,P$6+6&gt;=$G34),1,"")</x:f>
      </x:c>
      <x:c r="Q34" s="167" t="str">
        <x:f>IF(AND(Q$6&lt;=$H34,Q$6+6&gt;=$G34),1,"")</x:f>
      </x:c>
      <x:c r="R34" s="167" t="str">
        <x:f>IF(AND(R$6&lt;=$H34,R$6+6&gt;=$G34),1,"")</x:f>
      </x:c>
      <x:c r="S34" s="167" t="str">
        <x:f>IF(AND(S$6&lt;=$H34,S$6+6&gt;=$G34),1,"")</x:f>
      </x:c>
      <x:c r="T34" s="167" t="str">
        <x:f>IF(AND(T$6&lt;=$H34,T$6+6&gt;=$G34),1,"")</x:f>
      </x:c>
      <x:c r="U34" s="168" t="str">
        <x:f>IF(AND(U$6&lt;=$H34,U$6+6&gt;=$G34),1,"")</x:f>
      </x:c>
    </x:row>
    <x:row r="35" ht="24" customHeight="1">
      <x:c r="A35" s="68" t="str">
        <x:f>'Simulation Tasks'!A33</x:f>
        <x:v>T-402</x:v>
      </x:c>
      <x:c r="B35" s="68" t="str">
        <x:f>'Simulation Tasks'!B33</x:f>
        <x:v>M4</x:v>
      </x:c>
      <x:c r="C35" s="68" t="str">
        <x:f>'Simulation Tasks'!C33</x:f>
        <x:v>Research Ops/Telemetry</x:v>
      </x:c>
      <x:c r="D35" s="68" t="str">
        <x:f>'Simulation Tasks'!D33</x:f>
        <x:v>Define clocks, revisions, and provenance</x:v>
      </x:c>
      <x:c r="E35" s="68" t="str">
        <x:f>'Simulation Tasks'!E33</x:f>
        <x:v>T-002, T-401</x:v>
      </x:c>
      <x:c r="F35" s="68" t="str">
        <x:f>'Simulation Tasks'!F33</x:f>
        <x:v>Blocked</x:v>
      </x:c>
      <x:c r="G35" s="94" t="n">
        <x:f>'Simulation Tasks'!I33</x:f>
        <x:v>46273</x:v>
      </x:c>
      <x:c r="H35" s="94" t="n">
        <x:f>'Simulation Tasks'!J33</x:f>
        <x:v>46273</x:v>
      </x:c>
      <x:c r="I35" s="166" t="str">
        <x:f>IF(AND(I$6&lt;=$H35,I$6+6&gt;=$G35),1,"")</x:f>
      </x:c>
      <x:c r="J35" s="167" t="str">
        <x:f>IF(AND(J$6&lt;=$H35,J$6+6&gt;=$G35),1,"")</x:f>
      </x:c>
      <x:c r="K35" s="167" t="str">
        <x:f>IF(AND(K$6&lt;=$H35,K$6+6&gt;=$G35),1,"")</x:f>
      </x:c>
      <x:c r="L35" s="167" t="str">
        <x:f>IF(AND(L$6&lt;=$H35,L$6+6&gt;=$G35),1,"")</x:f>
      </x:c>
      <x:c r="M35" s="167" t="str">
        <x:f>IF(AND(M$6&lt;=$H35,M$6+6&gt;=$G35),1,"")</x:f>
      </x:c>
      <x:c r="N35" s="167" t="n">
        <x:f>IF(AND(N$6&lt;=$H35,N$6+6&gt;=$G35),1,"")</x:f>
        <x:v>1</x:v>
      </x:c>
      <x:c r="O35" s="167" t="str">
        <x:f>IF(AND(O$6&lt;=$H35,O$6+6&gt;=$G35),1,"")</x:f>
      </x:c>
      <x:c r="P35" s="167" t="str">
        <x:f>IF(AND(P$6&lt;=$H35,P$6+6&gt;=$G35),1,"")</x:f>
      </x:c>
      <x:c r="Q35" s="167" t="str">
        <x:f>IF(AND(Q$6&lt;=$H35,Q$6+6&gt;=$G35),1,"")</x:f>
      </x:c>
      <x:c r="R35" s="167" t="str">
        <x:f>IF(AND(R$6&lt;=$H35,R$6+6&gt;=$G35),1,"")</x:f>
      </x:c>
      <x:c r="S35" s="167" t="str">
        <x:f>IF(AND(S$6&lt;=$H35,S$6+6&gt;=$G35),1,"")</x:f>
      </x:c>
      <x:c r="T35" s="167" t="str">
        <x:f>IF(AND(T$6&lt;=$H35,T$6+6&gt;=$G35),1,"")</x:f>
      </x:c>
      <x:c r="U35" s="168" t="str">
        <x:f>IF(AND(U$6&lt;=$H35,U$6+6&gt;=$G35),1,"")</x:f>
      </x:c>
    </x:row>
    <x:row r="36" ht="24" customHeight="1">
      <x:c r="A36" s="68" t="str">
        <x:f>'Simulation Tasks'!A34</x:f>
        <x:v>T-403</x:v>
      </x:c>
      <x:c r="B36" s="68" t="str">
        <x:f>'Simulation Tasks'!B34</x:f>
        <x:v>M4</x:v>
      </x:c>
      <x:c r="C36" s="68" t="str">
        <x:f>'Simulation Tasks'!C34</x:f>
        <x:v>Runtime/Web</x:v>
      </x:c>
      <x:c r="D36" s="68" t="str">
        <x:f>'Simulation Tasks'!D34</x:f>
        <x:v>Implement the native runtime adapter</x:v>
      </x:c>
      <x:c r="E36" s="68" t="str">
        <x:f>'Simulation Tasks'!E34</x:f>
        <x:v>T-401, T-402</x:v>
      </x:c>
      <x:c r="F36" s="68" t="str">
        <x:f>'Simulation Tasks'!F34</x:f>
        <x:v>Blocked</x:v>
      </x:c>
      <x:c r="G36" s="94" t="n">
        <x:f>'Simulation Tasks'!I34</x:f>
        <x:v>46274</x:v>
      </x:c>
      <x:c r="H36" s="94" t="n">
        <x:f>'Simulation Tasks'!J34</x:f>
        <x:v>46274</x:v>
      </x:c>
      <x:c r="I36" s="166" t="str">
        <x:f>IF(AND(I$6&lt;=$H36,I$6+6&gt;=$G36),1,"")</x:f>
      </x:c>
      <x:c r="J36" s="167" t="str">
        <x:f>IF(AND(J$6&lt;=$H36,J$6+6&gt;=$G36),1,"")</x:f>
      </x:c>
      <x:c r="K36" s="167" t="str">
        <x:f>IF(AND(K$6&lt;=$H36,K$6+6&gt;=$G36),1,"")</x:f>
      </x:c>
      <x:c r="L36" s="167" t="str">
        <x:f>IF(AND(L$6&lt;=$H36,L$6+6&gt;=$G36),1,"")</x:f>
      </x:c>
      <x:c r="M36" s="167" t="str">
        <x:f>IF(AND(M$6&lt;=$H36,M$6+6&gt;=$G36),1,"")</x:f>
      </x:c>
      <x:c r="N36" s="167" t="n">
        <x:f>IF(AND(N$6&lt;=$H36,N$6+6&gt;=$G36),1,"")</x:f>
        <x:v>1</x:v>
      </x:c>
      <x:c r="O36" s="167" t="str">
        <x:f>IF(AND(O$6&lt;=$H36,O$6+6&gt;=$G36),1,"")</x:f>
      </x:c>
      <x:c r="P36" s="167" t="str">
        <x:f>IF(AND(P$6&lt;=$H36,P$6+6&gt;=$G36),1,"")</x:f>
      </x:c>
      <x:c r="Q36" s="167" t="str">
        <x:f>IF(AND(Q$6&lt;=$H36,Q$6+6&gt;=$G36),1,"")</x:f>
      </x:c>
      <x:c r="R36" s="167" t="str">
        <x:f>IF(AND(R$6&lt;=$H36,R$6+6&gt;=$G36),1,"")</x:f>
      </x:c>
      <x:c r="S36" s="167" t="str">
        <x:f>IF(AND(S$6&lt;=$H36,S$6+6&gt;=$G36),1,"")</x:f>
      </x:c>
      <x:c r="T36" s="167" t="str">
        <x:f>IF(AND(T$6&lt;=$H36,T$6+6&gt;=$G36),1,"")</x:f>
      </x:c>
      <x:c r="U36" s="168" t="str">
        <x:f>IF(AND(U$6&lt;=$H36,U$6+6&gt;=$G36),1,"")</x:f>
      </x:c>
    </x:row>
    <x:row r="37" ht="24" customHeight="1">
      <x:c r="A37" s="68" t="str">
        <x:f>'Simulation Tasks'!A35</x:f>
        <x:v>T-404</x:v>
      </x:c>
      <x:c r="B37" s="68" t="str">
        <x:f>'Simulation Tasks'!B35</x:f>
        <x:v>M4</x:v>
      </x:c>
      <x:c r="C37" s="68" t="str">
        <x:f>'Simulation Tasks'!C35</x:f>
        <x:v>Web</x:v>
      </x:c>
      <x:c r="D37" s="68" t="str">
        <x:f>'Simulation Tasks'!D35</x:f>
        <x:v>Reuse the Three.js arm and canvas scene</x:v>
      </x:c>
      <x:c r="E37" s="68" t="str">
        <x:f>'Simulation Tasks'!E35</x:f>
        <x:v>T-403</x:v>
      </x:c>
      <x:c r="F37" s="68" t="str">
        <x:f>'Simulation Tasks'!F35</x:f>
        <x:v>Blocked</x:v>
      </x:c>
      <x:c r="G37" s="94" t="n">
        <x:f>'Simulation Tasks'!I35</x:f>
        <x:v>46275</x:v>
      </x:c>
      <x:c r="H37" s="94" t="n">
        <x:f>'Simulation Tasks'!J35</x:f>
        <x:v>46275</x:v>
      </x:c>
      <x:c r="I37" s="166" t="str">
        <x:f>IF(AND(I$6&lt;=$H37,I$6+6&gt;=$G37),1,"")</x:f>
      </x:c>
      <x:c r="J37" s="167" t="str">
        <x:f>IF(AND(J$6&lt;=$H37,J$6+6&gt;=$G37),1,"")</x:f>
      </x:c>
      <x:c r="K37" s="167" t="str">
        <x:f>IF(AND(K$6&lt;=$H37,K$6+6&gt;=$G37),1,"")</x:f>
      </x:c>
      <x:c r="L37" s="167" t="str">
        <x:f>IF(AND(L$6&lt;=$H37,L$6+6&gt;=$G37),1,"")</x:f>
      </x:c>
      <x:c r="M37" s="167" t="str">
        <x:f>IF(AND(M$6&lt;=$H37,M$6+6&gt;=$G37),1,"")</x:f>
      </x:c>
      <x:c r="N37" s="167" t="n">
        <x:f>IF(AND(N$6&lt;=$H37,N$6+6&gt;=$G37),1,"")</x:f>
        <x:v>1</x:v>
      </x:c>
      <x:c r="O37" s="167" t="str">
        <x:f>IF(AND(O$6&lt;=$H37,O$6+6&gt;=$G37),1,"")</x:f>
      </x:c>
      <x:c r="P37" s="167" t="str">
        <x:f>IF(AND(P$6&lt;=$H37,P$6+6&gt;=$G37),1,"")</x:f>
      </x:c>
      <x:c r="Q37" s="167" t="str">
        <x:f>IF(AND(Q$6&lt;=$H37,Q$6+6&gt;=$G37),1,"")</x:f>
      </x:c>
      <x:c r="R37" s="167" t="str">
        <x:f>IF(AND(R$6&lt;=$H37,R$6+6&gt;=$G37),1,"")</x:f>
      </x:c>
      <x:c r="S37" s="167" t="str">
        <x:f>IF(AND(S$6&lt;=$H37,S$6+6&gt;=$G37),1,"")</x:f>
      </x:c>
      <x:c r="T37" s="167" t="str">
        <x:f>IF(AND(T$6&lt;=$H37,T$6+6&gt;=$G37),1,"")</x:f>
      </x:c>
      <x:c r="U37" s="168" t="str">
        <x:f>IF(AND(U$6&lt;=$H37,U$6+6&gt;=$G37),1,"")</x:f>
      </x:c>
    </x:row>
    <x:row r="38" ht="24" customHeight="1">
      <x:c r="A38" s="68" t="str">
        <x:f>'Simulation Tasks'!A36</x:f>
        <x:v>T-405</x:v>
      </x:c>
      <x:c r="B38" s="68" t="str">
        <x:f>'Simulation Tasks'!B36</x:f>
        <x:v>M4</x:v>
      </x:c>
      <x:c r="C38" s="68" t="str">
        <x:f>'Simulation Tasks'!C36</x:f>
        <x:v>Web/Observation Boundary</x:v>
      </x:c>
      <x:c r="D38" s="68" t="str">
        <x:f>'Simulation Tasks'!D36</x:f>
        <x:v>Separate material truth, observation, and prediction views</x:v>
      </x:c>
      <x:c r="E38" s="68" t="str">
        <x:f>'Simulation Tasks'!E36</x:f>
        <x:v>T-102, T-403</x:v>
      </x:c>
      <x:c r="F38" s="68" t="str">
        <x:f>'Simulation Tasks'!F36</x:f>
        <x:v>Blocked</x:v>
      </x:c>
      <x:c r="G38" s="94" t="n">
        <x:f>'Simulation Tasks'!I36</x:f>
        <x:v>46276</x:v>
      </x:c>
      <x:c r="H38" s="94" t="n">
        <x:f>'Simulation Tasks'!J36</x:f>
        <x:v>46279</x:v>
      </x:c>
      <x:c r="I38" s="166" t="str">
        <x:f>IF(AND(I$6&lt;=$H38,I$6+6&gt;=$G38),1,"")</x:f>
      </x:c>
      <x:c r="J38" s="167" t="str">
        <x:f>IF(AND(J$6&lt;=$H38,J$6+6&gt;=$G38),1,"")</x:f>
      </x:c>
      <x:c r="K38" s="167" t="str">
        <x:f>IF(AND(K$6&lt;=$H38,K$6+6&gt;=$G38),1,"")</x:f>
      </x:c>
      <x:c r="L38" s="167" t="str">
        <x:f>IF(AND(L$6&lt;=$H38,L$6+6&gt;=$G38),1,"")</x:f>
      </x:c>
      <x:c r="M38" s="167" t="str">
        <x:f>IF(AND(M$6&lt;=$H38,M$6+6&gt;=$G38),1,"")</x:f>
      </x:c>
      <x:c r="N38" s="167" t="n">
        <x:f>IF(AND(N$6&lt;=$H38,N$6+6&gt;=$G38),1,"")</x:f>
        <x:v>1</x:v>
      </x:c>
      <x:c r="O38" s="167" t="n">
        <x:f>IF(AND(O$6&lt;=$H38,O$6+6&gt;=$G38),1,"")</x:f>
        <x:v>1</x:v>
      </x:c>
      <x:c r="P38" s="167" t="str">
        <x:f>IF(AND(P$6&lt;=$H38,P$6+6&gt;=$G38),1,"")</x:f>
      </x:c>
      <x:c r="Q38" s="167" t="str">
        <x:f>IF(AND(Q$6&lt;=$H38,Q$6+6&gt;=$G38),1,"")</x:f>
      </x:c>
      <x:c r="R38" s="167" t="str">
        <x:f>IF(AND(R$6&lt;=$H38,R$6+6&gt;=$G38),1,"")</x:f>
      </x:c>
      <x:c r="S38" s="167" t="str">
        <x:f>IF(AND(S$6&lt;=$H38,S$6+6&gt;=$G38),1,"")</x:f>
      </x:c>
      <x:c r="T38" s="167" t="str">
        <x:f>IF(AND(T$6&lt;=$H38,T$6+6&gt;=$G38),1,"")</x:f>
      </x:c>
      <x:c r="U38" s="168" t="str">
        <x:f>IF(AND(U$6&lt;=$H38,U$6+6&gt;=$G38),1,"")</x:f>
      </x:c>
    </x:row>
    <x:row r="39" ht="24" customHeight="1">
      <x:c r="A39" s="68" t="str">
        <x:f>'Simulation Tasks'!A37</x:f>
        <x:v>T-406</x:v>
      </x:c>
      <x:c r="B39" s="68" t="str">
        <x:f>'Simulation Tasks'!B37</x:f>
        <x:v>M4</x:v>
      </x:c>
      <x:c r="C39" s="68" t="str">
        <x:f>'Simulation Tasks'!C37</x:f>
        <x:v>Web/Runtime</x:v>
      </x:c>
      <x:c r="D39" s="68" t="str">
        <x:f>'Simulation Tasks'!D37</x:f>
        <x:v>Handle capabilities, stale state, and runtime errors</x:v>
      </x:c>
      <x:c r="E39" s="68" t="str">
        <x:f>'Simulation Tasks'!E37</x:f>
        <x:v>T-402, T-403, T-404</x:v>
      </x:c>
      <x:c r="F39" s="68" t="str">
        <x:f>'Simulation Tasks'!F37</x:f>
        <x:v>Blocked</x:v>
      </x:c>
      <x:c r="G39" s="94" t="n">
        <x:f>'Simulation Tasks'!I37</x:f>
        <x:v>46280</x:v>
      </x:c>
      <x:c r="H39" s="94" t="n">
        <x:f>'Simulation Tasks'!J37</x:f>
        <x:v>46280</x:v>
      </x:c>
      <x:c r="I39" s="166" t="str">
        <x:f>IF(AND(I$6&lt;=$H39,I$6+6&gt;=$G39),1,"")</x:f>
      </x:c>
      <x:c r="J39" s="167" t="str">
        <x:f>IF(AND(J$6&lt;=$H39,J$6+6&gt;=$G39),1,"")</x:f>
      </x:c>
      <x:c r="K39" s="167" t="str">
        <x:f>IF(AND(K$6&lt;=$H39,K$6+6&gt;=$G39),1,"")</x:f>
      </x:c>
      <x:c r="L39" s="167" t="str">
        <x:f>IF(AND(L$6&lt;=$H39,L$6+6&gt;=$G39),1,"")</x:f>
      </x:c>
      <x:c r="M39" s="167" t="str">
        <x:f>IF(AND(M$6&lt;=$H39,M$6+6&gt;=$G39),1,"")</x:f>
      </x:c>
      <x:c r="N39" s="167" t="str">
        <x:f>IF(AND(N$6&lt;=$H39,N$6+6&gt;=$G39),1,"")</x:f>
      </x:c>
      <x:c r="O39" s="167" t="n">
        <x:f>IF(AND(O$6&lt;=$H39,O$6+6&gt;=$G39),1,"")</x:f>
        <x:v>1</x:v>
      </x:c>
      <x:c r="P39" s="167" t="str">
        <x:f>IF(AND(P$6&lt;=$H39,P$6+6&gt;=$G39),1,"")</x:f>
      </x:c>
      <x:c r="Q39" s="167" t="str">
        <x:f>IF(AND(Q$6&lt;=$H39,Q$6+6&gt;=$G39),1,"")</x:f>
      </x:c>
      <x:c r="R39" s="167" t="str">
        <x:f>IF(AND(R$6&lt;=$H39,R$6+6&gt;=$G39),1,"")</x:f>
      </x:c>
      <x:c r="S39" s="167" t="str">
        <x:f>IF(AND(S$6&lt;=$H39,S$6+6&gt;=$G39),1,"")</x:f>
      </x:c>
      <x:c r="T39" s="167" t="str">
        <x:f>IF(AND(T$6&lt;=$H39,T$6+6&gt;=$G39),1,"")</x:f>
      </x:c>
      <x:c r="U39" s="168" t="str">
        <x:f>IF(AND(U$6&lt;=$H39,U$6+6&gt;=$G39),1,"")</x:f>
      </x:c>
    </x:row>
    <x:row r="40" ht="24" customHeight="1">
      <x:c r="A40" s="68" t="str">
        <x:f>'Simulation Tasks'!A38</x:f>
        <x:v>T-407</x:v>
      </x:c>
      <x:c r="B40" s="68" t="str">
        <x:f>'Simulation Tasks'!B38</x:f>
        <x:v>M4</x:v>
      </x:c>
      <x:c r="C40" s="68" t="str">
        <x:f>'Simulation Tasks'!C38</x:f>
        <x:v>Web/Active-Inference Diagnostics</x:v>
      </x:c>
      <x:c r="D40" s="68" t="str">
        <x:f>'Simulation Tasks'!D38</x:f>
        <x:v>Add belief, prediction, and policy overlays</x:v>
      </x:c>
      <x:c r="E40" s="68" t="str">
        <x:f>'Simulation Tasks'!E38</x:f>
        <x:v>AI-101, T-403, T-405</x:v>
      </x:c>
      <x:c r="F40" s="68" t="str">
        <x:f>'Simulation Tasks'!F38</x:f>
        <x:v>Blocked</x:v>
      </x:c>
      <x:c r="G40" s="94" t="n">
        <x:f>'Simulation Tasks'!I38</x:f>
        <x:v>46281</x:v>
      </x:c>
      <x:c r="H40" s="94" t="n">
        <x:f>'Simulation Tasks'!J38</x:f>
        <x:v>46282</x:v>
      </x:c>
      <x:c r="I40" s="166" t="str">
        <x:f>IF(AND(I$6&lt;=$H40,I$6+6&gt;=$G40),1,"")</x:f>
      </x:c>
      <x:c r="J40" s="167" t="str">
        <x:f>IF(AND(J$6&lt;=$H40,J$6+6&gt;=$G40),1,"")</x:f>
      </x:c>
      <x:c r="K40" s="167" t="str">
        <x:f>IF(AND(K$6&lt;=$H40,K$6+6&gt;=$G40),1,"")</x:f>
      </x:c>
      <x:c r="L40" s="167" t="str">
        <x:f>IF(AND(L$6&lt;=$H40,L$6+6&gt;=$G40),1,"")</x:f>
      </x:c>
      <x:c r="M40" s="167" t="str">
        <x:f>IF(AND(M$6&lt;=$H40,M$6+6&gt;=$G40),1,"")</x:f>
      </x:c>
      <x:c r="N40" s="167" t="str">
        <x:f>IF(AND(N$6&lt;=$H40,N$6+6&gt;=$G40),1,"")</x:f>
      </x:c>
      <x:c r="O40" s="167" t="n">
        <x:f>IF(AND(O$6&lt;=$H40,O$6+6&gt;=$G40),1,"")</x:f>
        <x:v>1</x:v>
      </x:c>
      <x:c r="P40" s="167" t="str">
        <x:f>IF(AND(P$6&lt;=$H40,P$6+6&gt;=$G40),1,"")</x:f>
      </x:c>
      <x:c r="Q40" s="167" t="str">
        <x:f>IF(AND(Q$6&lt;=$H40,Q$6+6&gt;=$G40),1,"")</x:f>
      </x:c>
      <x:c r="R40" s="167" t="str">
        <x:f>IF(AND(R$6&lt;=$H40,R$6+6&gt;=$G40),1,"")</x:f>
      </x:c>
      <x:c r="S40" s="167" t="str">
        <x:f>IF(AND(S$6&lt;=$H40,S$6+6&gt;=$G40),1,"")</x:f>
      </x:c>
      <x:c r="T40" s="167" t="str">
        <x:f>IF(AND(T$6&lt;=$H40,T$6+6&gt;=$G40),1,"")</x:f>
      </x:c>
      <x:c r="U40" s="168" t="str">
        <x:f>IF(AND(U$6&lt;=$H40,U$6+6&gt;=$G40),1,"")</x:f>
      </x:c>
    </x:row>
    <x:row r="41" ht="24" customHeight="1">
      <x:c r="A41" s="68" t="str">
        <x:f>'Simulation Tasks'!A39</x:f>
        <x:v>T-408</x:v>
      </x:c>
      <x:c r="B41" s="68" t="str">
        <x:f>'Simulation Tasks'!B39</x:f>
        <x:v>M4</x:v>
      </x:c>
      <x:c r="C41" s="68" t="str">
        <x:f>'Simulation Tasks'!C39</x:f>
        <x:v>Research Ops</x:v>
      </x:c>
      <x:c r="D41" s="68" t="str">
        <x:f>'Simulation Tasks'!D39</x:f>
        <x:v>Implement synchronized experiment artifact capture</x:v>
      </x:c>
      <x:c r="E41" s="68" t="str">
        <x:f>'Simulation Tasks'!E39</x:f>
        <x:v>T-003, T-402, T-405, T-407</x:v>
      </x:c>
      <x:c r="F41" s="68" t="str">
        <x:f>'Simulation Tasks'!F39</x:f>
        <x:v>Blocked</x:v>
      </x:c>
      <x:c r="G41" s="94" t="n">
        <x:f>'Simulation Tasks'!I39</x:f>
        <x:v>46283</x:v>
      </x:c>
      <x:c r="H41" s="94" t="n">
        <x:f>'Simulation Tasks'!J39</x:f>
        <x:v>46286</x:v>
      </x:c>
      <x:c r="I41" s="166" t="str">
        <x:f>IF(AND(I$6&lt;=$H41,I$6+6&gt;=$G41),1,"")</x:f>
      </x:c>
      <x:c r="J41" s="167" t="str">
        <x:f>IF(AND(J$6&lt;=$H41,J$6+6&gt;=$G41),1,"")</x:f>
      </x:c>
      <x:c r="K41" s="167" t="str">
        <x:f>IF(AND(K$6&lt;=$H41,K$6+6&gt;=$G41),1,"")</x:f>
      </x:c>
      <x:c r="L41" s="167" t="str">
        <x:f>IF(AND(L$6&lt;=$H41,L$6+6&gt;=$G41),1,"")</x:f>
      </x:c>
      <x:c r="M41" s="167" t="str">
        <x:f>IF(AND(M$6&lt;=$H41,M$6+6&gt;=$G41),1,"")</x:f>
      </x:c>
      <x:c r="N41" s="167" t="str">
        <x:f>IF(AND(N$6&lt;=$H41,N$6+6&gt;=$G41),1,"")</x:f>
      </x:c>
      <x:c r="O41" s="167" t="n">
        <x:f>IF(AND(O$6&lt;=$H41,O$6+6&gt;=$G41),1,"")</x:f>
        <x:v>1</x:v>
      </x:c>
      <x:c r="P41" s="167" t="n">
        <x:f>IF(AND(P$6&lt;=$H41,P$6+6&gt;=$G41),1,"")</x:f>
        <x:v>1</x:v>
      </x:c>
      <x:c r="Q41" s="167" t="str">
        <x:f>IF(AND(Q$6&lt;=$H41,Q$6+6&gt;=$G41),1,"")</x:f>
      </x:c>
      <x:c r="R41" s="167" t="str">
        <x:f>IF(AND(R$6&lt;=$H41,R$6+6&gt;=$G41),1,"")</x:f>
      </x:c>
      <x:c r="S41" s="167" t="str">
        <x:f>IF(AND(S$6&lt;=$H41,S$6+6&gt;=$G41),1,"")</x:f>
      </x:c>
      <x:c r="T41" s="167" t="str">
        <x:f>IF(AND(T$6&lt;=$H41,T$6+6&gt;=$G41),1,"")</x:f>
      </x:c>
      <x:c r="U41" s="168" t="str">
        <x:f>IF(AND(U$6&lt;=$H41,U$6+6&gt;=$G41),1,"")</x:f>
      </x:c>
    </x:row>
    <x:row r="42" ht="24" customHeight="1">
      <x:c r="A42" s="68" t="str">
        <x:f>'Simulation Tasks'!A40</x:f>
        <x:v>T-409</x:v>
      </x:c>
      <x:c r="B42" s="68" t="str">
        <x:f>'Simulation Tasks'!B40</x:f>
        <x:v>M4</x:v>
      </x:c>
      <x:c r="C42" s="68" t="str">
        <x:f>'Simulation Tasks'!C40</x:f>
        <x:v>Validation</x:v>
      </x:c>
      <x:c r="D42" s="68" t="str">
        <x:f>'Simulation Tasks'!D40</x:f>
        <x:v>Add contract and synchronization tests</x:v>
      </x:c>
      <x:c r="E42" s="68" t="str">
        <x:f>'Simulation Tasks'!E40</x:f>
        <x:v>T-403, T-405, T-406, T-407, T-408</x:v>
      </x:c>
      <x:c r="F42" s="68" t="str">
        <x:f>'Simulation Tasks'!F40</x:f>
        <x:v>Blocked</x:v>
      </x:c>
      <x:c r="G42" s="94" t="n">
        <x:f>'Simulation Tasks'!I40</x:f>
        <x:v>46287</x:v>
      </x:c>
      <x:c r="H42" s="94" t="n">
        <x:f>'Simulation Tasks'!J40</x:f>
        <x:v>46288</x:v>
      </x:c>
      <x:c r="I42" s="166" t="str">
        <x:f>IF(AND(I$6&lt;=$H42,I$6+6&gt;=$G42),1,"")</x:f>
      </x:c>
      <x:c r="J42" s="167" t="str">
        <x:f>IF(AND(J$6&lt;=$H42,J$6+6&gt;=$G42),1,"")</x:f>
      </x:c>
      <x:c r="K42" s="167" t="str">
        <x:f>IF(AND(K$6&lt;=$H42,K$6+6&gt;=$G42),1,"")</x:f>
      </x:c>
      <x:c r="L42" s="167" t="str">
        <x:f>IF(AND(L$6&lt;=$H42,L$6+6&gt;=$G42),1,"")</x:f>
      </x:c>
      <x:c r="M42" s="167" t="str">
        <x:f>IF(AND(M$6&lt;=$H42,M$6+6&gt;=$G42),1,"")</x:f>
      </x:c>
      <x:c r="N42" s="167" t="str">
        <x:f>IF(AND(N$6&lt;=$H42,N$6+6&gt;=$G42),1,"")</x:f>
      </x:c>
      <x:c r="O42" s="167" t="str">
        <x:f>IF(AND(O$6&lt;=$H42,O$6+6&gt;=$G42),1,"")</x:f>
      </x:c>
      <x:c r="P42" s="167" t="n">
        <x:f>IF(AND(P$6&lt;=$H42,P$6+6&gt;=$G42),1,"")</x:f>
        <x:v>1</x:v>
      </x:c>
      <x:c r="Q42" s="167" t="str">
        <x:f>IF(AND(Q$6&lt;=$H42,Q$6+6&gt;=$G42),1,"")</x:f>
      </x:c>
      <x:c r="R42" s="167" t="str">
        <x:f>IF(AND(R$6&lt;=$H42,R$6+6&gt;=$G42),1,"")</x:f>
      </x:c>
      <x:c r="S42" s="167" t="str">
        <x:f>IF(AND(S$6&lt;=$H42,S$6+6&gt;=$G42),1,"")</x:f>
      </x:c>
      <x:c r="T42" s="167" t="str">
        <x:f>IF(AND(T$6&lt;=$H42,T$6+6&gt;=$G42),1,"")</x:f>
      </x:c>
      <x:c r="U42" s="168" t="str">
        <x:f>IF(AND(U$6&lt;=$H42,U$6+6&gt;=$G42),1,"")</x:f>
      </x:c>
    </x:row>
    <x:row r="43" ht="24" customHeight="1">
      <x:c r="A43" s="68" t="str">
        <x:f>'Simulation Tasks'!A41</x:f>
        <x:v>T-411</x:v>
      </x:c>
      <x:c r="B43" s="68" t="str">
        <x:f>'Simulation Tasks'!B41</x:f>
        <x:v>M4</x:v>
      </x:c>
      <x:c r="C43" s="68" t="str">
        <x:f>'Simulation Tasks'!C41</x:f>
        <x:v>Web/Manual Validation</x:v>
      </x:c>
      <x:c r="D43" s="68" t="str">
        <x:f>'Simulation Tasks'!D41</x:f>
        <x:v>Validate responsiveness and visual legibility</x:v>
      </x:c>
      <x:c r="E43" s="68" t="str">
        <x:f>'Simulation Tasks'!E41</x:f>
        <x:v>T-404, T-405, T-406, T-407</x:v>
      </x:c>
      <x:c r="F43" s="68" t="str">
        <x:f>'Simulation Tasks'!F41</x:f>
        <x:v>Blocked</x:v>
      </x:c>
      <x:c r="G43" s="94" t="n">
        <x:f>'Simulation Tasks'!I41</x:f>
        <x:v>46289</x:v>
      </x:c>
      <x:c r="H43" s="94" t="n">
        <x:f>'Simulation Tasks'!J41</x:f>
        <x:v>46289</x:v>
      </x:c>
      <x:c r="I43" s="166" t="str">
        <x:f>IF(AND(I$6&lt;=$H43,I$6+6&gt;=$G43),1,"")</x:f>
      </x:c>
      <x:c r="J43" s="167" t="str">
        <x:f>IF(AND(J$6&lt;=$H43,J$6+6&gt;=$G43),1,"")</x:f>
      </x:c>
      <x:c r="K43" s="167" t="str">
        <x:f>IF(AND(K$6&lt;=$H43,K$6+6&gt;=$G43),1,"")</x:f>
      </x:c>
      <x:c r="L43" s="167" t="str">
        <x:f>IF(AND(L$6&lt;=$H43,L$6+6&gt;=$G43),1,"")</x:f>
      </x:c>
      <x:c r="M43" s="167" t="str">
        <x:f>IF(AND(M$6&lt;=$H43,M$6+6&gt;=$G43),1,"")</x:f>
      </x:c>
      <x:c r="N43" s="167" t="str">
        <x:f>IF(AND(N$6&lt;=$H43,N$6+6&gt;=$G43),1,"")</x:f>
      </x:c>
      <x:c r="O43" s="167" t="str">
        <x:f>IF(AND(O$6&lt;=$H43,O$6+6&gt;=$G43),1,"")</x:f>
      </x:c>
      <x:c r="P43" s="167" t="n">
        <x:f>IF(AND(P$6&lt;=$H43,P$6+6&gt;=$G43),1,"")</x:f>
        <x:v>1</x:v>
      </x:c>
      <x:c r="Q43" s="167" t="str">
        <x:f>IF(AND(Q$6&lt;=$H43,Q$6+6&gt;=$G43),1,"")</x:f>
      </x:c>
      <x:c r="R43" s="167" t="str">
        <x:f>IF(AND(R$6&lt;=$H43,R$6+6&gt;=$G43),1,"")</x:f>
      </x:c>
      <x:c r="S43" s="167" t="str">
        <x:f>IF(AND(S$6&lt;=$H43,S$6+6&gt;=$G43),1,"")</x:f>
      </x:c>
      <x:c r="T43" s="167" t="str">
        <x:f>IF(AND(T$6&lt;=$H43,T$6+6&gt;=$G43),1,"")</x:f>
      </x:c>
      <x:c r="U43" s="168" t="str">
        <x:f>IF(AND(U$6&lt;=$H43,U$6+6&gt;=$G43),1,"")</x:f>
      </x:c>
    </x:row>
    <x:row r="44" ht="24" customHeight="1">
      <x:c r="A44" s="68" t="str">
        <x:f>'Simulation Tasks'!A42</x:f>
        <x:v>T-410</x:v>
      </x:c>
      <x:c r="B44" s="68" t="str">
        <x:f>'Simulation Tasks'!B42</x:f>
        <x:v>M4</x:v>
      </x:c>
      <x:c r="C44" s="68" t="str">
        <x:f>'Simulation Tasks'!C42</x:f>
        <x:v>Validation/Simulation</x:v>
      </x:c>
      <x:c r="D44" s="68" t="str">
        <x:f>'Simulation Tasks'!D42</x:f>
        <x:v>Capture native/MuJoCo parity artifacts</x:v>
      </x:c>
      <x:c r="E44" s="68" t="str">
        <x:f>'Simulation Tasks'!E42</x:f>
        <x:v>T-309, T-404, T-405, T-408</x:v>
      </x:c>
      <x:c r="F44" s="68" t="str">
        <x:f>'Simulation Tasks'!F42</x:f>
        <x:v>Blocked</x:v>
      </x:c>
      <x:c r="G44" s="94" t="n">
        <x:f>'Simulation Tasks'!I42</x:f>
        <x:v>46307</x:v>
      </x:c>
      <x:c r="H44" s="94" t="n">
        <x:f>'Simulation Tasks'!J42</x:f>
        <x:v>46308</x:v>
      </x:c>
      <x:c r="I44" s="166" t="str">
        <x:f>IF(AND(I$6&lt;=$H44,I$6+6&gt;=$G44),1,"")</x:f>
      </x:c>
      <x:c r="J44" s="167" t="str">
        <x:f>IF(AND(J$6&lt;=$H44,J$6+6&gt;=$G44),1,"")</x:f>
      </x:c>
      <x:c r="K44" s="167" t="str">
        <x:f>IF(AND(K$6&lt;=$H44,K$6+6&gt;=$G44),1,"")</x:f>
      </x:c>
      <x:c r="L44" s="167" t="str">
        <x:f>IF(AND(L$6&lt;=$H44,L$6+6&gt;=$G44),1,"")</x:f>
      </x:c>
      <x:c r="M44" s="167" t="str">
        <x:f>IF(AND(M$6&lt;=$H44,M$6+6&gt;=$G44),1,"")</x:f>
      </x:c>
      <x:c r="N44" s="167" t="str">
        <x:f>IF(AND(N$6&lt;=$H44,N$6+6&gt;=$G44),1,"")</x:f>
      </x:c>
      <x:c r="O44" s="167" t="str">
        <x:f>IF(AND(O$6&lt;=$H44,O$6+6&gt;=$G44),1,"")</x:f>
      </x:c>
      <x:c r="P44" s="167" t="str">
        <x:f>IF(AND(P$6&lt;=$H44,P$6+6&gt;=$G44),1,"")</x:f>
      </x:c>
      <x:c r="Q44" s="167" t="str">
        <x:f>IF(AND(Q$6&lt;=$H44,Q$6+6&gt;=$G44),1,"")</x:f>
      </x:c>
      <x:c r="R44" s="167" t="str">
        <x:f>IF(AND(R$6&lt;=$H44,R$6+6&gt;=$G44),1,"")</x:f>
      </x:c>
      <x:c r="S44" s="167" t="n">
        <x:f>IF(AND(S$6&lt;=$H44,S$6+6&gt;=$G44),1,"")</x:f>
        <x:v>1</x:v>
      </x:c>
      <x:c r="T44" s="167" t="str">
        <x:f>IF(AND(T$6&lt;=$H44,T$6+6&gt;=$G44),1,"")</x:f>
      </x:c>
      <x:c r="U44" s="168" t="str">
        <x:f>IF(AND(U$6&lt;=$H44,U$6+6&gt;=$G44),1,"")</x:f>
      </x:c>
    </x:row>
    <x:row r="45" ht="24" customHeight="1">
      <x:c r="A45" s="68" t="str">
        <x:f>'Simulation Tasks'!A43</x:f>
        <x:v>T-412</x:v>
      </x:c>
      <x:c r="B45" s="68" t="str">
        <x:f>'Simulation Tasks'!B43</x:f>
        <x:v>M4</x:v>
      </x:c>
      <x:c r="C45" s="68" t="str">
        <x:f>'Simulation Tasks'!C43</x:f>
        <x:v>Validation</x:v>
      </x:c>
      <x:c r="D45" s="68" t="str">
        <x:f>'Simulation Tasks'!D43</x:f>
        <x:v>M4 observatory gate</x:v>
      </x:c>
      <x:c r="E45" s="68" t="str">
        <x:f>'Simulation Tasks'!E43</x:f>
        <x:v>T-409, T-410, T-411</x:v>
      </x:c>
      <x:c r="F45" s="68" t="str">
        <x:f>'Simulation Tasks'!F43</x:f>
        <x:v>Blocked</x:v>
      </x:c>
      <x:c r="G45" s="94" t="n">
        <x:f>'Simulation Tasks'!I43</x:f>
        <x:v>46309</x:v>
      </x:c>
      <x:c r="H45" s="94" t="n">
        <x:f>'Simulation Tasks'!J43</x:f>
        <x:v>46309</x:v>
      </x:c>
      <x:c r="I45" s="169" t="str">
        <x:f>IF(AND(I$6&lt;=$H45,I$6+6&gt;=$G45),1,"")</x:f>
      </x:c>
      <x:c r="J45" s="170" t="str">
        <x:f>IF(AND(J$6&lt;=$H45,J$6+6&gt;=$G45),1,"")</x:f>
      </x:c>
      <x:c r="K45" s="170" t="str">
        <x:f>IF(AND(K$6&lt;=$H45,K$6+6&gt;=$G45),1,"")</x:f>
      </x:c>
      <x:c r="L45" s="170" t="str">
        <x:f>IF(AND(L$6&lt;=$H45,L$6+6&gt;=$G45),1,"")</x:f>
      </x:c>
      <x:c r="M45" s="170" t="str">
        <x:f>IF(AND(M$6&lt;=$H45,M$6+6&gt;=$G45),1,"")</x:f>
      </x:c>
      <x:c r="N45" s="170" t="str">
        <x:f>IF(AND(N$6&lt;=$H45,N$6+6&gt;=$G45),1,"")</x:f>
      </x:c>
      <x:c r="O45" s="170" t="str">
        <x:f>IF(AND(O$6&lt;=$H45,O$6+6&gt;=$G45),1,"")</x:f>
      </x:c>
      <x:c r="P45" s="170" t="str">
        <x:f>IF(AND(P$6&lt;=$H45,P$6+6&gt;=$G45),1,"")</x:f>
      </x:c>
      <x:c r="Q45" s="170" t="str">
        <x:f>IF(AND(Q$6&lt;=$H45,Q$6+6&gt;=$G45),1,"")</x:f>
      </x:c>
      <x:c r="R45" s="170" t="str">
        <x:f>IF(AND(R$6&lt;=$H45,R$6+6&gt;=$G45),1,"")</x:f>
      </x:c>
      <x:c r="S45" s="170" t="n">
        <x:f>IF(AND(S$6&lt;=$H45,S$6+6&gt;=$G45),1,"")</x:f>
        <x:v>1</x:v>
      </x:c>
      <x:c r="T45" s="170" t="str">
        <x:f>IF(AND(T$6&lt;=$H45,T$6+6&gt;=$G45),1,"")</x:f>
      </x:c>
      <x:c r="U45" s="171" t="str">
        <x:f>IF(AND(U$6&lt;=$H45,U$6+6&gt;=$G45),1,"")</x:f>
      </x:c>
    </x:row>
  </x:sheetData>
  <x:mergeCells>
    <x:mergeCell ref="A1:U1"/>
    <x:mergeCell ref="A2:U2"/>
    <x:mergeCell ref="A4:A6"/>
    <x:mergeCell ref="B4:B6"/>
    <x:mergeCell ref="C4:C6"/>
    <x:mergeCell ref="D4:D6"/>
    <x:mergeCell ref="E4:E6"/>
    <x:mergeCell ref="F4:F6"/>
    <x:mergeCell ref="G4:G6"/>
    <x:mergeCell ref="H4:H6"/>
    <x:mergeCell ref="I4:M4"/>
    <x:mergeCell ref="N4:Q4"/>
    <x:mergeCell ref="R4:U4"/>
    <x:mergeCell ref="I5:U5"/>
  </x:mergeCells>
  <x:conditionalFormatting sqref="I7:U7">
    <x:cfRule type="cellIs" dxfId="70" priority="1" operator="equal">
      <x:formula>1</x:formula>
    </x:cfRule>
  </x:conditionalFormatting>
  <x:conditionalFormatting sqref="I8:U8">
    <x:cfRule type="cellIs" dxfId="71" priority="2" operator="equal">
      <x:formula>1</x:formula>
    </x:cfRule>
  </x:conditionalFormatting>
  <x:conditionalFormatting sqref="I9:U9">
    <x:cfRule type="cellIs" dxfId="72" priority="3" operator="equal">
      <x:formula>1</x:formula>
    </x:cfRule>
  </x:conditionalFormatting>
  <x:conditionalFormatting sqref="I10:U10">
    <x:cfRule type="cellIs" dxfId="73" priority="4" operator="equal">
      <x:formula>1</x:formula>
    </x:cfRule>
  </x:conditionalFormatting>
  <x:conditionalFormatting sqref="I11:U11">
    <x:cfRule type="cellIs" dxfId="74" priority="5" operator="equal">
      <x:formula>1</x:formula>
    </x:cfRule>
  </x:conditionalFormatting>
  <x:conditionalFormatting sqref="I12:U12">
    <x:cfRule type="cellIs" dxfId="75" priority="6" operator="equal">
      <x:formula>1</x:formula>
    </x:cfRule>
  </x:conditionalFormatting>
  <x:conditionalFormatting sqref="I13:U13">
    <x:cfRule type="cellIs" dxfId="76" priority="7" operator="equal">
      <x:formula>1</x:formula>
    </x:cfRule>
  </x:conditionalFormatting>
  <x:conditionalFormatting sqref="I14:U14">
    <x:cfRule type="cellIs" dxfId="77" priority="8" operator="equal">
      <x:formula>1</x:formula>
    </x:cfRule>
  </x:conditionalFormatting>
  <x:conditionalFormatting sqref="I15:U15">
    <x:cfRule type="cellIs" dxfId="78" priority="9" operator="equal">
      <x:formula>1</x:formula>
    </x:cfRule>
  </x:conditionalFormatting>
  <x:conditionalFormatting sqref="I16:U16">
    <x:cfRule type="cellIs" dxfId="79" priority="10" operator="equal">
      <x:formula>1</x:formula>
    </x:cfRule>
  </x:conditionalFormatting>
  <x:conditionalFormatting sqref="I17:U17">
    <x:cfRule type="cellIs" dxfId="80" priority="11" operator="equal">
      <x:formula>1</x:formula>
    </x:cfRule>
  </x:conditionalFormatting>
  <x:conditionalFormatting sqref="I18:U18">
    <x:cfRule type="cellIs" dxfId="81" priority="12" operator="equal">
      <x:formula>1</x:formula>
    </x:cfRule>
  </x:conditionalFormatting>
  <x:conditionalFormatting sqref="I19:U19">
    <x:cfRule type="cellIs" dxfId="82" priority="13" operator="equal">
      <x:formula>1</x:formula>
    </x:cfRule>
  </x:conditionalFormatting>
  <x:conditionalFormatting sqref="I20:U20">
    <x:cfRule type="cellIs" dxfId="83" priority="14" operator="equal">
      <x:formula>1</x:formula>
    </x:cfRule>
  </x:conditionalFormatting>
  <x:conditionalFormatting sqref="I21:U21">
    <x:cfRule type="cellIs" dxfId="84" priority="15" operator="equal">
      <x:formula>1</x:formula>
    </x:cfRule>
  </x:conditionalFormatting>
  <x:conditionalFormatting sqref="I22:U22">
    <x:cfRule type="cellIs" dxfId="85" priority="16" operator="equal">
      <x:formula>1</x:formula>
    </x:cfRule>
  </x:conditionalFormatting>
  <x:conditionalFormatting sqref="I23:U23">
    <x:cfRule type="cellIs" dxfId="86" priority="17" operator="equal">
      <x:formula>1</x:formula>
    </x:cfRule>
  </x:conditionalFormatting>
  <x:conditionalFormatting sqref="I24:U24">
    <x:cfRule type="cellIs" dxfId="87" priority="18" operator="equal">
      <x:formula>1</x:formula>
    </x:cfRule>
  </x:conditionalFormatting>
  <x:conditionalFormatting sqref="I25:U25">
    <x:cfRule type="cellIs" dxfId="88" priority="19" operator="equal">
      <x:formula>1</x:formula>
    </x:cfRule>
  </x:conditionalFormatting>
  <x:conditionalFormatting sqref="I26:U26">
    <x:cfRule type="cellIs" dxfId="89" priority="20" operator="equal">
      <x:formula>1</x:formula>
    </x:cfRule>
  </x:conditionalFormatting>
  <x:conditionalFormatting sqref="I27:U27">
    <x:cfRule type="cellIs" dxfId="90" priority="21" operator="equal">
      <x:formula>1</x:formula>
    </x:cfRule>
  </x:conditionalFormatting>
  <x:conditionalFormatting sqref="I28:U28">
    <x:cfRule type="cellIs" dxfId="91" priority="22" operator="equal">
      <x:formula>1</x:formula>
    </x:cfRule>
  </x:conditionalFormatting>
  <x:conditionalFormatting sqref="I29:U29">
    <x:cfRule type="cellIs" dxfId="92" priority="23" operator="equal">
      <x:formula>1</x:formula>
    </x:cfRule>
  </x:conditionalFormatting>
  <x:conditionalFormatting sqref="I30:U30">
    <x:cfRule type="cellIs" dxfId="93" priority="24" operator="equal">
      <x:formula>1</x:formula>
    </x:cfRule>
  </x:conditionalFormatting>
  <x:conditionalFormatting sqref="I31:U31">
    <x:cfRule type="cellIs" dxfId="94" priority="25" operator="equal">
      <x:formula>1</x:formula>
    </x:cfRule>
  </x:conditionalFormatting>
  <x:conditionalFormatting sqref="I32:U32">
    <x:cfRule type="cellIs" dxfId="95" priority="26" operator="equal">
      <x:formula>1</x:formula>
    </x:cfRule>
  </x:conditionalFormatting>
  <x:conditionalFormatting sqref="I33:U33">
    <x:cfRule type="cellIs" dxfId="96" priority="27" operator="equal">
      <x:formula>1</x:formula>
    </x:cfRule>
  </x:conditionalFormatting>
  <x:conditionalFormatting sqref="I34:U34">
    <x:cfRule type="cellIs" dxfId="97" priority="28" operator="equal">
      <x:formula>1</x:formula>
    </x:cfRule>
  </x:conditionalFormatting>
  <x:conditionalFormatting sqref="I35:U35">
    <x:cfRule type="cellIs" dxfId="98" priority="29" operator="equal">
      <x:formula>1</x:formula>
    </x:cfRule>
  </x:conditionalFormatting>
  <x:conditionalFormatting sqref="I36:U36">
    <x:cfRule type="cellIs" dxfId="99" priority="30" operator="equal">
      <x:formula>1</x:formula>
    </x:cfRule>
  </x:conditionalFormatting>
  <x:conditionalFormatting sqref="I37:U37">
    <x:cfRule type="cellIs" dxfId="100" priority="31" operator="equal">
      <x:formula>1</x:formula>
    </x:cfRule>
  </x:conditionalFormatting>
  <x:conditionalFormatting sqref="I38:U38">
    <x:cfRule type="cellIs" dxfId="101" priority="32" operator="equal">
      <x:formula>1</x:formula>
    </x:cfRule>
  </x:conditionalFormatting>
  <x:conditionalFormatting sqref="I39:U39">
    <x:cfRule type="cellIs" dxfId="102" priority="33" operator="equal">
      <x:formula>1</x:formula>
    </x:cfRule>
  </x:conditionalFormatting>
  <x:conditionalFormatting sqref="I40:U40">
    <x:cfRule type="cellIs" dxfId="103" priority="34" operator="equal">
      <x:formula>1</x:formula>
    </x:cfRule>
  </x:conditionalFormatting>
  <x:conditionalFormatting sqref="I41:U41">
    <x:cfRule type="cellIs" dxfId="104" priority="35" operator="equal">
      <x:formula>1</x:formula>
    </x:cfRule>
  </x:conditionalFormatting>
  <x:conditionalFormatting sqref="I42:U42">
    <x:cfRule type="cellIs" dxfId="105" priority="36" operator="equal">
      <x:formula>1</x:formula>
    </x:cfRule>
  </x:conditionalFormatting>
  <x:conditionalFormatting sqref="I43:U43">
    <x:cfRule type="cellIs" dxfId="106" priority="37" operator="equal">
      <x:formula>1</x:formula>
    </x:cfRule>
  </x:conditionalFormatting>
  <x:conditionalFormatting sqref="I44:U44">
    <x:cfRule type="cellIs" dxfId="107" priority="38" operator="equal">
      <x:formula>1</x:formula>
    </x:cfRule>
  </x:conditionalFormatting>
  <x:conditionalFormatting sqref="I45:U45">
    <x:cfRule type="cellIs" dxfId="108" priority="39" operator="equal">
      <x:formula>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7" hidden="0" customWidth="1"/>
    <x:col min="4" max="4" width="48" hidden="0" customWidth="1"/>
    <x:col min="5" max="5" width="27" hidden="0" customWidth="1"/>
    <x:col min="6" max="6" width="12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58" hidden="0" customWidth="1"/>
  </x:cols>
  <x:sheetData>
    <x:row r="1" ht="30" customHeight="1">
      <x:c r="A1" s="3" t="str">
        <x:v>Simulation &amp; Observatory Task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S0-S2 and M4: plant contract, MuJoCo support, backend parity, and the experimental observatory. Focused workdays are editable; formula dates preserve milestone sequencing and declared gate floors.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F3"/>
    </x:row>
    <x:row r="4" ht="34" customHeight="1">
      <x:c r="A4" s="18" t="str">
        <x:v>ID</x:v>
      </x:c>
      <x:c r="B4" s="19" t="str">
        <x:v>Milestone</x:v>
      </x:c>
      <x:c r="C4" s="19" t="str">
        <x:v>Track</x:v>
      </x:c>
      <x:c r="D4" s="19" t="str">
        <x:v>Task</x:v>
      </x:c>
      <x:c r="E4" s="19" t="str">
        <x:v>Dependencies</x:v>
      </x:c>
      <x:c r="F4" s="19" t="str">
        <x:v>Status</x:v>
      </x:c>
      <x:c r="G4" s="19" t="str">
        <x:v>Estimate</x:v>
      </x:c>
      <x:c r="H4" s="19" t="str">
        <x:v>Scheduled Workdays</x:v>
      </x:c>
      <x:c r="I4" s="19" t="str">
        <x:v>Planned Start</x:v>
      </x:c>
      <x:c r="J4" s="19" t="str">
        <x:v>Planned Finish</x:v>
      </x:c>
      <x:c r="K4" s="20" t="str">
        <x:v>Deliverable / Acceptance</x:v>
      </x:c>
    </x:row>
    <x:row r="5" ht="40" customHeight="1">
      <x:c r="A5" s="65" t="str">
        <x:v>T-101</x:v>
      </x:c>
      <x:c r="B5" s="65" t="str">
        <x:v>S0</x:v>
      </x:c>
      <x:c r="C5" s="65" t="str">
        <x:v>Simulation</x:v>
      </x:c>
      <x:c r="D5" s="65" t="str">
        <x:v>Confirm Python arm sim as canonical abstract reference</x:v>
      </x:c>
      <x:c r="E5" s="65" t="str">
        <x:v>M0</x:v>
      </x:c>
      <x:c r="F5" s="65" t="str">
        <x:v>Done</x:v>
      </x:c>
      <x:c r="G5" s="65" t="str">
        <x:v>1 day</x:v>
      </x:c>
      <x:c r="H5" s="75" t="n">
        <x:v>1</x:v>
      </x:c>
      <x:c r="I5" s="77" t="n">
        <x:f>'Phase Data'!E11</x:f>
        <x:v>46237</x:v>
      </x:c>
      <x:c r="J5" s="77" t="n">
        <x:f>WORKDAY(I5,H5-1)</x:f>
        <x:v>46237</x:v>
      </x:c>
      <x:c r="K5" s="65" t="str">
        <x:v>Native simulator constants, limits, home pose, canvas frame, and known shortcuts are documented.</x:v>
      </x:c>
    </x:row>
    <x:row r="6" ht="40" customHeight="1">
      <x:c r="A6" s="68" t="str">
        <x:v>T-102</x:v>
      </x:c>
      <x:c r="B6" s="68" t="str">
        <x:v>S0</x:v>
      </x:c>
      <x:c r="C6" s="68" t="str">
        <x:v>Painting Model</x:v>
      </x:c>
      <x:c r="D6" s="68" t="str">
        <x:v>Version and protect canvas material invariants</x:v>
      </x:c>
      <x:c r="E6" s="68" t="str">
        <x:v>M0</x:v>
      </x:c>
      <x:c r="F6" s="68" t="str">
        <x:v>Done</x:v>
      </x:c>
      <x:c r="G6" s="68" t="str">
        <x:v>1-2 days</x:v>
      </x:c>
      <x:c r="H6" s="76" t="n">
        <x:v>1</x:v>
      </x:c>
      <x:c r="I6" s="78" t="n">
        <x:f>WORKDAY(J5,1)</x:f>
        <x:v>46238</x:v>
      </x:c>
      <x:c r="J6" s="78" t="n">
        <x:f>WORKDAY(I6,H6-1)</x:f>
        <x:v>46238</x:v>
      </x:c>
      <x:c r="K6" s="68" t="str">
        <x:v>Tests confirm thickness, wetness, pigment mass, visible tone, white-on-white coverage, and material coverage behavior.</x:v>
      </x:c>
    </x:row>
    <x:row r="7" ht="40" customHeight="1">
      <x:c r="A7" s="68" t="str">
        <x:v>T-103</x:v>
      </x:c>
      <x:c r="B7" s="68" t="str">
        <x:v>S0</x:v>
      </x:c>
      <x:c r="C7" s="68" t="str">
        <x:v>Control</x:v>
      </x:c>
      <x:c r="D7" s="68" t="str">
        <x:v>Define controller, plant, and policy interfaces</x:v>
      </x:c>
      <x:c r="E7" s="68" t="str">
        <x:v>T-101</x:v>
      </x:c>
      <x:c r="F7" s="68" t="str">
        <x:v>Done</x:v>
      </x:c>
      <x:c r="G7" s="68" t="str">
        <x:v>1 day</x:v>
      </x:c>
      <x:c r="H7" s="76" t="n">
        <x:v>1</x:v>
      </x:c>
      <x:c r="I7" s="78" t="n">
        <x:f>WORKDAY(J6,1)</x:f>
        <x:v>46239</x:v>
      </x:c>
      <x:c r="J7" s="78" t="n">
        <x:f>WORKDAY(I7,H7-1)</x:f>
        <x:v>46239</x:v>
      </x:c>
      <x:c r="K7" s="68" t="str">
        <x:v>StrokeAction` remains Cartesian/contact intent and IK remains below policy selection.</x:v>
      </x:c>
    </x:row>
    <x:row r="8" ht="40" customHeight="1">
      <x:c r="A8" s="68" t="str">
        <x:v>T-104</x:v>
      </x:c>
      <x:c r="B8" s="68" t="str">
        <x:v>S0</x:v>
      </x:c>
      <x:c r="C8" s="68" t="str">
        <x:v>Validation</x:v>
      </x:c>
      <x:c r="D8" s="68" t="str">
        <x:v>Record full baseline test result</x:v>
      </x:c>
      <x:c r="E8" s="68" t="str">
        <x:v>T-101, T-102, T-103</x:v>
      </x:c>
      <x:c r="F8" s="68" t="str">
        <x:v>Done</x:v>
      </x:c>
      <x:c r="G8" s="68" t="str">
        <x:v>0.5 day</x:v>
      </x:c>
      <x:c r="H8" s="76" t="n">
        <x:v>1</x:v>
      </x:c>
      <x:c r="I8" s="78" t="n">
        <x:f>WORKDAY(J7,1)</x:f>
        <x:v>46240</x:v>
      </x:c>
      <x:c r="J8" s="78" t="n">
        <x:f>WORKDAY(I8,H8-1)</x:f>
        <x:v>46240</x:v>
      </x:c>
      <x:c r="K8" s="68" t="str">
        <x:v>Current planner, arm, canvas, and web tests have a recorded baseline result.</x:v>
      </x:c>
    </x:row>
    <x:row r="9" ht="40" customHeight="1">
      <x:c r="A9" s="68" t="str">
        <x:v>T-105</x:v>
      </x:c>
      <x:c r="B9" s="68" t="str">
        <x:v>S0</x:v>
      </x:c>
      <x:c r="C9" s="68" t="str">
        <x:v>Web/Telemetry</x:v>
      </x:c>
      <x:c r="D9" s="68" t="str">
        <x:v>Capture baseline telemetry and web-runtime behavior</x:v>
      </x:c>
      <x:c r="E9" s="68" t="str">
        <x:v>T-101, T-103</x:v>
      </x:c>
      <x:c r="F9" s="68" t="str">
        <x:v>Done</x:v>
      </x:c>
      <x:c r="G9" s="68" t="str">
        <x:v>1 day</x:v>
      </x:c>
      <x:c r="H9" s="76" t="n">
        <x:v>1</x:v>
      </x:c>
      <x:c r="I9" s="78" t="n">
        <x:f>WORKDAY(J8,1)</x:f>
        <x:v>46241</x:v>
      </x:c>
      <x:c r="J9" s="78" t="n">
        <x:f>WORKDAY(I9,H9-1)</x:f>
        <x:v>46241</x:v>
      </x:c>
      <x:c r="K9" s="68" t="str">
        <x:v>Default web runtime endpoints, frontend state, canvas image, and telemetry CSV have a recorded baseline.</x:v>
      </x:c>
    </x:row>
    <x:row r="10" ht="40" customHeight="1">
      <x:c r="A10" s="68" t="str">
        <x:v>T-106</x:v>
      </x:c>
      <x:c r="B10" s="68" t="str">
        <x:v>S0</x:v>
      </x:c>
      <x:c r="C10" s="68" t="str">
        <x:v>Documentation</x:v>
      </x:c>
      <x:c r="D10" s="68" t="str">
        <x:v>Document known simulator shortcuts and limitations</x:v>
      </x:c>
      <x:c r="E10" s="68" t="str">
        <x:v>T-101, T-102, T-103</x:v>
      </x:c>
      <x:c r="F10" s="68" t="str">
        <x:v>Done</x:v>
      </x:c>
      <x:c r="G10" s="68" t="str">
        <x:v>1 day</x:v>
      </x:c>
      <x:c r="H10" s="76" t="n">
        <x:v>1</x:v>
      </x:c>
      <x:c r="I10" s="78" t="n">
        <x:f>WORKDAY(J9,1)</x:f>
        <x:v>46244</x:v>
      </x:c>
      <x:c r="J10" s="78" t="n">
        <x:f>WORKDAY(I10,H10-1)</x:f>
        <x:v>46244</x:v>
      </x:c>
      <x:c r="K10" s="68" t="str">
        <x:v>Simulator shortcuts are categorized as acceptable baseline, MuJoCo calibration need, or hardware validation need.</x:v>
      </x:c>
    </x:row>
    <x:row r="11" ht="40" customHeight="1">
      <x:c r="A11" s="68" t="str">
        <x:v>T-107</x:v>
      </x:c>
      <x:c r="B11" s="68" t="str">
        <x:v>S0</x:v>
      </x:c>
      <x:c r="C11" s="68" t="str">
        <x:v>Research Ops</x:v>
      </x:c>
      <x:c r="D11" s="68" t="str">
        <x:v>Define baseline artifact bundle</x:v>
      </x:c>
      <x:c r="E11" s="68" t="str">
        <x:v>T-003, T-104, T-105</x:v>
      </x:c>
      <x:c r="F11" s="68" t="str">
        <x:v>Done</x:v>
      </x:c>
      <x:c r="G11" s="68" t="str">
        <x:v>0.5-1 day</x:v>
      </x:c>
      <x:c r="H11" s="76" t="n">
        <x:v>1</x:v>
      </x:c>
      <x:c r="I11" s="78" t="n">
        <x:f>WORKDAY(J10,1)</x:f>
        <x:v>46245</x:v>
      </x:c>
      <x:c r="J11" s="78" t="n">
        <x:f>WORKDAY(I11,H11-1)</x:f>
        <x:v>46245</x:v>
      </x:c>
      <x:c r="K11" s="68" t="str">
        <x:v>Baseline bundle contents and location are defined, including test summary, config, telemetry, canvas image, and notes.</x:v>
      </x:c>
    </x:row>
    <x:row r="12" ht="40" customHeight="1">
      <x:c r="A12" s="68" t="str">
        <x:v>T-108</x:v>
      </x:c>
      <x:c r="B12" s="68" t="str">
        <x:v>S0</x:v>
      </x:c>
      <x:c r="C12" s="68" t="str">
        <x:v>Validation</x:v>
      </x:c>
      <x:c r="D12" s="68" t="str">
        <x:v>S0 reference-contract decision</x:v>
      </x:c>
      <x:c r="E12" s="68" t="str">
        <x:v>T-104, T-105, T-106, T-107</x:v>
      </x:c>
      <x:c r="F12" s="68" t="str">
        <x:v>Ready</x:v>
      </x:c>
      <x:c r="G12" s="68" t="str">
        <x:v>0.5 day</x:v>
      </x:c>
      <x:c r="H12" s="76" t="n">
        <x:v>1</x:v>
      </x:c>
      <x:c r="I12" s="78" t="n">
        <x:f>WORKDAY(J11,1)</x:f>
        <x:v>46246</x:v>
      </x:c>
      <x:c r="J12" s="78" t="n">
        <x:f>WORKDAY(I12,H12-1)</x:f>
        <x:v>46246</x:v>
      </x:c>
      <x:c r="K12" s="68" t="str">
        <x:v>S0 is marked locked only if baseline tests pass or failures are documented and judged non-blocking.</x:v>
      </x:c>
    </x:row>
    <x:row r="13" ht="40" customHeight="1">
      <x:c r="A13" s="68" t="str">
        <x:v>T-201</x:v>
      </x:c>
      <x:c r="B13" s="68" t="str">
        <x:v>S1</x:v>
      </x:c>
      <x:c r="C13" s="68" t="str">
        <x:v>MuJoCo</x:v>
      </x:c>
      <x:c r="D13" s="68" t="str">
        <x:v>Match native arm constants in MuJoCo XML</x:v>
      </x:c>
      <x:c r="E13" s="68" t="str">
        <x:v>T-101</x:v>
      </x:c>
      <x:c r="F13" s="68" t="str">
        <x:v>Done</x:v>
      </x:c>
      <x:c r="G13" s="68" t="str">
        <x:v>1-2 days</x:v>
      </x:c>
      <x:c r="H13" s="76" t="n">
        <x:v>1</x:v>
      </x:c>
      <x:c r="I13" s="78" t="n">
        <x:f>'Phase Data'!E12</x:f>
        <x:v>46258</x:v>
      </x:c>
      <x:c r="J13" s="78" t="n">
        <x:f>WORKDAY(I13,H13-1)</x:f>
        <x:v>46258</x:v>
      </x:c>
      <x:c r="K13" s="68" t="str">
        <x:v>XML matches native joint order, axes, ranges, home pose, link lengths, and canvas frame.</x:v>
      </x:c>
    </x:row>
    <x:row r="14" ht="40" customHeight="1">
      <x:c r="A14" s="68" t="str">
        <x:v>T-202</x:v>
      </x:c>
      <x:c r="B14" s="68" t="str">
        <x:v>S1</x:v>
      </x:c>
      <x:c r="C14" s="68" t="str">
        <x:v>Validation</x:v>
      </x:c>
      <x:c r="D14" s="68" t="str">
        <x:v>Add XML constant tests</x:v>
      </x:c>
      <x:c r="E14" s="68" t="str">
        <x:v>T-201</x:v>
      </x:c>
      <x:c r="F14" s="68" t="str">
        <x:v>Done</x:v>
      </x:c>
      <x:c r="G14" s="68" t="str">
        <x:v>0.5 day</x:v>
      </x:c>
      <x:c r="H14" s="76" t="n">
        <x:v>1</x:v>
      </x:c>
      <x:c r="I14" s="78" t="n">
        <x:f>WORKDAY(J13,1)</x:f>
        <x:v>46259</x:v>
      </x:c>
      <x:c r="J14" s="78" t="n">
        <x:f>WORKDAY(I14,H14-1)</x:f>
        <x:v>46259</x:v>
      </x:c>
      <x:c r="K14" s="68" t="str">
        <x:v>Tests compare XML constants against `arm_sim.py`.</x:v>
      </x:c>
    </x:row>
    <x:row r="15" ht="40" customHeight="1">
      <x:c r="A15" s="68" t="str">
        <x:v>T-203</x:v>
      </x:c>
      <x:c r="B15" s="68" t="str">
        <x:v>S1</x:v>
      </x:c>
      <x:c r="C15" s="68" t="str">
        <x:v>MuJoCo</x:v>
      </x:c>
      <x:c r="D15" s="68" t="str">
        <x:v>Validate MuJoCo forward kinematics against native kinematics</x:v>
      </x:c>
      <x:c r="E15" s="68" t="str">
        <x:v>T-201, T-202</x:v>
      </x:c>
      <x:c r="F15" s="68" t="str">
        <x:v>Done</x:v>
      </x:c>
      <x:c r="G15" s="68" t="str">
        <x:v>1-2 days</x:v>
      </x:c>
      <x:c r="H15" s="76" t="n">
        <x:v>1</x:v>
      </x:c>
      <x:c r="I15" s="78" t="n">
        <x:f>WORKDAY(J14,1)</x:f>
        <x:v>46260</x:v>
      </x:c>
      <x:c r="J15" s="78" t="n">
        <x:f>WORKDAY(I15,H15-1)</x:f>
        <x:v>46260</x:v>
      </x:c>
      <x:c r="K15" s="68" t="str">
        <x:v>Representative MuJoCo tip/site poses match native forward kinematics within tolerance.</x:v>
      </x:c>
    </x:row>
    <x:row r="16" ht="40" customHeight="1">
      <x:c r="A16" s="68" t="str">
        <x:v>T-204</x:v>
      </x:c>
      <x:c r="B16" s="68" t="str">
        <x:v>S1</x:v>
      </x:c>
      <x:c r="C16" s="68" t="str">
        <x:v>MuJoCo</x:v>
      </x:c>
      <x:c r="D16" s="68" t="str">
        <x:v>Keep physical housings visual-only</x:v>
      </x:c>
      <x:c r="E16" s="68" t="str">
        <x:v>T-201</x:v>
      </x:c>
      <x:c r="F16" s="68" t="str">
        <x:v>Done</x:v>
      </x:c>
      <x:c r="G16" s="68" t="str">
        <x:v>0.5 day</x:v>
      </x:c>
      <x:c r="H16" s="76" t="n">
        <x:v>1</x:v>
      </x:c>
      <x:c r="I16" s="78" t="n">
        <x:f>WORKDAY(J15,1)</x:f>
        <x:v>46261</x:v>
      </x:c>
      <x:c r="J16" s="78" t="n">
        <x:f>WORKDAY(I16,H16-1)</x:f>
        <x:v>46261</x:v>
      </x:c>
      <x:c r="K16" s="68" t="str">
        <x:v>Base and joint geometry do not accidentally constrain the abstract clone.</x:v>
      </x:c>
    </x:row>
    <x:row r="17" ht="40" customHeight="1">
      <x:c r="A17" s="68" t="str">
        <x:v>T-205</x:v>
      </x:c>
      <x:c r="B17" s="68" t="str">
        <x:v>S1</x:v>
      </x:c>
      <x:c r="C17" s="68" t="str">
        <x:v>Documentation</x:v>
      </x:c>
      <x:c r="D17" s="68" t="str">
        <x:v>Document exact versus approximate model fields</x:v>
      </x:c>
      <x:c r="E17" s="68" t="str">
        <x:v>T-201</x:v>
      </x:c>
      <x:c r="F17" s="68" t="str">
        <x:v>Done</x:v>
      </x:c>
      <x:c r="G17" s="68" t="str">
        <x:v>0.5 day</x:v>
      </x:c>
      <x:c r="H17" s="76" t="n">
        <x:v>1</x:v>
      </x:c>
      <x:c r="I17" s="78" t="n">
        <x:f>WORKDAY(J16,1)</x:f>
        <x:v>46262</x:v>
      </x:c>
      <x:c r="J17" s="78" t="n">
        <x:f>WORKDAY(I17,H17-1)</x:f>
        <x:v>46262</x:v>
      </x:c>
      <x:c r="K17" s="68" t="str">
        <x:v>Model documentation distinguishes simulator-truth fields from visual placeholders.</x:v>
      </x:c>
    </x:row>
    <x:row r="18" ht="40" customHeight="1">
      <x:c r="A18" s="68" t="str">
        <x:v>T-206</x:v>
      </x:c>
      <x:c r="B18" s="68" t="str">
        <x:v>S1</x:v>
      </x:c>
      <x:c r="C18" s="68" t="str">
        <x:v>Validation</x:v>
      </x:c>
      <x:c r="D18" s="68" t="str">
        <x:v>Add MuJoCo load/compile smoke test</x:v>
      </x:c>
      <x:c r="E18" s="68" t="str">
        <x:v>T-201</x:v>
      </x:c>
      <x:c r="F18" s="68" t="str">
        <x:v>Done</x:v>
      </x:c>
      <x:c r="G18" s="68" t="str">
        <x:v>0.5-1 day</x:v>
      </x:c>
      <x:c r="H18" s="76" t="n">
        <x:v>1</x:v>
      </x:c>
      <x:c r="I18" s="78" t="n">
        <x:f>WORKDAY(J17,1)</x:f>
        <x:v>46265</x:v>
      </x:c>
      <x:c r="J18" s="78" t="n">
        <x:f>WORKDAY(I18,H18-1)</x:f>
        <x:v>46265</x:v>
      </x:c>
      <x:c r="K18" s="68" t="str">
        <x:v>Optional MuJoCo package loads the XML when installed and skips cleanly when unavailable.</x:v>
      </x:c>
    </x:row>
    <x:row r="19" ht="40" customHeight="1">
      <x:c r="A19" s="68" t="str">
        <x:v>T-207</x:v>
      </x:c>
      <x:c r="B19" s="68" t="str">
        <x:v>S1</x:v>
      </x:c>
      <x:c r="C19" s="68" t="str">
        <x:v>Operations</x:v>
      </x:c>
      <x:c r="D19" s="68" t="str">
        <x:v>Define model version label</x:v>
      </x:c>
      <x:c r="E19" s="68" t="str">
        <x:v>T-002, T-201</x:v>
      </x:c>
      <x:c r="F19" s="68" t="str">
        <x:v>Done</x:v>
      </x:c>
      <x:c r="G19" s="68" t="str">
        <x:v>0.5 day</x:v>
      </x:c>
      <x:c r="H19" s="76" t="n">
        <x:v>1</x:v>
      </x:c>
      <x:c r="I19" s="78" t="n">
        <x:f>WORKDAY(J18,1)</x:f>
        <x:v>46266</x:v>
      </x:c>
      <x:c r="J19" s="78" t="n">
        <x:f>WORKDAY(I19,H19-1)</x:f>
        <x:v>46266</x:v>
      </x:c>
      <x:c r="K19" s="68" t="str">
        <x:v>Abstract model version is named and distinguished from future calibrated hardware model versions.</x:v>
      </x:c>
    </x:row>
    <x:row r="20" ht="40" customHeight="1">
      <x:c r="A20" s="68" t="str">
        <x:v>T-208</x:v>
      </x:c>
      <x:c r="B20" s="68" t="str">
        <x:v>S1</x:v>
      </x:c>
      <x:c r="C20" s="68" t="str">
        <x:v>Manual Validation</x:v>
      </x:c>
      <x:c r="D20" s="68" t="str">
        <x:v>Compare model behavior in MuJoCo viewer</x:v>
      </x:c>
      <x:c r="E20" s="68" t="str">
        <x:v>T-201, T-206</x:v>
      </x:c>
      <x:c r="F20" s="68" t="str">
        <x:v>Active</x:v>
      </x:c>
      <x:c r="G20" s="68" t="str">
        <x:v>0.5-1 day</x:v>
      </x:c>
      <x:c r="H20" s="76" t="n">
        <x:v>1</x:v>
      </x:c>
      <x:c r="I20" s="78" t="n">
        <x:f>WORKDAY(J19,1)</x:f>
        <x:v>46267</x:v>
      </x:c>
      <x:c r="J20" s="78" t="n">
        <x:f>WORKDAY(I20,H20-1)</x:f>
        <x:v>46267</x:v>
      </x:c>
      <x:c r="K20" s="68" t="str">
        <x:v>Manual viewer load confirms expected joint sliders, tip/canvas alignment, and triaged discrepancies.</x:v>
      </x:c>
    </x:row>
    <x:row r="21" ht="40" customHeight="1">
      <x:c r="A21" s="68" t="str">
        <x:v>T-209</x:v>
      </x:c>
      <x:c r="B21" s="68" t="str">
        <x:v>S1</x:v>
      </x:c>
      <x:c r="C21" s="68" t="str">
        <x:v>Validation</x:v>
      </x:c>
      <x:c r="D21" s="68" t="str">
        <x:v>S1 lock decision</x:v>
      </x:c>
      <x:c r="E21" s="68" t="str">
        <x:v>T-203, T-204, T-205, T-206, T-208</x:v>
      </x:c>
      <x:c r="F21" s="68" t="str">
        <x:v>Blocked</x:v>
      </x:c>
      <x:c r="G21" s="68" t="str">
        <x:v>0.5 day</x:v>
      </x:c>
      <x:c r="H21" s="76" t="n">
        <x:v>1</x:v>
      </x:c>
      <x:c r="I21" s="78" t="n">
        <x:f>WORKDAY(J20,1)</x:f>
        <x:v>46268</x:v>
      </x:c>
      <x:c r="J21" s="78" t="n">
        <x:f>WORKDAY(I21,H21-1)</x:f>
        <x:v>46268</x:v>
      </x:c>
      <x:c r="K21" s="68" t="str">
        <x:v>S1 is locked only after XML tests, load/compile status, and viewer issues are accepted or triaged.</x:v>
      </x:c>
    </x:row>
    <x:row r="22" ht="40" customHeight="1">
      <x:c r="A22" s="68" t="str">
        <x:v>T-301</x:v>
      </x:c>
      <x:c r="B22" s="68" t="str">
        <x:v>S2</x:v>
      </x:c>
      <x:c r="C22" s="68" t="str">
        <x:v>Architecture</x:v>
      </x:c>
      <x:c r="D22" s="68" t="str">
        <x:v>Define common backend surface</x:v>
      </x:c>
      <x:c r="E22" s="68" t="str">
        <x:v>S0, S1</x:v>
      </x:c>
      <x:c r="F22" s="68" t="str">
        <x:v>Done</x:v>
      </x:c>
      <x:c r="G22" s="68" t="str">
        <x:v>1-2 days</x:v>
      </x:c>
      <x:c r="H22" s="76" t="n">
        <x:v>1</x:v>
      </x:c>
      <x:c r="I22" s="78" t="n">
        <x:f>'Phase Data'!E13</x:f>
        <x:v>46279</x:v>
      </x:c>
      <x:c r="J22" s="78" t="n">
        <x:f>WORKDAY(I22,H22-1)</x:f>
        <x:v>46279</x:v>
      </x:c>
      <x:c r="K22" s="68" t="str">
        <x:v>Python sim and MuJoCo sim expose a shared controller-facing interface.</x:v>
      </x:c>
    </x:row>
    <x:row r="23" ht="40" customHeight="1">
      <x:c r="A23" s="68" t="str">
        <x:v>T-302</x:v>
      </x:c>
      <x:c r="B23" s="68" t="str">
        <x:v>S2</x:v>
      </x:c>
      <x:c r="C23" s="68" t="str">
        <x:v>Control</x:v>
      </x:c>
      <x:c r="D23" s="68" t="str">
        <x:v>Map ArmPose targets to MuJoCo controls</x:v>
      </x:c>
      <x:c r="E23" s="68" t="str">
        <x:v>T-301</x:v>
      </x:c>
      <x:c r="F23" s="68" t="str">
        <x:v>Done</x:v>
      </x:c>
      <x:c r="G23" s="68" t="str">
        <x:v>1 day</x:v>
      </x:c>
      <x:c r="H23" s="76" t="n">
        <x:v>1</x:v>
      </x:c>
      <x:c r="I23" s="78" t="n">
        <x:f>WORKDAY(J22,1)</x:f>
        <x:v>46280</x:v>
      </x:c>
      <x:c r="J23" s="78" t="n">
        <x:f>WORKDAY(I23,H23-1)</x:f>
        <x:v>46280</x:v>
      </x:c>
      <x:c r="K23" s="68" t="str">
        <x:v>Degree-based controller targets are converted correctly for MuJoCo runtime controls.</x:v>
      </x:c>
    </x:row>
    <x:row r="24" ht="40" customHeight="1">
      <x:c r="A24" s="68" t="str">
        <x:v>T-303</x:v>
      </x:c>
      <x:c r="B24" s="68" t="str">
        <x:v>S2</x:v>
      </x:c>
      <x:c r="C24" s="68" t="str">
        <x:v>MuJoCo</x:v>
      </x:c>
      <x:c r="D24" s="68" t="str">
        <x:v>Read MuJoCo state into existing pose/contact structures</x:v>
      </x:c>
      <x:c r="E24" s="68" t="str">
        <x:v>T-301, T-302</x:v>
      </x:c>
      <x:c r="F24" s="68" t="str">
        <x:v>Done</x:v>
      </x:c>
      <x:c r="G24" s="68" t="str">
        <x:v>1-2 days</x:v>
      </x:c>
      <x:c r="H24" s="76" t="n">
        <x:v>1</x:v>
      </x:c>
      <x:c r="I24" s="78" t="n">
        <x:f>WORKDAY(J23,1)</x:f>
        <x:v>46281</x:v>
      </x:c>
      <x:c r="J24" s="78" t="n">
        <x:f>WORKDAY(I24,H24-1)</x:f>
        <x:v>46281</x:v>
      </x:c>
      <x:c r="K24" s="68" t="str">
        <x:v>Joint, tip, contact, and telemetry values can be consumed by current runtime code.</x:v>
      </x:c>
    </x:row>
    <x:row r="25" ht="40" customHeight="1">
      <x:c r="A25" s="68" t="str">
        <x:v>T-304</x:v>
      </x:c>
      <x:c r="B25" s="68" t="str">
        <x:v>S2</x:v>
      </x:c>
      <x:c r="C25" s="68" t="str">
        <x:v>Painting Model</x:v>
      </x:c>
      <x:c r="D25" s="68" t="str">
        <x:v>Reuse VerticalCanvas for MuJoCo-driven paint</x:v>
      </x:c>
      <x:c r="E25" s="68" t="str">
        <x:v>T-303</x:v>
      </x:c>
      <x:c r="F25" s="68" t="str">
        <x:v>Done</x:v>
      </x:c>
      <x:c r="G25" s="68" t="str">
        <x:v>1-2 days</x:v>
      </x:c>
      <x:c r="H25" s="76" t="n">
        <x:v>1</x:v>
      </x:c>
      <x:c r="I25" s="78" t="n">
        <x:f>WORKDAY(J24,1)</x:f>
        <x:v>46282</x:v>
      </x:c>
      <x:c r="J25" s="78" t="n">
        <x:f>WORKDAY(I25,H25-1)</x:f>
        <x:v>46282</x:v>
      </x:c>
      <x:c r="K25" s="68" t="str">
        <x:v>MuJoCo brush contact deposits paint through the existing material model.</x:v>
      </x:c>
    </x:row>
    <x:row r="26" ht="40" customHeight="1">
      <x:c r="A26" s="68" t="str">
        <x:v>T-305</x:v>
      </x:c>
      <x:c r="B26" s="68" t="str">
        <x:v>S2</x:v>
      </x:c>
      <x:c r="C26" s="68" t="str">
        <x:v>Validation</x:v>
      </x:c>
      <x:c r="D26" s="68" t="str">
        <x:v>Add scripted-stroke smoke tests</x:v>
      </x:c>
      <x:c r="E26" s="68" t="str">
        <x:v>T-302, T-303, T-304</x:v>
      </x:c>
      <x:c r="F26" s="68" t="str">
        <x:v>Done</x:v>
      </x:c>
      <x:c r="G26" s="68" t="str">
        <x:v>1 day</x:v>
      </x:c>
      <x:c r="H26" s="76" t="n">
        <x:v>1</x:v>
      </x:c>
      <x:c r="I26" s="78" t="n">
        <x:f>WORKDAY(J25,1)</x:f>
        <x:v>46283</x:v>
      </x:c>
      <x:c r="J26" s="78" t="n">
        <x:f>WORKDAY(I26,H26-1)</x:f>
        <x:v>46283</x:v>
      </x:c>
      <x:c r="K26" s="68" t="str">
        <x:v>A scripted MuJoCo stroke reaches the canvas and updates material coverage.</x:v>
      </x:c>
    </x:row>
    <x:row r="27" ht="40" customHeight="1">
      <x:c r="A27" s="68" t="str">
        <x:v>T-306</x:v>
      </x:c>
      <x:c r="B27" s="68" t="str">
        <x:v>S2</x:v>
      </x:c>
      <x:c r="C27" s="68" t="str">
        <x:v>Web/Runtime</x:v>
      </x:c>
      <x:c r="D27" s="68" t="str">
        <x:v>Add backend selection to web runtime</x:v>
      </x:c>
      <x:c r="E27" s="68" t="str">
        <x:v>T-301, T-304</x:v>
      </x:c>
      <x:c r="F27" s="68" t="str">
        <x:v>Done</x:v>
      </x:c>
      <x:c r="G27" s="68" t="str">
        <x:v>1-2 days</x:v>
      </x:c>
      <x:c r="H27" s="76" t="n">
        <x:v>1</x:v>
      </x:c>
      <x:c r="I27" s="78" t="n">
        <x:f>WORKDAY(J26,1)</x:f>
        <x:v>46286</x:v>
      </x:c>
      <x:c r="J27" s="78" t="n">
        <x:f>WORKDAY(I27,H27-1)</x:f>
        <x:v>46286</x:v>
      </x:c>
      <x:c r="K27" s="68" t="str">
        <x:v>Web runtime can choose native or MuJoCo backend while keeping native as the default.</x:v>
      </x:c>
    </x:row>
    <x:row r="28" ht="40" customHeight="1">
      <x:c r="A28" s="68" t="str">
        <x:v>T-307</x:v>
      </x:c>
      <x:c r="B28" s="68" t="str">
        <x:v>S2</x:v>
      </x:c>
      <x:c r="C28" s="68" t="str">
        <x:v>Telemetry</x:v>
      </x:c>
      <x:c r="D28" s="68" t="str">
        <x:v>Adapt telemetry for MuJoCo backend</x:v>
      </x:c>
      <x:c r="E28" s="68" t="str">
        <x:v>T-303, T-306</x:v>
      </x:c>
      <x:c r="F28" s="68" t="str">
        <x:v>Done</x:v>
      </x:c>
      <x:c r="G28" s="68" t="str">
        <x:v>1-2 days</x:v>
      </x:c>
      <x:c r="H28" s="76" t="n">
        <x:v>1</x:v>
      </x:c>
      <x:c r="I28" s="78" t="n">
        <x:f>WORKDAY(J27,1)</x:f>
        <x:v>46287</x:v>
      </x:c>
      <x:c r="J28" s="78" t="n">
        <x:f>WORKDAY(I28,H28-1)</x:f>
        <x:v>46287</x:v>
      </x:c>
      <x:c r="K28" s="68" t="str">
        <x:v>Telemetry remains schema-compatible where possible and explicitly marks unavailable MuJoCo fields.</x:v>
      </x:c>
    </x:row>
    <x:row r="29" ht="40" customHeight="1">
      <x:c r="A29" s="68" t="str">
        <x:v>T-308</x:v>
      </x:c>
      <x:c r="B29" s="68" t="str">
        <x:v>S2</x:v>
      </x:c>
      <x:c r="C29" s="68" t="str">
        <x:v>Planning/Forecasting</x:v>
      </x:c>
      <x:c r="D29" s="68" t="str">
        <x:v>Define MuJoCo forecast strategy</x:v>
      </x:c>
      <x:c r="E29" s="68" t="str">
        <x:v>T-301, T-305</x:v>
      </x:c>
      <x:c r="F29" s="68" t="str">
        <x:v>Done</x:v>
      </x:c>
      <x:c r="G29" s="68" t="str">
        <x:v>1-2 days</x:v>
      </x:c>
      <x:c r="H29" s="76" t="n">
        <x:v>1</x:v>
      </x:c>
      <x:c r="I29" s="78" t="n">
        <x:f>WORKDAY(J28,1)</x:f>
        <x:v>46288</x:v>
      </x:c>
      <x:c r="J29" s="78" t="n">
        <x:f>WORKDAY(I29,H29-1)</x:f>
        <x:v>46288</x:v>
      </x:c>
      <x:c r="K29" s="68" t="str">
        <x:v>Initial MuJoCo live-execution versus forecast-rollout scope is decided and documented.</x:v>
      </x:c>
    </x:row>
    <x:row r="30" ht="40" customHeight="1">
      <x:c r="A30" s="68" t="str">
        <x:v>T-309</x:v>
      </x:c>
      <x:c r="B30" s="68" t="str">
        <x:v>S2</x:v>
      </x:c>
      <x:c r="C30" s="68" t="str">
        <x:v>Validation</x:v>
      </x:c>
      <x:c r="D30" s="68" t="str">
        <x:v>Add backend parity checks</x:v>
      </x:c>
      <x:c r="E30" s="68" t="str">
        <x:v>T-305, T-306</x:v>
      </x:c>
      <x:c r="F30" s="68" t="str">
        <x:v>Active</x:v>
      </x:c>
      <x:c r="G30" s="68" t="str">
        <x:v>1-2 days</x:v>
      </x:c>
      <x:c r="H30" s="76" t="n">
        <x:v>1</x:v>
      </x:c>
      <x:c r="I30" s="78" t="n">
        <x:f>WORKDAY(J29,1)</x:f>
        <x:v>46289</x:v>
      </x:c>
      <x:c r="J30" s="78" t="n">
        <x:f>WORKDAY(I30,H30-1)</x:f>
        <x:v>46289</x:v>
      </x:c>
      <x:c r="K30" s="68" t="str">
        <x:v>Same scripted stroke can run on native and MuJoCo backends with path/contact/coverage differences recorded.</x:v>
      </x:c>
    </x:row>
    <x:row r="31" ht="40" customHeight="1">
      <x:c r="A31" s="68" t="str">
        <x:v>T-310</x:v>
      </x:c>
      <x:c r="B31" s="68" t="str">
        <x:v>S2</x:v>
      </x:c>
      <x:c r="C31" s="68" t="str">
        <x:v>Validation</x:v>
      </x:c>
      <x:c r="D31" s="68" t="str">
        <x:v>S2 lock decision</x:v>
      </x:c>
      <x:c r="E31" s="68" t="str">
        <x:v>T-305, T-306, T-307, T-308, T-309</x:v>
      </x:c>
      <x:c r="F31" s="68" t="str">
        <x:v>Blocked</x:v>
      </x:c>
      <x:c r="G31" s="68" t="str">
        <x:v>0.5 day</x:v>
      </x:c>
      <x:c r="H31" s="76" t="n">
        <x:v>1</x:v>
      </x:c>
      <x:c r="I31" s="78" t="n">
        <x:f>WORKDAY(J30,1)</x:f>
        <x:v>46290</x:v>
      </x:c>
      <x:c r="J31" s="78" t="n">
        <x:f>WORKDAY(I31,H31-1)</x:f>
        <x:v>46290</x:v>
      </x:c>
      <x:c r="K31" s="68" t="str">
        <x:v>S2 is locked only after MuJoCo execution, paint update, backend selection, and known gaps are documented.</x:v>
      </x:c>
    </x:row>
    <x:row r="32" ht="40" customHeight="1">
      <x:c r="A32" s="68" t="str">
        <x:v>T-401</x:v>
      </x:c>
      <x:c r="B32" s="68" t="str">
        <x:v>M4</x:v>
      </x:c>
      <x:c r="C32" s="68" t="str">
        <x:v>Architecture/Research Ops</x:v>
      </x:c>
      <x:c r="D32" s="68" t="str">
        <x:v>Define the experimental-state contract</x:v>
      </x:c>
      <x:c r="E32" s="68" t="str">
        <x:v>T-003, T-103, T-105</x:v>
      </x:c>
      <x:c r="F32" s="68" t="str">
        <x:v>Blocked</x:v>
      </x:c>
      <x:c r="G32" s="68" t="str">
        <x:v>1-2 days</x:v>
      </x:c>
      <x:c r="H32" s="76" t="n">
        <x:v>1</x:v>
      </x:c>
      <x:c r="I32" s="78" t="n">
        <x:f>'Phase Data'!E14</x:f>
        <x:v>46272</x:v>
      </x:c>
      <x:c r="J32" s="78" t="n">
        <x:f>WORKDAY(I32,H32-1)</x:f>
        <x:v>46272</x:v>
      </x:c>
      <x:c r="K32" s="68" t="str">
        <x:v>Truth, observation, belief, prediction, policy, control, telemetry, canvas, capability, and provenance fields have versioned units, frames, shapes, and access roles.</x:v>
      </x:c>
    </x:row>
    <x:row r="33" ht="40" customHeight="1">
      <x:c r="A33" s="68" t="str">
        <x:v>T-402</x:v>
      </x:c>
      <x:c r="B33" s="68" t="str">
        <x:v>M4</x:v>
      </x:c>
      <x:c r="C33" s="68" t="str">
        <x:v>Research Ops/Telemetry</x:v>
      </x:c>
      <x:c r="D33" s="68" t="str">
        <x:v>Define clocks, revisions, and provenance</x:v>
      </x:c>
      <x:c r="E33" s="68" t="str">
        <x:v>T-002, T-401</x:v>
      </x:c>
      <x:c r="F33" s="68" t="str">
        <x:v>Blocked</x:v>
      </x:c>
      <x:c r="G33" s="68" t="str">
        <x:v>1 day</x:v>
      </x:c>
      <x:c r="H33" s="76" t="n">
        <x:v>1</x:v>
      </x:c>
      <x:c r="I33" s="78" t="n">
        <x:f>WORKDAY(J32,1)</x:f>
        <x:v>46273</x:v>
      </x:c>
      <x:c r="J33" s="78" t="n">
        <x:f>WORKDAY(I33,H33-1)</x:f>
        <x:v>46273</x:v>
      </x:c>
      <x:c r="K33" s="68" t="str">
        <x:v>Runtime outputs distinguish simulation, sensor, inference, policy, control, canvas, telemetry, and wall clocks and refer to exact revisions.</x:v>
      </x:c>
    </x:row>
    <x:row r="34" ht="40" customHeight="1">
      <x:c r="A34" s="68" t="str">
        <x:v>T-403</x:v>
      </x:c>
      <x:c r="B34" s="68" t="str">
        <x:v>M4</x:v>
      </x:c>
      <x:c r="C34" s="68" t="str">
        <x:v>Runtime/Web</x:v>
      </x:c>
      <x:c r="D34" s="68" t="str">
        <x:v>Implement the native runtime adapter</x:v>
      </x:c>
      <x:c r="E34" s="68" t="str">
        <x:v>T-401, T-402</x:v>
      </x:c>
      <x:c r="F34" s="68" t="str">
        <x:v>Blocked</x:v>
      </x:c>
      <x:c r="G34" s="68" t="str">
        <x:v>1-2 days</x:v>
      </x:c>
      <x:c r="H34" s="76" t="n">
        <x:v>1</x:v>
      </x:c>
      <x:c r="I34" s="78" t="n">
        <x:f>WORKDAY(J33,1)</x:f>
        <x:v>46274</x:v>
      </x:c>
      <x:c r="J34" s="78" t="n">
        <x:f>WORKDAY(I34,H34-1)</x:f>
        <x:v>46274</x:v>
      </x:c>
      <x:c r="K34" s="68" t="str">
        <x:v>Native state populates the versioned contract without browser-side physical or inferential corrections.</x:v>
      </x:c>
    </x:row>
    <x:row r="35" ht="40" customHeight="1">
      <x:c r="A35" s="68" t="str">
        <x:v>T-404</x:v>
      </x:c>
      <x:c r="B35" s="68" t="str">
        <x:v>M4</x:v>
      </x:c>
      <x:c r="C35" s="68" t="str">
        <x:v>Web</x:v>
      </x:c>
      <x:c r="D35" s="68" t="str">
        <x:v>Reuse the Three.js arm and canvas scene</x:v>
      </x:c>
      <x:c r="E35" s="68" t="str">
        <x:v>T-403</x:v>
      </x:c>
      <x:c r="F35" s="68" t="str">
        <x:v>Blocked</x:v>
      </x:c>
      <x:c r="G35" s="68" t="str">
        <x:v>1-2 days</x:v>
      </x:c>
      <x:c r="H35" s="76" t="n">
        <x:v>1</x:v>
      </x:c>
      <x:c r="I35" s="78" t="n">
        <x:f>WORKDAY(J34,1)</x:f>
        <x:v>46275</x:v>
      </x:c>
      <x:c r="J35" s="78" t="n">
        <x:f>WORKDAY(I35,H35-1)</x:f>
        <x:v>46275</x:v>
      </x:c>
      <x:c r="K35" s="68" t="str">
        <x:v>One stable scene renders backend-provided geometry and contact while preserving existing navigation and native appearance.</x:v>
      </x:c>
    </x:row>
    <x:row r="36" ht="40" customHeight="1">
      <x:c r="A36" s="68" t="str">
        <x:v>T-405</x:v>
      </x:c>
      <x:c r="B36" s="68" t="str">
        <x:v>M4</x:v>
      </x:c>
      <x:c r="C36" s="68" t="str">
        <x:v>Web/Observation Boundary</x:v>
      </x:c>
      <x:c r="D36" s="68" t="str">
        <x:v>Separate material truth, observation, and prediction views</x:v>
      </x:c>
      <x:c r="E36" s="68" t="str">
        <x:v>T-102, T-403</x:v>
      </x:c>
      <x:c r="F36" s="68" t="str">
        <x:v>Blocked</x:v>
      </x:c>
      <x:c r="G36" s="68" t="str">
        <x:v>2-3 days</x:v>
      </x:c>
      <x:c r="H36" s="76" t="n">
        <x:v>2</x:v>
      </x:c>
      <x:c r="I36" s="78" t="n">
        <x:f>WORKDAY(J35,1)</x:f>
        <x:v>46276</x:v>
      </x:c>
      <x:c r="J36" s="78" t="n">
        <x:f>WORKDAY(I36,H36-1)</x:f>
        <x:v>46279</x:v>
      </x:c>
      <x:c r="K36" s="68" t="str">
        <x:v>Process truth, agent-accessible observation, and predicted canvas statistics are separately labeled and revision-synchronized.</x:v>
      </x:c>
    </x:row>
    <x:row r="37" ht="40" customHeight="1">
      <x:c r="A37" s="68" t="str">
        <x:v>T-406</x:v>
      </x:c>
      <x:c r="B37" s="68" t="str">
        <x:v>M4</x:v>
      </x:c>
      <x:c r="C37" s="68" t="str">
        <x:v>Web/Runtime</x:v>
      </x:c>
      <x:c r="D37" s="68" t="str">
        <x:v>Handle capabilities, stale state, and runtime errors</x:v>
      </x:c>
      <x:c r="E37" s="68" t="str">
        <x:v>T-402, T-403, T-404</x:v>
      </x:c>
      <x:c r="F37" s="68" t="str">
        <x:v>Blocked</x:v>
      </x:c>
      <x:c r="G37" s="68" t="str">
        <x:v>1-2 days</x:v>
      </x:c>
      <x:c r="H37" s="76" t="n">
        <x:v>1</x:v>
      </x:c>
      <x:c r="I37" s="78" t="n">
        <x:f>WORKDAY(J36,1)</x:f>
        <x:v>46280</x:v>
      </x:c>
      <x:c r="J37" s="78" t="n">
        <x:f>WORKDAY(I37,H37-1)</x:f>
        <x:v>46280</x:v>
      </x:c>
      <x:c r="K37" s="68" t="str">
        <x:v>Unsupported, stale, invalid, faulted, paused, planning, retracting, and disconnected states cannot masquerade as valid execution.</x:v>
      </x:c>
    </x:row>
    <x:row r="38" ht="40" customHeight="1">
      <x:c r="A38" s="68" t="str">
        <x:v>T-407</x:v>
      </x:c>
      <x:c r="B38" s="68" t="str">
        <x:v>M4</x:v>
      </x:c>
      <x:c r="C38" s="68" t="str">
        <x:v>Web/Active-Inference Diagnostics</x:v>
      </x:c>
      <x:c r="D38" s="68" t="str">
        <x:v>Add belief, prediction, and policy overlays</x:v>
      </x:c>
      <x:c r="E38" s="68" t="str">
        <x:v>AI-101, T-403, T-405</x:v>
      </x:c>
      <x:c r="F38" s="68" t="str">
        <x:v>Blocked</x:v>
      </x:c>
      <x:c r="G38" s="68" t="str">
        <x:v>2-3 days</x:v>
      </x:c>
      <x:c r="H38" s="76" t="n">
        <x:v>2</x:v>
      </x:c>
      <x:c r="I38" s="78" t="n">
        <x:f>WORKDAY(J37,1)</x:f>
        <x:v>46281</x:v>
      </x:c>
      <x:c r="J38" s="78" t="n">
        <x:f>WORKDAY(I38,H38-1)</x:f>
        <x:v>46282</x:v>
      </x:c>
      <x:c r="K38" s="68" t="str">
        <x:v>Prior/posterior, predicted/realized, precision, VFE, EFE, and approximation diagnostics are distinct and optional.</x:v>
      </x:c>
    </x:row>
    <x:row r="39" ht="40" customHeight="1">
      <x:c r="A39" s="68" t="str">
        <x:v>T-408</x:v>
      </x:c>
      <x:c r="B39" s="68" t="str">
        <x:v>M4</x:v>
      </x:c>
      <x:c r="C39" s="68" t="str">
        <x:v>Research Ops</x:v>
      </x:c>
      <x:c r="D39" s="68" t="str">
        <x:v>Implement synchronized experiment artifact capture</x:v>
      </x:c>
      <x:c r="E39" s="68" t="str">
        <x:v>T-003, T-402, T-405, T-407</x:v>
      </x:c>
      <x:c r="F39" s="68" t="str">
        <x:v>Blocked</x:v>
      </x:c>
      <x:c r="G39" s="68" t="str">
        <x:v>2 days</x:v>
      </x:c>
      <x:c r="H39" s="76" t="n">
        <x:v>2</x:v>
      </x:c>
      <x:c r="I39" s="78" t="n">
        <x:f>WORKDAY(J38,1)</x:f>
        <x:v>46283</x:v>
      </x:c>
      <x:c r="J39" s="78" t="n">
        <x:f>WORKDAY(I39,H39-1)</x:f>
        <x:v>46286</x:v>
      </x:c>
      <x:c r="K39" s="68" t="str">
        <x:v>Named runtime events capture synchronized manifests, state, telemetry, truth, observation, prediction, and screenshot artifacts without entering policy inference.</x:v>
      </x:c>
    </x:row>
    <x:row r="40" ht="40" customHeight="1">
      <x:c r="A40" s="68" t="str">
        <x:v>T-409</x:v>
      </x:c>
      <x:c r="B40" s="68" t="str">
        <x:v>M4</x:v>
      </x:c>
      <x:c r="C40" s="68" t="str">
        <x:v>Validation</x:v>
      </x:c>
      <x:c r="D40" s="68" t="str">
        <x:v>Add contract and synchronization tests</x:v>
      </x:c>
      <x:c r="E40" s="68" t="str">
        <x:v>T-403, T-405, T-406, T-407, T-408</x:v>
      </x:c>
      <x:c r="F40" s="68" t="str">
        <x:v>Blocked</x:v>
      </x:c>
      <x:c r="G40" s="68" t="str">
        <x:v>2 days</x:v>
      </x:c>
      <x:c r="H40" s="76" t="n">
        <x:v>2</x:v>
      </x:c>
      <x:c r="I40" s="78" t="n">
        <x:f>WORKDAY(J39,1)</x:f>
        <x:v>46287</x:v>
      </x:c>
      <x:c r="J40" s="78" t="n">
        <x:f>WORKDAY(I40,H40-1)</x:f>
        <x:v>46288</x:v>
      </x:c>
      <x:c r="K40" s="68" t="str">
        <x:v>Tests cover schema, unit, frame, revision, null, stale, non-finite, hidden-truth, and VFE/EFE separation invariants.</x:v>
      </x:c>
    </x:row>
    <x:row r="41" ht="40" customHeight="1">
      <x:c r="A41" s="68" t="str">
        <x:v>T-411</x:v>
      </x:c>
      <x:c r="B41" s="68" t="str">
        <x:v>M4</x:v>
      </x:c>
      <x:c r="C41" s="68" t="str">
        <x:v>Web/Manual Validation</x:v>
      </x:c>
      <x:c r="D41" s="68" t="str">
        <x:v>Validate responsiveness and visual legibility</x:v>
      </x:c>
      <x:c r="E41" s="68" t="str">
        <x:v>T-404, T-405, T-406, T-407</x:v>
      </x:c>
      <x:c r="F41" s="68" t="str">
        <x:v>Blocked</x:v>
      </x:c>
      <x:c r="G41" s="68" t="str">
        <x:v>1 day</x:v>
      </x:c>
      <x:c r="H41" s="76" t="n">
        <x:v>1</x:v>
      </x:c>
      <x:c r="I41" s="78" t="n">
        <x:f>WORKDAY(J40,1)</x:f>
        <x:v>46289</x:v>
      </x:c>
      <x:c r="J41" s="78" t="n">
        <x:f>WORKDAY(I41,H41-1)</x:f>
        <x:v>46289</x:v>
      </x:c>
      <x:c r="K41" s="68" t="str">
        <x:v>Desktop/mobile views remain legible and observatory overhead is measured and does not materially change painting behavior.</x:v>
      </x:c>
    </x:row>
    <x:row r="42" ht="40" customHeight="1">
      <x:c r="A42" s="68" t="str">
        <x:v>T-410</x:v>
      </x:c>
      <x:c r="B42" s="68" t="str">
        <x:v>M4</x:v>
      </x:c>
      <x:c r="C42" s="68" t="str">
        <x:v>Validation/Simulation</x:v>
      </x:c>
      <x:c r="D42" s="68" t="str">
        <x:v>Capture native/MuJoCo parity artifacts</x:v>
      </x:c>
      <x:c r="E42" s="68" t="str">
        <x:v>T-309, T-404, T-405, T-408</x:v>
      </x:c>
      <x:c r="F42" s="68" t="str">
        <x:v>Blocked</x:v>
      </x:c>
      <x:c r="G42" s="68" t="str">
        <x:v>2-3 days</x:v>
      </x:c>
      <x:c r="H42" s="76" t="n">
        <x:v>2</x:v>
      </x:c>
      <x:c r="I42" s="78" t="n">
        <x:f>MAX(WORKDAY(J41,1),'Phase Data'!E15)</x:f>
        <x:v>46307</x:v>
      </x:c>
      <x:c r="J42" s="78" t="n">
        <x:f>WORKDAY(I42,H42-1)</x:f>
        <x:v>46308</x:v>
      </x:c>
      <x:c r="K42" s="68" t="str">
        <x:v>Matched pose, motion, contact, and stroke cases produce synchronized artifacts and triaged numeric backend differences.</x:v>
      </x:c>
    </x:row>
    <x:row r="43" ht="40" customHeight="1">
      <x:c r="A43" s="68" t="str">
        <x:v>T-412</x:v>
      </x:c>
      <x:c r="B43" s="68" t="str">
        <x:v>M4</x:v>
      </x:c>
      <x:c r="C43" s="68" t="str">
        <x:v>Validation</x:v>
      </x:c>
      <x:c r="D43" s="68" t="str">
        <x:v>M4 observatory gate</x:v>
      </x:c>
      <x:c r="E43" s="68" t="str">
        <x:v>T-409, T-410, T-411</x:v>
      </x:c>
      <x:c r="F43" s="68" t="str">
        <x:v>Blocked</x:v>
      </x:c>
      <x:c r="G43" s="68" t="str">
        <x:v>0.5 day</x:v>
      </x:c>
      <x:c r="H43" s="76" t="n">
        <x:v>1</x:v>
      </x:c>
      <x:c r="I43" s="78" t="n">
        <x:f>WORKDAY(J42,1)</x:f>
        <x:v>46309</x:v>
      </x:c>
      <x:c r="J43" s="78" t="n">
        <x:f>WORKDAY(I43,H43-1)</x:f>
        <x:v>46309</x:v>
      </x:c>
      <x:c r="K43" s="68" t="str">
        <x:v>Shared contracts, provenance, clocks, access boundaries, synchronized artifacts, parity evidence, and bounded overhead are accepted.</x:v>
      </x:c>
    </x:row>
  </x:sheetData>
  <x:mergeCells>
    <x:mergeCell ref="A1:K1"/>
    <x:mergeCell ref="A2:K2"/>
  </x:mergeCells>
  <x:dataValidations count="1">
    <x:dataValidation type="list" sqref="F5:F43">
      <x:formula1>"Ready,Backlog,Blocked,Active,Validate,Done"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40d5259c8947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4" hidden="0" customWidth="1"/>
    <x:col min="4" max="4" width="40" hidden="0" customWidth="1"/>
    <x:col min="5" max="5" width="24" hidden="0" customWidth="1"/>
    <x:col min="6" max="6" width="11" hidden="0" customWidth="1"/>
    <x:col min="7" max="7" width="13" hidden="0" customWidth="1"/>
    <x:col min="8" max="8" width="13" hidden="0" customWidth="1"/>
    <x:col min="9" max="9" width="4.599999904632568" hidden="0" customWidth="1"/>
    <x:col min="10" max="10" width="4.599999904632568" hidden="0" customWidth="1"/>
    <x:col min="11" max="11" width="4.599999904632568" hidden="0" customWidth="1"/>
    <x:col min="12" max="12" width="4.599999904632568" hidden="0" customWidth="1"/>
    <x:col min="13" max="13" width="4.599999904632568" hidden="0" customWidth="1"/>
    <x:col min="14" max="14" width="4.599999904632568" hidden="0" customWidth="1"/>
    <x:col min="15" max="15" width="4.599999904632568" hidden="0" customWidth="1"/>
    <x:col min="16" max="16" width="4.599999904632568" hidden="0" customWidth="1"/>
    <x:col min="17" max="17" width="4.599999904632568" hidden="0" customWidth="1"/>
    <x:col min="18" max="18" width="4.599999904632568" hidden="0" customWidth="1"/>
    <x:col min="19" max="19" width="4.599999904632568" hidden="0" customWidth="1"/>
    <x:col min="20" max="20" width="4.599999904632568" hidden="0" customWidth="1"/>
    <x:col min="21" max="21" width="4.599999904632568" hidden="0" customWidth="1"/>
    <x:col min="22" max="22" width="4.599999904632568" hidden="0" customWidth="1"/>
    <x:col min="23" max="23" width="4.599999904632568" hidden="0" customWidth="1"/>
    <x:col min="24" max="24" width="4.599999904632568" hidden="0" customWidth="1"/>
    <x:col min="25" max="25" width="4.599999904632568" hidden="0" customWidth="1"/>
    <x:col min="26" max="26" width="4.599999904632568" hidden="0" customWidth="1"/>
    <x:col min="27" max="27" width="4.599999904632568" hidden="0" customWidth="1"/>
    <x:col min="28" max="28" width="4.599999904632568" hidden="0" customWidth="1"/>
    <x:col min="29" max="29" width="4.599999904632568" hidden="0" customWidth="1"/>
    <x:col min="30" max="30" width="4.599999904632568" hidden="0" customWidth="1"/>
    <x:col min="31" max="31" width="4.599999904632568" hidden="0" customWidth="1"/>
    <x:col min="32" max="32" width="4.599999904632568" hidden="0" customWidth="1"/>
    <x:col min="33" max="33" width="4.599999904632568" hidden="0" customWidth="1"/>
    <x:col min="34" max="34" width="4.599999904632568" hidden="0" customWidth="1"/>
    <x:col min="35" max="35" width="4.599999904632568" hidden="0" customWidth="1"/>
    <x:col min="36" max="36" width="4.599999904632568" hidden="0" customWidth="1"/>
    <x:col min="37" max="37" width="4.599999904632568" hidden="0" customWidth="1"/>
    <x:col min="38" max="38" width="4.599999904632568" hidden="0" customWidth="1"/>
    <x:col min="39" max="39" width="4.599999904632568" hidden="0" customWidth="1"/>
    <x:col min="40" max="40" width="4.599999904632568" hidden="0" customWidth="1"/>
    <x:col min="41" max="41" width="4.599999904632568" hidden="0" customWidth="1"/>
    <x:col min="42" max="42" width="4.599999904632568" hidden="0" customWidth="1"/>
    <x:col min="43" max="43" width="4.599999904632568" hidden="0" customWidth="1"/>
    <x:col min="44" max="44" width="4.599999904632568" hidden="0" customWidth="1"/>
    <x:col min="45" max="45" width="4.599999904632568" hidden="0" customWidth="1"/>
    <x:col min="46" max="46" width="4.599999904632568" hidden="0" customWidth="1"/>
    <x:col min="47" max="47" width="4.599999904632568" hidden="0" customWidth="1"/>
    <x:col min="48" max="48" width="4.599999904632568" hidden="0" customWidth="1"/>
    <x:col min="49" max="49" width="4.599999904632568" hidden="0" customWidth="1"/>
    <x:col min="50" max="50" width="4.599999904632568" hidden="0" customWidth="1"/>
    <x:col min="51" max="51" width="4.599999904632568" hidden="0" customWidth="1"/>
  </x:cols>
  <x:sheetData>
    <x:row r="1" ht="34" customHeight="1">
      <x:c r="A1" s="3" t="str">
        <x:v>Mechanical &amp; Hardware Weekly Gantt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</x:row>
    <x:row r="2" ht="30" customHeight="1">
      <x:c r="A2" s="6" t="str">
        <x:v>M5-M7: physical specification, CAD and prototypes, safety, commissioning, wet trials, and bounded autonomy. Overlap is an interleaving envelope for one investigator, not parallel staffing.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</x:row>
    <x:row r="4">
      <x:c r="A4" s="121" t="str">
        <x:v>ID</x:v>
      </x:c>
      <x:c r="B4" s="122" t="str">
        <x:v>Milestone</x:v>
      </x:c>
      <x:c r="C4" s="122" t="str">
        <x:v>Track</x:v>
      </x:c>
      <x:c r="D4" s="122" t="str">
        <x:v>Task</x:v>
      </x:c>
      <x:c r="E4" s="122" t="str">
        <x:v>Dependencies</x:v>
      </x:c>
      <x:c r="F4" s="122" t="str">
        <x:v>Status</x:v>
      </x:c>
      <x:c r="G4" s="122" t="str">
        <x:v>Start</x:v>
      </x:c>
      <x:c r="H4" s="123" t="str">
        <x:v>Finish</x:v>
      </x:c>
      <x:c r="I4" s="133" t="str">
        <x:v>Sep 2026</x:v>
      </x:c>
      <x:c r="J4" s="134"/>
      <x:c r="K4" s="135"/>
      <x:c r="L4" s="133" t="str">
        <x:v>Oct 2026</x:v>
      </x:c>
      <x:c r="M4" s="134"/>
      <x:c r="N4" s="134"/>
      <x:c r="O4" s="135"/>
      <x:c r="P4" s="144" t="str">
        <x:v>Nov 2026</x:v>
      </x:c>
      <x:c r="Q4" s="145"/>
      <x:c r="R4" s="145"/>
      <x:c r="S4" s="145"/>
      <x:c r="T4" s="146"/>
      <x:c r="U4" s="144" t="str">
        <x:v>Dec 2026</x:v>
      </x:c>
      <x:c r="V4" s="145"/>
      <x:c r="W4" s="145"/>
      <x:c r="X4" s="146"/>
      <x:c r="Y4" s="144" t="str">
        <x:v>Jan 2027</x:v>
      </x:c>
      <x:c r="Z4" s="145"/>
      <x:c r="AA4" s="145"/>
      <x:c r="AB4" s="146"/>
      <x:c r="AC4" s="144" t="str">
        <x:v>Feb 2027</x:v>
      </x:c>
      <x:c r="AD4" s="145"/>
      <x:c r="AE4" s="145"/>
      <x:c r="AF4" s="146"/>
      <x:c r="AG4" s="133" t="str">
        <x:v>Mar 2027</x:v>
      </x:c>
      <x:c r="AH4" s="134"/>
      <x:c r="AI4" s="134"/>
      <x:c r="AJ4" s="134"/>
      <x:c r="AK4" s="135"/>
      <x:c r="AL4" s="133" t="str">
        <x:v>Apr 2027</x:v>
      </x:c>
      <x:c r="AM4" s="134"/>
      <x:c r="AN4" s="134"/>
      <x:c r="AO4" s="135"/>
      <x:c r="AP4" s="144" t="str">
        <x:v>May 2027</x:v>
      </x:c>
      <x:c r="AQ4" s="145"/>
      <x:c r="AR4" s="145"/>
      <x:c r="AS4" s="145"/>
      <x:c r="AT4" s="146"/>
      <x:c r="AU4" s="144" t="str">
        <x:v>Jun 2027</x:v>
      </x:c>
      <x:c r="AV4" s="145"/>
      <x:c r="AW4" s="145"/>
      <x:c r="AX4" s="146"/>
      <x:c r="AY4" s="174" t="str">
        <x:v>Jul 2027</x:v>
      </x:c>
    </x:row>
    <x:row r="5">
      <x:c r="A5" s="124"/>
      <x:c r="B5" s="125"/>
      <x:c r="C5" s="125"/>
      <x:c r="D5" s="125"/>
      <x:c r="E5" s="125"/>
      <x:c r="F5" s="125"/>
      <x:c r="G5" s="125"/>
      <x:c r="H5" s="126"/>
      <x:c r="I5" s="148" t="str">
        <x:v>Week commencing</x:v>
      </x:c>
      <x:c r="J5" s="148"/>
      <x:c r="K5" s="148"/>
      <x:c r="L5" s="148"/>
      <x:c r="M5" s="148"/>
      <x:c r="N5" s="148"/>
      <x:c r="O5" s="148"/>
      <x:c r="P5" s="148"/>
      <x:c r="Q5" s="148"/>
      <x:c r="R5" s="148"/>
      <x:c r="S5" s="148"/>
      <x:c r="T5" s="148"/>
      <x:c r="U5" s="148"/>
      <x:c r="V5" s="148"/>
      <x:c r="W5" s="148"/>
      <x:c r="X5" s="148"/>
      <x:c r="Y5" s="148"/>
      <x:c r="Z5" s="148"/>
      <x:c r="AA5" s="148"/>
      <x:c r="AB5" s="148"/>
      <x:c r="AC5" s="148"/>
      <x:c r="AD5" s="148"/>
      <x:c r="AE5" s="148"/>
      <x:c r="AF5" s="148"/>
      <x:c r="AG5" s="148"/>
      <x:c r="AH5" s="148"/>
      <x:c r="AI5" s="148"/>
      <x:c r="AJ5" s="148"/>
      <x:c r="AK5" s="148"/>
      <x:c r="AL5" s="148"/>
      <x:c r="AM5" s="148"/>
      <x:c r="AN5" s="148"/>
      <x:c r="AO5" s="148"/>
      <x:c r="AP5" s="148"/>
      <x:c r="AQ5" s="148"/>
      <x:c r="AR5" s="148"/>
      <x:c r="AS5" s="148"/>
      <x:c r="AT5" s="148"/>
      <x:c r="AU5" s="148"/>
      <x:c r="AV5" s="148"/>
      <x:c r="AW5" s="148"/>
      <x:c r="AX5" s="148"/>
      <x:c r="AY5" s="148"/>
    </x:row>
    <x:row r="6">
      <x:c r="A6" s="127"/>
      <x:c r="B6" s="128"/>
      <x:c r="C6" s="128"/>
      <x:c r="D6" s="128"/>
      <x:c r="E6" s="128"/>
      <x:c r="F6" s="128"/>
      <x:c r="G6" s="128"/>
      <x:c r="H6" s="129"/>
      <x:c r="I6" s="153" t="n">
        <x:v>46279</x:v>
      </x:c>
      <x:c r="J6" s="153" t="n">
        <x:v>46286</x:v>
      </x:c>
      <x:c r="K6" s="153" t="n">
        <x:v>46293</x:v>
      </x:c>
      <x:c r="L6" s="153" t="n">
        <x:v>46300</x:v>
      </x:c>
      <x:c r="M6" s="153" t="n">
        <x:v>46307</x:v>
      </x:c>
      <x:c r="N6" s="153" t="n">
        <x:v>46314</x:v>
      </x:c>
      <x:c r="O6" s="153" t="n">
        <x:v>46321</x:v>
      </x:c>
      <x:c r="P6" s="153" t="n">
        <x:v>46328</x:v>
      </x:c>
      <x:c r="Q6" s="153" t="n">
        <x:v>46335</x:v>
      </x:c>
      <x:c r="R6" s="153" t="n">
        <x:v>46342</x:v>
      </x:c>
      <x:c r="S6" s="153" t="n">
        <x:v>46349</x:v>
      </x:c>
      <x:c r="T6" s="153" t="n">
        <x:v>46356</x:v>
      </x:c>
      <x:c r="U6" s="153" t="n">
        <x:v>46363</x:v>
      </x:c>
      <x:c r="V6" s="153" t="n">
        <x:v>46370</x:v>
      </x:c>
      <x:c r="W6" s="153" t="n">
        <x:v>46377</x:v>
      </x:c>
      <x:c r="X6" s="153" t="n">
        <x:v>46384</x:v>
      </x:c>
      <x:c r="Y6" s="153" t="n">
        <x:v>46391</x:v>
      </x:c>
      <x:c r="Z6" s="153" t="n">
        <x:v>46398</x:v>
      </x:c>
      <x:c r="AA6" s="153" t="n">
        <x:v>46405</x:v>
      </x:c>
      <x:c r="AB6" s="153" t="n">
        <x:v>46412</x:v>
      </x:c>
      <x:c r="AC6" s="153" t="n">
        <x:v>46419</x:v>
      </x:c>
      <x:c r="AD6" s="153" t="n">
        <x:v>46426</x:v>
      </x:c>
      <x:c r="AE6" s="153" t="n">
        <x:v>46433</x:v>
      </x:c>
      <x:c r="AF6" s="153" t="n">
        <x:v>46440</x:v>
      </x:c>
      <x:c r="AG6" s="153" t="n">
        <x:v>46447</x:v>
      </x:c>
      <x:c r="AH6" s="153" t="n">
        <x:v>46454</x:v>
      </x:c>
      <x:c r="AI6" s="153" t="n">
        <x:v>46461</x:v>
      </x:c>
      <x:c r="AJ6" s="153" t="n">
        <x:v>46468</x:v>
      </x:c>
      <x:c r="AK6" s="153" t="n">
        <x:v>46475</x:v>
      </x:c>
      <x:c r="AL6" s="153" t="n">
        <x:v>46482</x:v>
      </x:c>
      <x:c r="AM6" s="153" t="n">
        <x:v>46489</x:v>
      </x:c>
      <x:c r="AN6" s="153" t="n">
        <x:v>46496</x:v>
      </x:c>
      <x:c r="AO6" s="153" t="n">
        <x:v>46503</x:v>
      </x:c>
      <x:c r="AP6" s="153" t="n">
        <x:v>46510</x:v>
      </x:c>
      <x:c r="AQ6" s="153" t="n">
        <x:v>46517</x:v>
      </x:c>
      <x:c r="AR6" s="153" t="n">
        <x:v>46524</x:v>
      </x:c>
      <x:c r="AS6" s="153" t="n">
        <x:v>46531</x:v>
      </x:c>
      <x:c r="AT6" s="153" t="n">
        <x:v>46538</x:v>
      </x:c>
      <x:c r="AU6" s="153" t="n">
        <x:v>46545</x:v>
      </x:c>
      <x:c r="AV6" s="153" t="n">
        <x:v>46552</x:v>
      </x:c>
      <x:c r="AW6" s="153" t="n">
        <x:v>46559</x:v>
      </x:c>
      <x:c r="AX6" s="153" t="n">
        <x:v>46566</x:v>
      </x:c>
      <x:c r="AY6" s="153" t="n">
        <x:v>46573</x:v>
      </x:c>
    </x:row>
    <x:row r="7" ht="24" customHeight="1">
      <x:c r="A7" s="65" t="str">
        <x:f>'Hardware Tasks'!A5</x:f>
        <x:v>T-501</x:v>
      </x:c>
      <x:c r="B7" s="65" t="str">
        <x:f>'Hardware Tasks'!B5</x:f>
        <x:v>M5</x:v>
      </x:c>
      <x:c r="C7" s="65" t="str">
        <x:f>'Hardware Tasks'!C5</x:f>
        <x:v>Geometry/Architecture</x:v>
      </x:c>
      <x:c r="D7" s="65" t="str">
        <x:f>'Hardware Tasks'!D5</x:f>
        <x:v>Define RobotGeometrySpec</x:v>
      </x:c>
      <x:c r="E7" s="65" t="str">
        <x:f>'Hardware Tasks'!E5</x:f>
        <x:v>T-101, T-103</x:v>
      </x:c>
      <x:c r="F7" s="65" t="str">
        <x:f>'Hardware Tasks'!F5</x:f>
        <x:v>Active</x:v>
      </x:c>
      <x:c r="G7" s="93" t="n">
        <x:f>'Hardware Tasks'!I5</x:f>
        <x:v>46279</x:v>
      </x:c>
      <x:c r="H7" s="93" t="n">
        <x:f>'Hardware Tasks'!J5</x:f>
        <x:v>46280</x:v>
      </x:c>
      <x:c r="I7" s="163" t="n">
        <x:f>IF(AND(I$6&lt;=$H7,I$6+6&gt;=$G7),1,"")</x:f>
        <x:v>1</x:v>
      </x:c>
      <x:c r="J7" s="164" t="str">
        <x:f>IF(AND(J$6&lt;=$H7,J$6+6&gt;=$G7),1,"")</x:f>
      </x:c>
      <x:c r="K7" s="164" t="str">
        <x:f>IF(AND(K$6&lt;=$H7,K$6+6&gt;=$G7),1,"")</x:f>
      </x:c>
      <x:c r="L7" s="164" t="str">
        <x:f>IF(AND(L$6&lt;=$H7,L$6+6&gt;=$G7),1,"")</x:f>
      </x:c>
      <x:c r="M7" s="164" t="str">
        <x:f>IF(AND(M$6&lt;=$H7,M$6+6&gt;=$G7),1,"")</x:f>
      </x:c>
      <x:c r="N7" s="164" t="str">
        <x:f>IF(AND(N$6&lt;=$H7,N$6+6&gt;=$G7),1,"")</x:f>
      </x:c>
      <x:c r="O7" s="164" t="str">
        <x:f>IF(AND(O$6&lt;=$H7,O$6+6&gt;=$G7),1,"")</x:f>
      </x:c>
      <x:c r="P7" s="164" t="str">
        <x:f>IF(AND(P$6&lt;=$H7,P$6+6&gt;=$G7),1,"")</x:f>
      </x:c>
      <x:c r="Q7" s="164" t="str">
        <x:f>IF(AND(Q$6&lt;=$H7,Q$6+6&gt;=$G7),1,"")</x:f>
      </x:c>
      <x:c r="R7" s="164" t="str">
        <x:f>IF(AND(R$6&lt;=$H7,R$6+6&gt;=$G7),1,"")</x:f>
      </x:c>
      <x:c r="S7" s="164" t="str">
        <x:f>IF(AND(S$6&lt;=$H7,S$6+6&gt;=$G7),1,"")</x:f>
      </x:c>
      <x:c r="T7" s="164" t="str">
        <x:f>IF(AND(T$6&lt;=$H7,T$6+6&gt;=$G7),1,"")</x:f>
      </x:c>
      <x:c r="U7" s="164" t="str">
        <x:f>IF(AND(U$6&lt;=$H7,U$6+6&gt;=$G7),1,"")</x:f>
      </x:c>
      <x:c r="V7" s="164" t="str">
        <x:f>IF(AND(V$6&lt;=$H7,V$6+6&gt;=$G7),1,"")</x:f>
      </x:c>
      <x:c r="W7" s="164" t="str">
        <x:f>IF(AND(W$6&lt;=$H7,W$6+6&gt;=$G7),1,"")</x:f>
      </x:c>
      <x:c r="X7" s="164" t="str">
        <x:f>IF(AND(X$6&lt;=$H7,X$6+6&gt;=$G7),1,"")</x:f>
      </x:c>
      <x:c r="Y7" s="164" t="str">
        <x:f>IF(AND(Y$6&lt;=$H7,Y$6+6&gt;=$G7),1,"")</x:f>
      </x:c>
      <x:c r="Z7" s="164" t="str">
        <x:f>IF(AND(Z$6&lt;=$H7,Z$6+6&gt;=$G7),1,"")</x:f>
      </x:c>
      <x:c r="AA7" s="164" t="str">
        <x:f>IF(AND(AA$6&lt;=$H7,AA$6+6&gt;=$G7),1,"")</x:f>
      </x:c>
      <x:c r="AB7" s="164" t="str">
        <x:f>IF(AND(AB$6&lt;=$H7,AB$6+6&gt;=$G7),1,"")</x:f>
      </x:c>
      <x:c r="AC7" s="164" t="str">
        <x:f>IF(AND(AC$6&lt;=$H7,AC$6+6&gt;=$G7),1,"")</x:f>
      </x:c>
      <x:c r="AD7" s="164" t="str">
        <x:f>IF(AND(AD$6&lt;=$H7,AD$6+6&gt;=$G7),1,"")</x:f>
      </x:c>
      <x:c r="AE7" s="164" t="str">
        <x:f>IF(AND(AE$6&lt;=$H7,AE$6+6&gt;=$G7),1,"")</x:f>
      </x:c>
      <x:c r="AF7" s="164" t="str">
        <x:f>IF(AND(AF$6&lt;=$H7,AF$6+6&gt;=$G7),1,"")</x:f>
      </x:c>
      <x:c r="AG7" s="164" t="str">
        <x:f>IF(AND(AG$6&lt;=$H7,AG$6+6&gt;=$G7),1,"")</x:f>
      </x:c>
      <x:c r="AH7" s="164" t="str">
        <x:f>IF(AND(AH$6&lt;=$H7,AH$6+6&gt;=$G7),1,"")</x:f>
      </x:c>
      <x:c r="AI7" s="164" t="str">
        <x:f>IF(AND(AI$6&lt;=$H7,AI$6+6&gt;=$G7),1,"")</x:f>
      </x:c>
      <x:c r="AJ7" s="164" t="str">
        <x:f>IF(AND(AJ$6&lt;=$H7,AJ$6+6&gt;=$G7),1,"")</x:f>
      </x:c>
      <x:c r="AK7" s="164" t="str">
        <x:f>IF(AND(AK$6&lt;=$H7,AK$6+6&gt;=$G7),1,"")</x:f>
      </x:c>
      <x:c r="AL7" s="164" t="str">
        <x:f>IF(AND(AL$6&lt;=$H7,AL$6+6&gt;=$G7),1,"")</x:f>
      </x:c>
      <x:c r="AM7" s="164" t="str">
        <x:f>IF(AND(AM$6&lt;=$H7,AM$6+6&gt;=$G7),1,"")</x:f>
      </x:c>
      <x:c r="AN7" s="164" t="str">
        <x:f>IF(AND(AN$6&lt;=$H7,AN$6+6&gt;=$G7),1,"")</x:f>
      </x:c>
      <x:c r="AO7" s="164" t="str">
        <x:f>IF(AND(AO$6&lt;=$H7,AO$6+6&gt;=$G7),1,"")</x:f>
      </x:c>
      <x:c r="AP7" s="164" t="str">
        <x:f>IF(AND(AP$6&lt;=$H7,AP$6+6&gt;=$G7),1,"")</x:f>
      </x:c>
      <x:c r="AQ7" s="164" t="str">
        <x:f>IF(AND(AQ$6&lt;=$H7,AQ$6+6&gt;=$G7),1,"")</x:f>
      </x:c>
      <x:c r="AR7" s="164" t="str">
        <x:f>IF(AND(AR$6&lt;=$H7,AR$6+6&gt;=$G7),1,"")</x:f>
      </x:c>
      <x:c r="AS7" s="164" t="str">
        <x:f>IF(AND(AS$6&lt;=$H7,AS$6+6&gt;=$G7),1,"")</x:f>
      </x:c>
      <x:c r="AT7" s="164" t="str">
        <x:f>IF(AND(AT$6&lt;=$H7,AT$6+6&gt;=$G7),1,"")</x:f>
      </x:c>
      <x:c r="AU7" s="164" t="str">
        <x:f>IF(AND(AU$6&lt;=$H7,AU$6+6&gt;=$G7),1,"")</x:f>
      </x:c>
      <x:c r="AV7" s="164" t="str">
        <x:f>IF(AND(AV$6&lt;=$H7,AV$6+6&gt;=$G7),1,"")</x:f>
      </x:c>
      <x:c r="AW7" s="164" t="str">
        <x:f>IF(AND(AW$6&lt;=$H7,AW$6+6&gt;=$G7),1,"")</x:f>
      </x:c>
      <x:c r="AX7" s="164" t="str">
        <x:f>IF(AND(AX$6&lt;=$H7,AX$6+6&gt;=$G7),1,"")</x:f>
      </x:c>
      <x:c r="AY7" s="165" t="str">
        <x:f>IF(AND(AY$6&lt;=$H7,AY$6+6&gt;=$G7),1,"")</x:f>
      </x:c>
    </x:row>
    <x:row r="8" ht="24" customHeight="1">
      <x:c r="A8" s="68" t="str">
        <x:f>'Hardware Tasks'!A6</x:f>
        <x:v>T-502</x:v>
      </x:c>
      <x:c r="B8" s="68" t="str">
        <x:f>'Hardware Tasks'!B6</x:f>
        <x:v>M5</x:v>
      </x:c>
      <x:c r="C8" s="68" t="str">
        <x:f>'Hardware Tasks'!C6</x:f>
        <x:v>Geometry</x:v>
      </x:c>
      <x:c r="D8" s="68" t="str">
        <x:f>'Hardware Tasks'!D6</x:f>
        <x:v>Define the frame graph and naming convention</x:v>
      </x:c>
      <x:c r="E8" s="68" t="str">
        <x:f>'Hardware Tasks'!E6</x:f>
        <x:v>T-501</x:v>
      </x:c>
      <x:c r="F8" s="68" t="str">
        <x:f>'Hardware Tasks'!F6</x:f>
        <x:v>Blocked</x:v>
      </x:c>
      <x:c r="G8" s="94" t="n">
        <x:f>'Hardware Tasks'!I6</x:f>
        <x:v>46281</x:v>
      </x:c>
      <x:c r="H8" s="94" t="n">
        <x:f>'Hardware Tasks'!J6</x:f>
        <x:v>46281</x:v>
      </x:c>
      <x:c r="I8" s="166" t="n">
        <x:f>IF(AND(I$6&lt;=$H8,I$6+6&gt;=$G8),1,"")</x:f>
        <x:v>1</x:v>
      </x:c>
      <x:c r="J8" s="167" t="str">
        <x:f>IF(AND(J$6&lt;=$H8,J$6+6&gt;=$G8),1,"")</x:f>
      </x:c>
      <x:c r="K8" s="167" t="str">
        <x:f>IF(AND(K$6&lt;=$H8,K$6+6&gt;=$G8),1,"")</x:f>
      </x:c>
      <x:c r="L8" s="167" t="str">
        <x:f>IF(AND(L$6&lt;=$H8,L$6+6&gt;=$G8),1,"")</x:f>
      </x:c>
      <x:c r="M8" s="167" t="str">
        <x:f>IF(AND(M$6&lt;=$H8,M$6+6&gt;=$G8),1,"")</x:f>
      </x:c>
      <x:c r="N8" s="167" t="str">
        <x:f>IF(AND(N$6&lt;=$H8,N$6+6&gt;=$G8),1,"")</x:f>
      </x:c>
      <x:c r="O8" s="167" t="str">
        <x:f>IF(AND(O$6&lt;=$H8,O$6+6&gt;=$G8),1,"")</x:f>
      </x:c>
      <x:c r="P8" s="167" t="str">
        <x:f>IF(AND(P$6&lt;=$H8,P$6+6&gt;=$G8),1,"")</x:f>
      </x:c>
      <x:c r="Q8" s="167" t="str">
        <x:f>IF(AND(Q$6&lt;=$H8,Q$6+6&gt;=$G8),1,"")</x:f>
      </x:c>
      <x:c r="R8" s="167" t="str">
        <x:f>IF(AND(R$6&lt;=$H8,R$6+6&gt;=$G8),1,"")</x:f>
      </x:c>
      <x:c r="S8" s="167" t="str">
        <x:f>IF(AND(S$6&lt;=$H8,S$6+6&gt;=$G8),1,"")</x:f>
      </x:c>
      <x:c r="T8" s="167" t="str">
        <x:f>IF(AND(T$6&lt;=$H8,T$6+6&gt;=$G8),1,"")</x:f>
      </x:c>
      <x:c r="U8" s="167" t="str">
        <x:f>IF(AND(U$6&lt;=$H8,U$6+6&gt;=$G8),1,"")</x:f>
      </x:c>
      <x:c r="V8" s="167" t="str">
        <x:f>IF(AND(V$6&lt;=$H8,V$6+6&gt;=$G8),1,"")</x:f>
      </x:c>
      <x:c r="W8" s="167" t="str">
        <x:f>IF(AND(W$6&lt;=$H8,W$6+6&gt;=$G8),1,"")</x:f>
      </x:c>
      <x:c r="X8" s="167" t="str">
        <x:f>IF(AND(X$6&lt;=$H8,X$6+6&gt;=$G8),1,"")</x:f>
      </x:c>
      <x:c r="Y8" s="167" t="str">
        <x:f>IF(AND(Y$6&lt;=$H8,Y$6+6&gt;=$G8),1,"")</x:f>
      </x:c>
      <x:c r="Z8" s="167" t="str">
        <x:f>IF(AND(Z$6&lt;=$H8,Z$6+6&gt;=$G8),1,"")</x:f>
      </x:c>
      <x:c r="AA8" s="167" t="str">
        <x:f>IF(AND(AA$6&lt;=$H8,AA$6+6&gt;=$G8),1,"")</x:f>
      </x:c>
      <x:c r="AB8" s="167" t="str">
        <x:f>IF(AND(AB$6&lt;=$H8,AB$6+6&gt;=$G8),1,"")</x:f>
      </x:c>
      <x:c r="AC8" s="167" t="str">
        <x:f>IF(AND(AC$6&lt;=$H8,AC$6+6&gt;=$G8),1,"")</x:f>
      </x:c>
      <x:c r="AD8" s="167" t="str">
        <x:f>IF(AND(AD$6&lt;=$H8,AD$6+6&gt;=$G8),1,"")</x:f>
      </x:c>
      <x:c r="AE8" s="167" t="str">
        <x:f>IF(AND(AE$6&lt;=$H8,AE$6+6&gt;=$G8),1,"")</x:f>
      </x:c>
      <x:c r="AF8" s="167" t="str">
        <x:f>IF(AND(AF$6&lt;=$H8,AF$6+6&gt;=$G8),1,"")</x:f>
      </x:c>
      <x:c r="AG8" s="167" t="str">
        <x:f>IF(AND(AG$6&lt;=$H8,AG$6+6&gt;=$G8),1,"")</x:f>
      </x:c>
      <x:c r="AH8" s="167" t="str">
        <x:f>IF(AND(AH$6&lt;=$H8,AH$6+6&gt;=$G8),1,"")</x:f>
      </x:c>
      <x:c r="AI8" s="167" t="str">
        <x:f>IF(AND(AI$6&lt;=$H8,AI$6+6&gt;=$G8),1,"")</x:f>
      </x:c>
      <x:c r="AJ8" s="167" t="str">
        <x:f>IF(AND(AJ$6&lt;=$H8,AJ$6+6&gt;=$G8),1,"")</x:f>
      </x:c>
      <x:c r="AK8" s="167" t="str">
        <x:f>IF(AND(AK$6&lt;=$H8,AK$6+6&gt;=$G8),1,"")</x:f>
      </x:c>
      <x:c r="AL8" s="167" t="str">
        <x:f>IF(AND(AL$6&lt;=$H8,AL$6+6&gt;=$G8),1,"")</x:f>
      </x:c>
      <x:c r="AM8" s="167" t="str">
        <x:f>IF(AND(AM$6&lt;=$H8,AM$6+6&gt;=$G8),1,"")</x:f>
      </x:c>
      <x:c r="AN8" s="167" t="str">
        <x:f>IF(AND(AN$6&lt;=$H8,AN$6+6&gt;=$G8),1,"")</x:f>
      </x:c>
      <x:c r="AO8" s="167" t="str">
        <x:f>IF(AND(AO$6&lt;=$H8,AO$6+6&gt;=$G8),1,"")</x:f>
      </x:c>
      <x:c r="AP8" s="167" t="str">
        <x:f>IF(AND(AP$6&lt;=$H8,AP$6+6&gt;=$G8),1,"")</x:f>
      </x:c>
      <x:c r="AQ8" s="167" t="str">
        <x:f>IF(AND(AQ$6&lt;=$H8,AQ$6+6&gt;=$G8),1,"")</x:f>
      </x:c>
      <x:c r="AR8" s="167" t="str">
        <x:f>IF(AND(AR$6&lt;=$H8,AR$6+6&gt;=$G8),1,"")</x:f>
      </x:c>
      <x:c r="AS8" s="167" t="str">
        <x:f>IF(AND(AS$6&lt;=$H8,AS$6+6&gt;=$G8),1,"")</x:f>
      </x:c>
      <x:c r="AT8" s="167" t="str">
        <x:f>IF(AND(AT$6&lt;=$H8,AT$6+6&gt;=$G8),1,"")</x:f>
      </x:c>
      <x:c r="AU8" s="167" t="str">
        <x:f>IF(AND(AU$6&lt;=$H8,AU$6+6&gt;=$G8),1,"")</x:f>
      </x:c>
      <x:c r="AV8" s="167" t="str">
        <x:f>IF(AND(AV$6&lt;=$H8,AV$6+6&gt;=$G8),1,"")</x:f>
      </x:c>
      <x:c r="AW8" s="167" t="str">
        <x:f>IF(AND(AW$6&lt;=$H8,AW$6+6&gt;=$G8),1,"")</x:f>
      </x:c>
      <x:c r="AX8" s="167" t="str">
        <x:f>IF(AND(AX$6&lt;=$H8,AX$6+6&gt;=$G8),1,"")</x:f>
      </x:c>
      <x:c r="AY8" s="168" t="str">
        <x:f>IF(AND(AY$6&lt;=$H8,AY$6+6&gt;=$G8),1,"")</x:f>
      </x:c>
    </x:row>
    <x:row r="9" ht="24" customHeight="1">
      <x:c r="A9" s="68" t="str">
        <x:f>'Hardware Tasks'!A7</x:f>
        <x:v>T-503</x:v>
      </x:c>
      <x:c r="B9" s="68" t="str">
        <x:f>'Hardware Tasks'!B7</x:f>
        <x:v>M5</x:v>
      </x:c>
      <x:c r="C9" s="68" t="str">
        <x:f>'Hardware Tasks'!C7</x:f>
        <x:v>Actuation/Control Interface</x:v>
      </x:c>
      <x:c r="D9" s="68" t="str">
        <x:f>'Hardware Tasks'!D7</x:f>
        <x:v>Define actuator, transmission, and sensor specifications</x:v>
      </x:c>
      <x:c r="E9" s="68" t="str">
        <x:f>'Hardware Tasks'!E7</x:f>
        <x:v>T-103, T-501</x:v>
      </x:c>
      <x:c r="F9" s="68" t="str">
        <x:f>'Hardware Tasks'!F7</x:f>
        <x:v>Blocked</x:v>
      </x:c>
      <x:c r="G9" s="94" t="n">
        <x:f>'Hardware Tasks'!I7</x:f>
        <x:v>46282</x:v>
      </x:c>
      <x:c r="H9" s="94" t="n">
        <x:f>'Hardware Tasks'!J7</x:f>
        <x:v>46283</x:v>
      </x:c>
      <x:c r="I9" s="166" t="n">
        <x:f>IF(AND(I$6&lt;=$H9,I$6+6&gt;=$G9),1,"")</x:f>
        <x:v>1</x:v>
      </x:c>
      <x:c r="J9" s="167" t="str">
        <x:f>IF(AND(J$6&lt;=$H9,J$6+6&gt;=$G9),1,"")</x:f>
      </x:c>
      <x:c r="K9" s="167" t="str">
        <x:f>IF(AND(K$6&lt;=$H9,K$6+6&gt;=$G9),1,"")</x:f>
      </x:c>
      <x:c r="L9" s="167" t="str">
        <x:f>IF(AND(L$6&lt;=$H9,L$6+6&gt;=$G9),1,"")</x:f>
      </x:c>
      <x:c r="M9" s="167" t="str">
        <x:f>IF(AND(M$6&lt;=$H9,M$6+6&gt;=$G9),1,"")</x:f>
      </x:c>
      <x:c r="N9" s="167" t="str">
        <x:f>IF(AND(N$6&lt;=$H9,N$6+6&gt;=$G9),1,"")</x:f>
      </x:c>
      <x:c r="O9" s="167" t="str">
        <x:f>IF(AND(O$6&lt;=$H9,O$6+6&gt;=$G9),1,"")</x:f>
      </x:c>
      <x:c r="P9" s="167" t="str">
        <x:f>IF(AND(P$6&lt;=$H9,P$6+6&gt;=$G9),1,"")</x:f>
      </x:c>
      <x:c r="Q9" s="167" t="str">
        <x:f>IF(AND(Q$6&lt;=$H9,Q$6+6&gt;=$G9),1,"")</x:f>
      </x:c>
      <x:c r="R9" s="167" t="str">
        <x:f>IF(AND(R$6&lt;=$H9,R$6+6&gt;=$G9),1,"")</x:f>
      </x:c>
      <x:c r="S9" s="167" t="str">
        <x:f>IF(AND(S$6&lt;=$H9,S$6+6&gt;=$G9),1,"")</x:f>
      </x:c>
      <x:c r="T9" s="167" t="str">
        <x:f>IF(AND(T$6&lt;=$H9,T$6+6&gt;=$G9),1,"")</x:f>
      </x:c>
      <x:c r="U9" s="167" t="str">
        <x:f>IF(AND(U$6&lt;=$H9,U$6+6&gt;=$G9),1,"")</x:f>
      </x:c>
      <x:c r="V9" s="167" t="str">
        <x:f>IF(AND(V$6&lt;=$H9,V$6+6&gt;=$G9),1,"")</x:f>
      </x:c>
      <x:c r="W9" s="167" t="str">
        <x:f>IF(AND(W$6&lt;=$H9,W$6+6&gt;=$G9),1,"")</x:f>
      </x:c>
      <x:c r="X9" s="167" t="str">
        <x:f>IF(AND(X$6&lt;=$H9,X$6+6&gt;=$G9),1,"")</x:f>
      </x:c>
      <x:c r="Y9" s="167" t="str">
        <x:f>IF(AND(Y$6&lt;=$H9,Y$6+6&gt;=$G9),1,"")</x:f>
      </x:c>
      <x:c r="Z9" s="167" t="str">
        <x:f>IF(AND(Z$6&lt;=$H9,Z$6+6&gt;=$G9),1,"")</x:f>
      </x:c>
      <x:c r="AA9" s="167" t="str">
        <x:f>IF(AND(AA$6&lt;=$H9,AA$6+6&gt;=$G9),1,"")</x:f>
      </x:c>
      <x:c r="AB9" s="167" t="str">
        <x:f>IF(AND(AB$6&lt;=$H9,AB$6+6&gt;=$G9),1,"")</x:f>
      </x:c>
      <x:c r="AC9" s="167" t="str">
        <x:f>IF(AND(AC$6&lt;=$H9,AC$6+6&gt;=$G9),1,"")</x:f>
      </x:c>
      <x:c r="AD9" s="167" t="str">
        <x:f>IF(AND(AD$6&lt;=$H9,AD$6+6&gt;=$G9),1,"")</x:f>
      </x:c>
      <x:c r="AE9" s="167" t="str">
        <x:f>IF(AND(AE$6&lt;=$H9,AE$6+6&gt;=$G9),1,"")</x:f>
      </x:c>
      <x:c r="AF9" s="167" t="str">
        <x:f>IF(AND(AF$6&lt;=$H9,AF$6+6&gt;=$G9),1,"")</x:f>
      </x:c>
      <x:c r="AG9" s="167" t="str">
        <x:f>IF(AND(AG$6&lt;=$H9,AG$6+6&gt;=$G9),1,"")</x:f>
      </x:c>
      <x:c r="AH9" s="167" t="str">
        <x:f>IF(AND(AH$6&lt;=$H9,AH$6+6&gt;=$G9),1,"")</x:f>
      </x:c>
      <x:c r="AI9" s="167" t="str">
        <x:f>IF(AND(AI$6&lt;=$H9,AI$6+6&gt;=$G9),1,"")</x:f>
      </x:c>
      <x:c r="AJ9" s="167" t="str">
        <x:f>IF(AND(AJ$6&lt;=$H9,AJ$6+6&gt;=$G9),1,"")</x:f>
      </x:c>
      <x:c r="AK9" s="167" t="str">
        <x:f>IF(AND(AK$6&lt;=$H9,AK$6+6&gt;=$G9),1,"")</x:f>
      </x:c>
      <x:c r="AL9" s="167" t="str">
        <x:f>IF(AND(AL$6&lt;=$H9,AL$6+6&gt;=$G9),1,"")</x:f>
      </x:c>
      <x:c r="AM9" s="167" t="str">
        <x:f>IF(AND(AM$6&lt;=$H9,AM$6+6&gt;=$G9),1,"")</x:f>
      </x:c>
      <x:c r="AN9" s="167" t="str">
        <x:f>IF(AND(AN$6&lt;=$H9,AN$6+6&gt;=$G9),1,"")</x:f>
      </x:c>
      <x:c r="AO9" s="167" t="str">
        <x:f>IF(AND(AO$6&lt;=$H9,AO$6+6&gt;=$G9),1,"")</x:f>
      </x:c>
      <x:c r="AP9" s="167" t="str">
        <x:f>IF(AND(AP$6&lt;=$H9,AP$6+6&gt;=$G9),1,"")</x:f>
      </x:c>
      <x:c r="AQ9" s="167" t="str">
        <x:f>IF(AND(AQ$6&lt;=$H9,AQ$6+6&gt;=$G9),1,"")</x:f>
      </x:c>
      <x:c r="AR9" s="167" t="str">
        <x:f>IF(AND(AR$6&lt;=$H9,AR$6+6&gt;=$G9),1,"")</x:f>
      </x:c>
      <x:c r="AS9" s="167" t="str">
        <x:f>IF(AND(AS$6&lt;=$H9,AS$6+6&gt;=$G9),1,"")</x:f>
      </x:c>
      <x:c r="AT9" s="167" t="str">
        <x:f>IF(AND(AT$6&lt;=$H9,AT$6+6&gt;=$G9),1,"")</x:f>
      </x:c>
      <x:c r="AU9" s="167" t="str">
        <x:f>IF(AND(AU$6&lt;=$H9,AU$6+6&gt;=$G9),1,"")</x:f>
      </x:c>
      <x:c r="AV9" s="167" t="str">
        <x:f>IF(AND(AV$6&lt;=$H9,AV$6+6&gt;=$G9),1,"")</x:f>
      </x:c>
      <x:c r="AW9" s="167" t="str">
        <x:f>IF(AND(AW$6&lt;=$H9,AW$6+6&gt;=$G9),1,"")</x:f>
      </x:c>
      <x:c r="AX9" s="167" t="str">
        <x:f>IF(AND(AX$6&lt;=$H9,AX$6+6&gt;=$G9),1,"")</x:f>
      </x:c>
      <x:c r="AY9" s="168" t="str">
        <x:f>IF(AND(AY$6&lt;=$H9,AY$6+6&gt;=$G9),1,"")</x:f>
      </x:c>
    </x:row>
    <x:row r="10" ht="24" customHeight="1">
      <x:c r="A10" s="68" t="str">
        <x:f>'Hardware Tasks'!A8</x:f>
        <x:v>T-504</x:v>
      </x:c>
      <x:c r="B10" s="68" t="str">
        <x:f>'Hardware Tasks'!B8</x:f>
        <x:v>M5</x:v>
      </x:c>
      <x:c r="C10" s="68" t="str">
        <x:f>'Hardware Tasks'!C8</x:f>
        <x:v>Calibration/Research Ops</x:v>
      </x:c>
      <x:c r="D10" s="68" t="str">
        <x:f>'Hardware Tasks'!D8</x:f>
        <x:v>Add parameter provenance and uncertainty</x:v>
      </x:c>
      <x:c r="E10" s="68" t="str">
        <x:f>'Hardware Tasks'!E8</x:f>
        <x:v>T-501, T-502, T-503</x:v>
      </x:c>
      <x:c r="F10" s="68" t="str">
        <x:f>'Hardware Tasks'!F8</x:f>
        <x:v>Blocked</x:v>
      </x:c>
      <x:c r="G10" s="94" t="n">
        <x:f>'Hardware Tasks'!I8</x:f>
        <x:v>46286</x:v>
      </x:c>
      <x:c r="H10" s="94" t="n">
        <x:f>'Hardware Tasks'!J8</x:f>
        <x:v>46286</x:v>
      </x:c>
      <x:c r="I10" s="166" t="str">
        <x:f>IF(AND(I$6&lt;=$H10,I$6+6&gt;=$G10),1,"")</x:f>
      </x:c>
      <x:c r="J10" s="167" t="n">
        <x:f>IF(AND(J$6&lt;=$H10,J$6+6&gt;=$G10),1,"")</x:f>
        <x:v>1</x:v>
      </x:c>
      <x:c r="K10" s="167" t="str">
        <x:f>IF(AND(K$6&lt;=$H10,K$6+6&gt;=$G10),1,"")</x:f>
      </x:c>
      <x:c r="L10" s="167" t="str">
        <x:f>IF(AND(L$6&lt;=$H10,L$6+6&gt;=$G10),1,"")</x:f>
      </x:c>
      <x:c r="M10" s="167" t="str">
        <x:f>IF(AND(M$6&lt;=$H10,M$6+6&gt;=$G10),1,"")</x:f>
      </x:c>
      <x:c r="N10" s="167" t="str">
        <x:f>IF(AND(N$6&lt;=$H10,N$6+6&gt;=$G10),1,"")</x:f>
      </x:c>
      <x:c r="O10" s="167" t="str">
        <x:f>IF(AND(O$6&lt;=$H10,O$6+6&gt;=$G10),1,"")</x:f>
      </x:c>
      <x:c r="P10" s="167" t="str">
        <x:f>IF(AND(P$6&lt;=$H10,P$6+6&gt;=$G10),1,"")</x:f>
      </x:c>
      <x:c r="Q10" s="167" t="str">
        <x:f>IF(AND(Q$6&lt;=$H10,Q$6+6&gt;=$G10),1,"")</x:f>
      </x:c>
      <x:c r="R10" s="167" t="str">
        <x:f>IF(AND(R$6&lt;=$H10,R$6+6&gt;=$G10),1,"")</x:f>
      </x:c>
      <x:c r="S10" s="167" t="str">
        <x:f>IF(AND(S$6&lt;=$H10,S$6+6&gt;=$G10),1,"")</x:f>
      </x:c>
      <x:c r="T10" s="167" t="str">
        <x:f>IF(AND(T$6&lt;=$H10,T$6+6&gt;=$G10),1,"")</x:f>
      </x:c>
      <x:c r="U10" s="167" t="str">
        <x:f>IF(AND(U$6&lt;=$H10,U$6+6&gt;=$G10),1,"")</x:f>
      </x:c>
      <x:c r="V10" s="167" t="str">
        <x:f>IF(AND(V$6&lt;=$H10,V$6+6&gt;=$G10),1,"")</x:f>
      </x:c>
      <x:c r="W10" s="167" t="str">
        <x:f>IF(AND(W$6&lt;=$H10,W$6+6&gt;=$G10),1,"")</x:f>
      </x:c>
      <x:c r="X10" s="167" t="str">
        <x:f>IF(AND(X$6&lt;=$H10,X$6+6&gt;=$G10),1,"")</x:f>
      </x:c>
      <x:c r="Y10" s="167" t="str">
        <x:f>IF(AND(Y$6&lt;=$H10,Y$6+6&gt;=$G10),1,"")</x:f>
      </x:c>
      <x:c r="Z10" s="167" t="str">
        <x:f>IF(AND(Z$6&lt;=$H10,Z$6+6&gt;=$G10),1,"")</x:f>
      </x:c>
      <x:c r="AA10" s="167" t="str">
        <x:f>IF(AND(AA$6&lt;=$H10,AA$6+6&gt;=$G10),1,"")</x:f>
      </x:c>
      <x:c r="AB10" s="167" t="str">
        <x:f>IF(AND(AB$6&lt;=$H10,AB$6+6&gt;=$G10),1,"")</x:f>
      </x:c>
      <x:c r="AC10" s="167" t="str">
        <x:f>IF(AND(AC$6&lt;=$H10,AC$6+6&gt;=$G10),1,"")</x:f>
      </x:c>
      <x:c r="AD10" s="167" t="str">
        <x:f>IF(AND(AD$6&lt;=$H10,AD$6+6&gt;=$G10),1,"")</x:f>
      </x:c>
      <x:c r="AE10" s="167" t="str">
        <x:f>IF(AND(AE$6&lt;=$H10,AE$6+6&gt;=$G10),1,"")</x:f>
      </x:c>
      <x:c r="AF10" s="167" t="str">
        <x:f>IF(AND(AF$6&lt;=$H10,AF$6+6&gt;=$G10),1,"")</x:f>
      </x:c>
      <x:c r="AG10" s="167" t="str">
        <x:f>IF(AND(AG$6&lt;=$H10,AG$6+6&gt;=$G10),1,"")</x:f>
      </x:c>
      <x:c r="AH10" s="167" t="str">
        <x:f>IF(AND(AH$6&lt;=$H10,AH$6+6&gt;=$G10),1,"")</x:f>
      </x:c>
      <x:c r="AI10" s="167" t="str">
        <x:f>IF(AND(AI$6&lt;=$H10,AI$6+6&gt;=$G10),1,"")</x:f>
      </x:c>
      <x:c r="AJ10" s="167" t="str">
        <x:f>IF(AND(AJ$6&lt;=$H10,AJ$6+6&gt;=$G10),1,"")</x:f>
      </x:c>
      <x:c r="AK10" s="167" t="str">
        <x:f>IF(AND(AK$6&lt;=$H10,AK$6+6&gt;=$G10),1,"")</x:f>
      </x:c>
      <x:c r="AL10" s="167" t="str">
        <x:f>IF(AND(AL$6&lt;=$H10,AL$6+6&gt;=$G10),1,"")</x:f>
      </x:c>
      <x:c r="AM10" s="167" t="str">
        <x:f>IF(AND(AM$6&lt;=$H10,AM$6+6&gt;=$G10),1,"")</x:f>
      </x:c>
      <x:c r="AN10" s="167" t="str">
        <x:f>IF(AND(AN$6&lt;=$H10,AN$6+6&gt;=$G10),1,"")</x:f>
      </x:c>
      <x:c r="AO10" s="167" t="str">
        <x:f>IF(AND(AO$6&lt;=$H10,AO$6+6&gt;=$G10),1,"")</x:f>
      </x:c>
      <x:c r="AP10" s="167" t="str">
        <x:f>IF(AND(AP$6&lt;=$H10,AP$6+6&gt;=$G10),1,"")</x:f>
      </x:c>
      <x:c r="AQ10" s="167" t="str">
        <x:f>IF(AND(AQ$6&lt;=$H10,AQ$6+6&gt;=$G10),1,"")</x:f>
      </x:c>
      <x:c r="AR10" s="167" t="str">
        <x:f>IF(AND(AR$6&lt;=$H10,AR$6+6&gt;=$G10),1,"")</x:f>
      </x:c>
      <x:c r="AS10" s="167" t="str">
        <x:f>IF(AND(AS$6&lt;=$H10,AS$6+6&gt;=$G10),1,"")</x:f>
      </x:c>
      <x:c r="AT10" s="167" t="str">
        <x:f>IF(AND(AT$6&lt;=$H10,AT$6+6&gt;=$G10),1,"")</x:f>
      </x:c>
      <x:c r="AU10" s="167" t="str">
        <x:f>IF(AND(AU$6&lt;=$H10,AU$6+6&gt;=$G10),1,"")</x:f>
      </x:c>
      <x:c r="AV10" s="167" t="str">
        <x:f>IF(AND(AV$6&lt;=$H10,AV$6+6&gt;=$G10),1,"")</x:f>
      </x:c>
      <x:c r="AW10" s="167" t="str">
        <x:f>IF(AND(AW$6&lt;=$H10,AW$6+6&gt;=$G10),1,"")</x:f>
      </x:c>
      <x:c r="AX10" s="167" t="str">
        <x:f>IF(AND(AX$6&lt;=$H10,AX$6+6&gt;=$G10),1,"")</x:f>
      </x:c>
      <x:c r="AY10" s="168" t="str">
        <x:f>IF(AND(AY$6&lt;=$H10,AY$6+6&gt;=$G10),1,"")</x:f>
      </x:c>
    </x:row>
    <x:row r="11" ht="24" customHeight="1">
      <x:c r="A11" s="68" t="str">
        <x:f>'Hardware Tasks'!A9</x:f>
        <x:v>T-505</x:v>
      </x:c>
      <x:c r="B11" s="68" t="str">
        <x:f>'Hardware Tasks'!B9</x:f>
        <x:v>M5</x:v>
      </x:c>
      <x:c r="C11" s="68" t="str">
        <x:f>'Hardware Tasks'!C9</x:f>
        <x:v>Requirements/Mechanical</x:v>
      </x:c>
      <x:c r="D11" s="68" t="str">
        <x:f>'Hardware Tasks'!D9</x:f>
        <x:v>Define the preliminary design and operating envelope</x:v>
      </x:c>
      <x:c r="E11" s="68" t="str">
        <x:f>'Hardware Tasks'!E9</x:f>
        <x:v>T-501, T-503</x:v>
      </x:c>
      <x:c r="F11" s="68" t="str">
        <x:f>'Hardware Tasks'!F9</x:f>
        <x:v>Blocked</x:v>
      </x:c>
      <x:c r="G11" s="94" t="n">
        <x:f>'Hardware Tasks'!I9</x:f>
        <x:v>46287</x:v>
      </x:c>
      <x:c r="H11" s="94" t="n">
        <x:f>'Hardware Tasks'!J9</x:f>
        <x:v>46288</x:v>
      </x:c>
      <x:c r="I11" s="166" t="str">
        <x:f>IF(AND(I$6&lt;=$H11,I$6+6&gt;=$G11),1,"")</x:f>
      </x:c>
      <x:c r="J11" s="167" t="n">
        <x:f>IF(AND(J$6&lt;=$H11,J$6+6&gt;=$G11),1,"")</x:f>
        <x:v>1</x:v>
      </x:c>
      <x:c r="K11" s="167" t="str">
        <x:f>IF(AND(K$6&lt;=$H11,K$6+6&gt;=$G11),1,"")</x:f>
      </x:c>
      <x:c r="L11" s="167" t="str">
        <x:f>IF(AND(L$6&lt;=$H11,L$6+6&gt;=$G11),1,"")</x:f>
      </x:c>
      <x:c r="M11" s="167" t="str">
        <x:f>IF(AND(M$6&lt;=$H11,M$6+6&gt;=$G11),1,"")</x:f>
      </x:c>
      <x:c r="N11" s="167" t="str">
        <x:f>IF(AND(N$6&lt;=$H11,N$6+6&gt;=$G11),1,"")</x:f>
      </x:c>
      <x:c r="O11" s="167" t="str">
        <x:f>IF(AND(O$6&lt;=$H11,O$6+6&gt;=$G11),1,"")</x:f>
      </x:c>
      <x:c r="P11" s="167" t="str">
        <x:f>IF(AND(P$6&lt;=$H11,P$6+6&gt;=$G11),1,"")</x:f>
      </x:c>
      <x:c r="Q11" s="167" t="str">
        <x:f>IF(AND(Q$6&lt;=$H11,Q$6+6&gt;=$G11),1,"")</x:f>
      </x:c>
      <x:c r="R11" s="167" t="str">
        <x:f>IF(AND(R$6&lt;=$H11,R$6+6&gt;=$G11),1,"")</x:f>
      </x:c>
      <x:c r="S11" s="167" t="str">
        <x:f>IF(AND(S$6&lt;=$H11,S$6+6&gt;=$G11),1,"")</x:f>
      </x:c>
      <x:c r="T11" s="167" t="str">
        <x:f>IF(AND(T$6&lt;=$H11,T$6+6&gt;=$G11),1,"")</x:f>
      </x:c>
      <x:c r="U11" s="167" t="str">
        <x:f>IF(AND(U$6&lt;=$H11,U$6+6&gt;=$G11),1,"")</x:f>
      </x:c>
      <x:c r="V11" s="167" t="str">
        <x:f>IF(AND(V$6&lt;=$H11,V$6+6&gt;=$G11),1,"")</x:f>
      </x:c>
      <x:c r="W11" s="167" t="str">
        <x:f>IF(AND(W$6&lt;=$H11,W$6+6&gt;=$G11),1,"")</x:f>
      </x:c>
      <x:c r="X11" s="167" t="str">
        <x:f>IF(AND(X$6&lt;=$H11,X$6+6&gt;=$G11),1,"")</x:f>
      </x:c>
      <x:c r="Y11" s="167" t="str">
        <x:f>IF(AND(Y$6&lt;=$H11,Y$6+6&gt;=$G11),1,"")</x:f>
      </x:c>
      <x:c r="Z11" s="167" t="str">
        <x:f>IF(AND(Z$6&lt;=$H11,Z$6+6&gt;=$G11),1,"")</x:f>
      </x:c>
      <x:c r="AA11" s="167" t="str">
        <x:f>IF(AND(AA$6&lt;=$H11,AA$6+6&gt;=$G11),1,"")</x:f>
      </x:c>
      <x:c r="AB11" s="167" t="str">
        <x:f>IF(AND(AB$6&lt;=$H11,AB$6+6&gt;=$G11),1,"")</x:f>
      </x:c>
      <x:c r="AC11" s="167" t="str">
        <x:f>IF(AND(AC$6&lt;=$H11,AC$6+6&gt;=$G11),1,"")</x:f>
      </x:c>
      <x:c r="AD11" s="167" t="str">
        <x:f>IF(AND(AD$6&lt;=$H11,AD$6+6&gt;=$G11),1,"")</x:f>
      </x:c>
      <x:c r="AE11" s="167" t="str">
        <x:f>IF(AND(AE$6&lt;=$H11,AE$6+6&gt;=$G11),1,"")</x:f>
      </x:c>
      <x:c r="AF11" s="167" t="str">
        <x:f>IF(AND(AF$6&lt;=$H11,AF$6+6&gt;=$G11),1,"")</x:f>
      </x:c>
      <x:c r="AG11" s="167" t="str">
        <x:f>IF(AND(AG$6&lt;=$H11,AG$6+6&gt;=$G11),1,"")</x:f>
      </x:c>
      <x:c r="AH11" s="167" t="str">
        <x:f>IF(AND(AH$6&lt;=$H11,AH$6+6&gt;=$G11),1,"")</x:f>
      </x:c>
      <x:c r="AI11" s="167" t="str">
        <x:f>IF(AND(AI$6&lt;=$H11,AI$6+6&gt;=$G11),1,"")</x:f>
      </x:c>
      <x:c r="AJ11" s="167" t="str">
        <x:f>IF(AND(AJ$6&lt;=$H11,AJ$6+6&gt;=$G11),1,"")</x:f>
      </x:c>
      <x:c r="AK11" s="167" t="str">
        <x:f>IF(AND(AK$6&lt;=$H11,AK$6+6&gt;=$G11),1,"")</x:f>
      </x:c>
      <x:c r="AL11" s="167" t="str">
        <x:f>IF(AND(AL$6&lt;=$H11,AL$6+6&gt;=$G11),1,"")</x:f>
      </x:c>
      <x:c r="AM11" s="167" t="str">
        <x:f>IF(AND(AM$6&lt;=$H11,AM$6+6&gt;=$G11),1,"")</x:f>
      </x:c>
      <x:c r="AN11" s="167" t="str">
        <x:f>IF(AND(AN$6&lt;=$H11,AN$6+6&gt;=$G11),1,"")</x:f>
      </x:c>
      <x:c r="AO11" s="167" t="str">
        <x:f>IF(AND(AO$6&lt;=$H11,AO$6+6&gt;=$G11),1,"")</x:f>
      </x:c>
      <x:c r="AP11" s="167" t="str">
        <x:f>IF(AND(AP$6&lt;=$H11,AP$6+6&gt;=$G11),1,"")</x:f>
      </x:c>
      <x:c r="AQ11" s="167" t="str">
        <x:f>IF(AND(AQ$6&lt;=$H11,AQ$6+6&gt;=$G11),1,"")</x:f>
      </x:c>
      <x:c r="AR11" s="167" t="str">
        <x:f>IF(AND(AR$6&lt;=$H11,AR$6+6&gt;=$G11),1,"")</x:f>
      </x:c>
      <x:c r="AS11" s="167" t="str">
        <x:f>IF(AND(AS$6&lt;=$H11,AS$6+6&gt;=$G11),1,"")</x:f>
      </x:c>
      <x:c r="AT11" s="167" t="str">
        <x:f>IF(AND(AT$6&lt;=$H11,AT$6+6&gt;=$G11),1,"")</x:f>
      </x:c>
      <x:c r="AU11" s="167" t="str">
        <x:f>IF(AND(AU$6&lt;=$H11,AU$6+6&gt;=$G11),1,"")</x:f>
      </x:c>
      <x:c r="AV11" s="167" t="str">
        <x:f>IF(AND(AV$6&lt;=$H11,AV$6+6&gt;=$G11),1,"")</x:f>
      </x:c>
      <x:c r="AW11" s="167" t="str">
        <x:f>IF(AND(AW$6&lt;=$H11,AW$6+6&gt;=$G11),1,"")</x:f>
      </x:c>
      <x:c r="AX11" s="167" t="str">
        <x:f>IF(AND(AX$6&lt;=$H11,AX$6+6&gt;=$G11),1,"")</x:f>
      </x:c>
      <x:c r="AY11" s="168" t="str">
        <x:f>IF(AND(AY$6&lt;=$H11,AY$6+6&gt;=$G11),1,"")</x:f>
      </x:c>
    </x:row>
    <x:row r="12" ht="24" customHeight="1">
      <x:c r="A12" s="68" t="str">
        <x:f>'Hardware Tasks'!A10</x:f>
        <x:v>T-506</x:v>
      </x:c>
      <x:c r="B12" s="68" t="str">
        <x:f>'Hardware Tasks'!B10</x:f>
        <x:v>M5</x:v>
      </x:c>
      <x:c r="C12" s="68" t="str">
        <x:f>'Hardware Tasks'!C10</x:f>
        <x:v>Kinematics/Mechanical</x:v>
      </x:c>
      <x:c r="D12" s="68" t="str">
        <x:f>'Hardware Tasks'!D10</x:f>
        <x:v>Run workspace, singularity, and collision studies</x:v>
      </x:c>
      <x:c r="E12" s="68" t="str">
        <x:f>'Hardware Tasks'!E10</x:f>
        <x:v>T-502, T-505</x:v>
      </x:c>
      <x:c r="F12" s="68" t="str">
        <x:f>'Hardware Tasks'!F10</x:f>
        <x:v>Blocked</x:v>
      </x:c>
      <x:c r="G12" s="94" t="n">
        <x:f>'Hardware Tasks'!I10</x:f>
        <x:v>46289</x:v>
      </x:c>
      <x:c r="H12" s="94" t="n">
        <x:f>'Hardware Tasks'!J10</x:f>
        <x:v>46290</x:v>
      </x:c>
      <x:c r="I12" s="166" t="str">
        <x:f>IF(AND(I$6&lt;=$H12,I$6+6&gt;=$G12),1,"")</x:f>
      </x:c>
      <x:c r="J12" s="167" t="n">
        <x:f>IF(AND(J$6&lt;=$H12,J$6+6&gt;=$G12),1,"")</x:f>
        <x:v>1</x:v>
      </x:c>
      <x:c r="K12" s="167" t="str">
        <x:f>IF(AND(K$6&lt;=$H12,K$6+6&gt;=$G12),1,"")</x:f>
      </x:c>
      <x:c r="L12" s="167" t="str">
        <x:f>IF(AND(L$6&lt;=$H12,L$6+6&gt;=$G12),1,"")</x:f>
      </x:c>
      <x:c r="M12" s="167" t="str">
        <x:f>IF(AND(M$6&lt;=$H12,M$6+6&gt;=$G12),1,"")</x:f>
      </x:c>
      <x:c r="N12" s="167" t="str">
        <x:f>IF(AND(N$6&lt;=$H12,N$6+6&gt;=$G12),1,"")</x:f>
      </x:c>
      <x:c r="O12" s="167" t="str">
        <x:f>IF(AND(O$6&lt;=$H12,O$6+6&gt;=$G12),1,"")</x:f>
      </x:c>
      <x:c r="P12" s="167" t="str">
        <x:f>IF(AND(P$6&lt;=$H12,P$6+6&gt;=$G12),1,"")</x:f>
      </x:c>
      <x:c r="Q12" s="167" t="str">
        <x:f>IF(AND(Q$6&lt;=$H12,Q$6+6&gt;=$G12),1,"")</x:f>
      </x:c>
      <x:c r="R12" s="167" t="str">
        <x:f>IF(AND(R$6&lt;=$H12,R$6+6&gt;=$G12),1,"")</x:f>
      </x:c>
      <x:c r="S12" s="167" t="str">
        <x:f>IF(AND(S$6&lt;=$H12,S$6+6&gt;=$G12),1,"")</x:f>
      </x:c>
      <x:c r="T12" s="167" t="str">
        <x:f>IF(AND(T$6&lt;=$H12,T$6+6&gt;=$G12),1,"")</x:f>
      </x:c>
      <x:c r="U12" s="167" t="str">
        <x:f>IF(AND(U$6&lt;=$H12,U$6+6&gt;=$G12),1,"")</x:f>
      </x:c>
      <x:c r="V12" s="167" t="str">
        <x:f>IF(AND(V$6&lt;=$H12,V$6+6&gt;=$G12),1,"")</x:f>
      </x:c>
      <x:c r="W12" s="167" t="str">
        <x:f>IF(AND(W$6&lt;=$H12,W$6+6&gt;=$G12),1,"")</x:f>
      </x:c>
      <x:c r="X12" s="167" t="str">
        <x:f>IF(AND(X$6&lt;=$H12,X$6+6&gt;=$G12),1,"")</x:f>
      </x:c>
      <x:c r="Y12" s="167" t="str">
        <x:f>IF(AND(Y$6&lt;=$H12,Y$6+6&gt;=$G12),1,"")</x:f>
      </x:c>
      <x:c r="Z12" s="167" t="str">
        <x:f>IF(AND(Z$6&lt;=$H12,Z$6+6&gt;=$G12),1,"")</x:f>
      </x:c>
      <x:c r="AA12" s="167" t="str">
        <x:f>IF(AND(AA$6&lt;=$H12,AA$6+6&gt;=$G12),1,"")</x:f>
      </x:c>
      <x:c r="AB12" s="167" t="str">
        <x:f>IF(AND(AB$6&lt;=$H12,AB$6+6&gt;=$G12),1,"")</x:f>
      </x:c>
      <x:c r="AC12" s="167" t="str">
        <x:f>IF(AND(AC$6&lt;=$H12,AC$6+6&gt;=$G12),1,"")</x:f>
      </x:c>
      <x:c r="AD12" s="167" t="str">
        <x:f>IF(AND(AD$6&lt;=$H12,AD$6+6&gt;=$G12),1,"")</x:f>
      </x:c>
      <x:c r="AE12" s="167" t="str">
        <x:f>IF(AND(AE$6&lt;=$H12,AE$6+6&gt;=$G12),1,"")</x:f>
      </x:c>
      <x:c r="AF12" s="167" t="str">
        <x:f>IF(AND(AF$6&lt;=$H12,AF$6+6&gt;=$G12),1,"")</x:f>
      </x:c>
      <x:c r="AG12" s="167" t="str">
        <x:f>IF(AND(AG$6&lt;=$H12,AG$6+6&gt;=$G12),1,"")</x:f>
      </x:c>
      <x:c r="AH12" s="167" t="str">
        <x:f>IF(AND(AH$6&lt;=$H12,AH$6+6&gt;=$G12),1,"")</x:f>
      </x:c>
      <x:c r="AI12" s="167" t="str">
        <x:f>IF(AND(AI$6&lt;=$H12,AI$6+6&gt;=$G12),1,"")</x:f>
      </x:c>
      <x:c r="AJ12" s="167" t="str">
        <x:f>IF(AND(AJ$6&lt;=$H12,AJ$6+6&gt;=$G12),1,"")</x:f>
      </x:c>
      <x:c r="AK12" s="167" t="str">
        <x:f>IF(AND(AK$6&lt;=$H12,AK$6+6&gt;=$G12),1,"")</x:f>
      </x:c>
      <x:c r="AL12" s="167" t="str">
        <x:f>IF(AND(AL$6&lt;=$H12,AL$6+6&gt;=$G12),1,"")</x:f>
      </x:c>
      <x:c r="AM12" s="167" t="str">
        <x:f>IF(AND(AM$6&lt;=$H12,AM$6+6&gt;=$G12),1,"")</x:f>
      </x:c>
      <x:c r="AN12" s="167" t="str">
        <x:f>IF(AND(AN$6&lt;=$H12,AN$6+6&gt;=$G12),1,"")</x:f>
      </x:c>
      <x:c r="AO12" s="167" t="str">
        <x:f>IF(AND(AO$6&lt;=$H12,AO$6+6&gt;=$G12),1,"")</x:f>
      </x:c>
      <x:c r="AP12" s="167" t="str">
        <x:f>IF(AND(AP$6&lt;=$H12,AP$6+6&gt;=$G12),1,"")</x:f>
      </x:c>
      <x:c r="AQ12" s="167" t="str">
        <x:f>IF(AND(AQ$6&lt;=$H12,AQ$6+6&gt;=$G12),1,"")</x:f>
      </x:c>
      <x:c r="AR12" s="167" t="str">
        <x:f>IF(AND(AR$6&lt;=$H12,AR$6+6&gt;=$G12),1,"")</x:f>
      </x:c>
      <x:c r="AS12" s="167" t="str">
        <x:f>IF(AND(AS$6&lt;=$H12,AS$6+6&gt;=$G12),1,"")</x:f>
      </x:c>
      <x:c r="AT12" s="167" t="str">
        <x:f>IF(AND(AT$6&lt;=$H12,AT$6+6&gt;=$G12),1,"")</x:f>
      </x:c>
      <x:c r="AU12" s="167" t="str">
        <x:f>IF(AND(AU$6&lt;=$H12,AU$6+6&gt;=$G12),1,"")</x:f>
      </x:c>
      <x:c r="AV12" s="167" t="str">
        <x:f>IF(AND(AV$6&lt;=$H12,AV$6+6&gt;=$G12),1,"")</x:f>
      </x:c>
      <x:c r="AW12" s="167" t="str">
        <x:f>IF(AND(AW$6&lt;=$H12,AW$6+6&gt;=$G12),1,"")</x:f>
      </x:c>
      <x:c r="AX12" s="167" t="str">
        <x:f>IF(AND(AX$6&lt;=$H12,AX$6+6&gt;=$G12),1,"")</x:f>
      </x:c>
      <x:c r="AY12" s="168" t="str">
        <x:f>IF(AND(AY$6&lt;=$H12,AY$6+6&gt;=$G12),1,"")</x:f>
      </x:c>
    </x:row>
    <x:row r="13" ht="24" customHeight="1">
      <x:c r="A13" s="68" t="str">
        <x:f>'Hardware Tasks'!A11</x:f>
        <x:v>T-507</x:v>
      </x:c>
      <x:c r="B13" s="68" t="str">
        <x:f>'Hardware Tasks'!B11</x:f>
        <x:v>M5</x:v>
      </x:c>
      <x:c r="C13" s="68" t="str">
        <x:f>'Hardware Tasks'!C11</x:f>
        <x:v>Actuation/Mechanical Decision</x:v>
      </x:c>
      <x:c r="D13" s="68" t="str">
        <x:f>'Hardware Tasks'!D11</x:f>
        <x:v>Compare direct drive and belt-reduction architectures</x:v>
      </x:c>
      <x:c r="E13" s="68" t="str">
        <x:f>'Hardware Tasks'!E11</x:f>
        <x:v>T-503, T-505, T-506</x:v>
      </x:c>
      <x:c r="F13" s="68" t="str">
        <x:f>'Hardware Tasks'!F11</x:f>
        <x:v>Blocked</x:v>
      </x:c>
      <x:c r="G13" s="94" t="n">
        <x:f>'Hardware Tasks'!I11</x:f>
        <x:v>46293</x:v>
      </x:c>
      <x:c r="H13" s="94" t="n">
        <x:f>'Hardware Tasks'!J11</x:f>
        <x:v>46295</x:v>
      </x:c>
      <x:c r="I13" s="166" t="str">
        <x:f>IF(AND(I$6&lt;=$H13,I$6+6&gt;=$G13),1,"")</x:f>
      </x:c>
      <x:c r="J13" s="167" t="str">
        <x:f>IF(AND(J$6&lt;=$H13,J$6+6&gt;=$G13),1,"")</x:f>
      </x:c>
      <x:c r="K13" s="167" t="n">
        <x:f>IF(AND(K$6&lt;=$H13,K$6+6&gt;=$G13),1,"")</x:f>
        <x:v>1</x:v>
      </x:c>
      <x:c r="L13" s="167" t="str">
        <x:f>IF(AND(L$6&lt;=$H13,L$6+6&gt;=$G13),1,"")</x:f>
      </x:c>
      <x:c r="M13" s="167" t="str">
        <x:f>IF(AND(M$6&lt;=$H13,M$6+6&gt;=$G13),1,"")</x:f>
      </x:c>
      <x:c r="N13" s="167" t="str">
        <x:f>IF(AND(N$6&lt;=$H13,N$6+6&gt;=$G13),1,"")</x:f>
      </x:c>
      <x:c r="O13" s="167" t="str">
        <x:f>IF(AND(O$6&lt;=$H13,O$6+6&gt;=$G13),1,"")</x:f>
      </x:c>
      <x:c r="P13" s="167" t="str">
        <x:f>IF(AND(P$6&lt;=$H13,P$6+6&gt;=$G13),1,"")</x:f>
      </x:c>
      <x:c r="Q13" s="167" t="str">
        <x:f>IF(AND(Q$6&lt;=$H13,Q$6+6&gt;=$G13),1,"")</x:f>
      </x:c>
      <x:c r="R13" s="167" t="str">
        <x:f>IF(AND(R$6&lt;=$H13,R$6+6&gt;=$G13),1,"")</x:f>
      </x:c>
      <x:c r="S13" s="167" t="str">
        <x:f>IF(AND(S$6&lt;=$H13,S$6+6&gt;=$G13),1,"")</x:f>
      </x:c>
      <x:c r="T13" s="167" t="str">
        <x:f>IF(AND(T$6&lt;=$H13,T$6+6&gt;=$G13),1,"")</x:f>
      </x:c>
      <x:c r="U13" s="167" t="str">
        <x:f>IF(AND(U$6&lt;=$H13,U$6+6&gt;=$G13),1,"")</x:f>
      </x:c>
      <x:c r="V13" s="167" t="str">
        <x:f>IF(AND(V$6&lt;=$H13,V$6+6&gt;=$G13),1,"")</x:f>
      </x:c>
      <x:c r="W13" s="167" t="str">
        <x:f>IF(AND(W$6&lt;=$H13,W$6+6&gt;=$G13),1,"")</x:f>
      </x:c>
      <x:c r="X13" s="167" t="str">
        <x:f>IF(AND(X$6&lt;=$H13,X$6+6&gt;=$G13),1,"")</x:f>
      </x:c>
      <x:c r="Y13" s="167" t="str">
        <x:f>IF(AND(Y$6&lt;=$H13,Y$6+6&gt;=$G13),1,"")</x:f>
      </x:c>
      <x:c r="Z13" s="167" t="str">
        <x:f>IF(AND(Z$6&lt;=$H13,Z$6+6&gt;=$G13),1,"")</x:f>
      </x:c>
      <x:c r="AA13" s="167" t="str">
        <x:f>IF(AND(AA$6&lt;=$H13,AA$6+6&gt;=$G13),1,"")</x:f>
      </x:c>
      <x:c r="AB13" s="167" t="str">
        <x:f>IF(AND(AB$6&lt;=$H13,AB$6+6&gt;=$G13),1,"")</x:f>
      </x:c>
      <x:c r="AC13" s="167" t="str">
        <x:f>IF(AND(AC$6&lt;=$H13,AC$6+6&gt;=$G13),1,"")</x:f>
      </x:c>
      <x:c r="AD13" s="167" t="str">
        <x:f>IF(AND(AD$6&lt;=$H13,AD$6+6&gt;=$G13),1,"")</x:f>
      </x:c>
      <x:c r="AE13" s="167" t="str">
        <x:f>IF(AND(AE$6&lt;=$H13,AE$6+6&gt;=$G13),1,"")</x:f>
      </x:c>
      <x:c r="AF13" s="167" t="str">
        <x:f>IF(AND(AF$6&lt;=$H13,AF$6+6&gt;=$G13),1,"")</x:f>
      </x:c>
      <x:c r="AG13" s="167" t="str">
        <x:f>IF(AND(AG$6&lt;=$H13,AG$6+6&gt;=$G13),1,"")</x:f>
      </x:c>
      <x:c r="AH13" s="167" t="str">
        <x:f>IF(AND(AH$6&lt;=$H13,AH$6+6&gt;=$G13),1,"")</x:f>
      </x:c>
      <x:c r="AI13" s="167" t="str">
        <x:f>IF(AND(AI$6&lt;=$H13,AI$6+6&gt;=$G13),1,"")</x:f>
      </x:c>
      <x:c r="AJ13" s="167" t="str">
        <x:f>IF(AND(AJ$6&lt;=$H13,AJ$6+6&gt;=$G13),1,"")</x:f>
      </x:c>
      <x:c r="AK13" s="167" t="str">
        <x:f>IF(AND(AK$6&lt;=$H13,AK$6+6&gt;=$G13),1,"")</x:f>
      </x:c>
      <x:c r="AL13" s="167" t="str">
        <x:f>IF(AND(AL$6&lt;=$H13,AL$6+6&gt;=$G13),1,"")</x:f>
      </x:c>
      <x:c r="AM13" s="167" t="str">
        <x:f>IF(AND(AM$6&lt;=$H13,AM$6+6&gt;=$G13),1,"")</x:f>
      </x:c>
      <x:c r="AN13" s="167" t="str">
        <x:f>IF(AND(AN$6&lt;=$H13,AN$6+6&gt;=$G13),1,"")</x:f>
      </x:c>
      <x:c r="AO13" s="167" t="str">
        <x:f>IF(AND(AO$6&lt;=$H13,AO$6+6&gt;=$G13),1,"")</x:f>
      </x:c>
      <x:c r="AP13" s="167" t="str">
        <x:f>IF(AND(AP$6&lt;=$H13,AP$6+6&gt;=$G13),1,"")</x:f>
      </x:c>
      <x:c r="AQ13" s="167" t="str">
        <x:f>IF(AND(AQ$6&lt;=$H13,AQ$6+6&gt;=$G13),1,"")</x:f>
      </x:c>
      <x:c r="AR13" s="167" t="str">
        <x:f>IF(AND(AR$6&lt;=$H13,AR$6+6&gt;=$G13),1,"")</x:f>
      </x:c>
      <x:c r="AS13" s="167" t="str">
        <x:f>IF(AND(AS$6&lt;=$H13,AS$6+6&gt;=$G13),1,"")</x:f>
      </x:c>
      <x:c r="AT13" s="167" t="str">
        <x:f>IF(AND(AT$6&lt;=$H13,AT$6+6&gt;=$G13),1,"")</x:f>
      </x:c>
      <x:c r="AU13" s="167" t="str">
        <x:f>IF(AND(AU$6&lt;=$H13,AU$6+6&gt;=$G13),1,"")</x:f>
      </x:c>
      <x:c r="AV13" s="167" t="str">
        <x:f>IF(AND(AV$6&lt;=$H13,AV$6+6&gt;=$G13),1,"")</x:f>
      </x:c>
      <x:c r="AW13" s="167" t="str">
        <x:f>IF(AND(AW$6&lt;=$H13,AW$6+6&gt;=$G13),1,"")</x:f>
      </x:c>
      <x:c r="AX13" s="167" t="str">
        <x:f>IF(AND(AX$6&lt;=$H13,AX$6+6&gt;=$G13),1,"")</x:f>
      </x:c>
      <x:c r="AY13" s="168" t="str">
        <x:f>IF(AND(AY$6&lt;=$H13,AY$6+6&gt;=$G13),1,"")</x:f>
      </x:c>
    </x:row>
    <x:row r="14" ht="24" customHeight="1">
      <x:c r="A14" s="68" t="str">
        <x:f>'Hardware Tasks'!A12</x:f>
        <x:v>T-508</x:v>
      </x:c>
      <x:c r="B14" s="68" t="str">
        <x:f>'Hardware Tasks'!B12</x:f>
        <x:v>M5</x:v>
      </x:c>
      <x:c r="C14" s="68" t="str">
        <x:f>'Hardware Tasks'!C12</x:f>
        <x:v>Dynamics/Mechanical</x:v>
      </x:c>
      <x:c r="D14" s="68" t="str">
        <x:f>'Hardware Tasks'!D12</x:f>
        <x:v>Build mass, inertia, torque, stiffness, and thermal budgets</x:v>
      </x:c>
      <x:c r="E14" s="68" t="str">
        <x:f>'Hardware Tasks'!E12</x:f>
        <x:v>T-503, T-505, T-507</x:v>
      </x:c>
      <x:c r="F14" s="68" t="str">
        <x:f>'Hardware Tasks'!F12</x:f>
        <x:v>Blocked</x:v>
      </x:c>
      <x:c r="G14" s="94" t="n">
        <x:f>'Hardware Tasks'!I12</x:f>
        <x:v>46296</x:v>
      </x:c>
      <x:c r="H14" s="94" t="n">
        <x:f>'Hardware Tasks'!J12</x:f>
        <x:v>46300</x:v>
      </x:c>
      <x:c r="I14" s="166" t="str">
        <x:f>IF(AND(I$6&lt;=$H14,I$6+6&gt;=$G14),1,"")</x:f>
      </x:c>
      <x:c r="J14" s="167" t="str">
        <x:f>IF(AND(J$6&lt;=$H14,J$6+6&gt;=$G14),1,"")</x:f>
      </x:c>
      <x:c r="K14" s="167" t="n">
        <x:f>IF(AND(K$6&lt;=$H14,K$6+6&gt;=$G14),1,"")</x:f>
        <x:v>1</x:v>
      </x:c>
      <x:c r="L14" s="167" t="n">
        <x:f>IF(AND(L$6&lt;=$H14,L$6+6&gt;=$G14),1,"")</x:f>
        <x:v>1</x:v>
      </x:c>
      <x:c r="M14" s="167" t="str">
        <x:f>IF(AND(M$6&lt;=$H14,M$6+6&gt;=$G14),1,"")</x:f>
      </x:c>
      <x:c r="N14" s="167" t="str">
        <x:f>IF(AND(N$6&lt;=$H14,N$6+6&gt;=$G14),1,"")</x:f>
      </x:c>
      <x:c r="O14" s="167" t="str">
        <x:f>IF(AND(O$6&lt;=$H14,O$6+6&gt;=$G14),1,"")</x:f>
      </x:c>
      <x:c r="P14" s="167" t="str">
        <x:f>IF(AND(P$6&lt;=$H14,P$6+6&gt;=$G14),1,"")</x:f>
      </x:c>
      <x:c r="Q14" s="167" t="str">
        <x:f>IF(AND(Q$6&lt;=$H14,Q$6+6&gt;=$G14),1,"")</x:f>
      </x:c>
      <x:c r="R14" s="167" t="str">
        <x:f>IF(AND(R$6&lt;=$H14,R$6+6&gt;=$G14),1,"")</x:f>
      </x:c>
      <x:c r="S14" s="167" t="str">
        <x:f>IF(AND(S$6&lt;=$H14,S$6+6&gt;=$G14),1,"")</x:f>
      </x:c>
      <x:c r="T14" s="167" t="str">
        <x:f>IF(AND(T$6&lt;=$H14,T$6+6&gt;=$G14),1,"")</x:f>
      </x:c>
      <x:c r="U14" s="167" t="str">
        <x:f>IF(AND(U$6&lt;=$H14,U$6+6&gt;=$G14),1,"")</x:f>
      </x:c>
      <x:c r="V14" s="167" t="str">
        <x:f>IF(AND(V$6&lt;=$H14,V$6+6&gt;=$G14),1,"")</x:f>
      </x:c>
      <x:c r="W14" s="167" t="str">
        <x:f>IF(AND(W$6&lt;=$H14,W$6+6&gt;=$G14),1,"")</x:f>
      </x:c>
      <x:c r="X14" s="167" t="str">
        <x:f>IF(AND(X$6&lt;=$H14,X$6+6&gt;=$G14),1,"")</x:f>
      </x:c>
      <x:c r="Y14" s="167" t="str">
        <x:f>IF(AND(Y$6&lt;=$H14,Y$6+6&gt;=$G14),1,"")</x:f>
      </x:c>
      <x:c r="Z14" s="167" t="str">
        <x:f>IF(AND(Z$6&lt;=$H14,Z$6+6&gt;=$G14),1,"")</x:f>
      </x:c>
      <x:c r="AA14" s="167" t="str">
        <x:f>IF(AND(AA$6&lt;=$H14,AA$6+6&gt;=$G14),1,"")</x:f>
      </x:c>
      <x:c r="AB14" s="167" t="str">
        <x:f>IF(AND(AB$6&lt;=$H14,AB$6+6&gt;=$G14),1,"")</x:f>
      </x:c>
      <x:c r="AC14" s="167" t="str">
        <x:f>IF(AND(AC$6&lt;=$H14,AC$6+6&gt;=$G14),1,"")</x:f>
      </x:c>
      <x:c r="AD14" s="167" t="str">
        <x:f>IF(AND(AD$6&lt;=$H14,AD$6+6&gt;=$G14),1,"")</x:f>
      </x:c>
      <x:c r="AE14" s="167" t="str">
        <x:f>IF(AND(AE$6&lt;=$H14,AE$6+6&gt;=$G14),1,"")</x:f>
      </x:c>
      <x:c r="AF14" s="167" t="str">
        <x:f>IF(AND(AF$6&lt;=$H14,AF$6+6&gt;=$G14),1,"")</x:f>
      </x:c>
      <x:c r="AG14" s="167" t="str">
        <x:f>IF(AND(AG$6&lt;=$H14,AG$6+6&gt;=$G14),1,"")</x:f>
      </x:c>
      <x:c r="AH14" s="167" t="str">
        <x:f>IF(AND(AH$6&lt;=$H14,AH$6+6&gt;=$G14),1,"")</x:f>
      </x:c>
      <x:c r="AI14" s="167" t="str">
        <x:f>IF(AND(AI$6&lt;=$H14,AI$6+6&gt;=$G14),1,"")</x:f>
      </x:c>
      <x:c r="AJ14" s="167" t="str">
        <x:f>IF(AND(AJ$6&lt;=$H14,AJ$6+6&gt;=$G14),1,"")</x:f>
      </x:c>
      <x:c r="AK14" s="167" t="str">
        <x:f>IF(AND(AK$6&lt;=$H14,AK$6+6&gt;=$G14),1,"")</x:f>
      </x:c>
      <x:c r="AL14" s="167" t="str">
        <x:f>IF(AND(AL$6&lt;=$H14,AL$6+6&gt;=$G14),1,"")</x:f>
      </x:c>
      <x:c r="AM14" s="167" t="str">
        <x:f>IF(AND(AM$6&lt;=$H14,AM$6+6&gt;=$G14),1,"")</x:f>
      </x:c>
      <x:c r="AN14" s="167" t="str">
        <x:f>IF(AND(AN$6&lt;=$H14,AN$6+6&gt;=$G14),1,"")</x:f>
      </x:c>
      <x:c r="AO14" s="167" t="str">
        <x:f>IF(AND(AO$6&lt;=$H14,AO$6+6&gt;=$G14),1,"")</x:f>
      </x:c>
      <x:c r="AP14" s="167" t="str">
        <x:f>IF(AND(AP$6&lt;=$H14,AP$6+6&gt;=$G14),1,"")</x:f>
      </x:c>
      <x:c r="AQ14" s="167" t="str">
        <x:f>IF(AND(AQ$6&lt;=$H14,AQ$6+6&gt;=$G14),1,"")</x:f>
      </x:c>
      <x:c r="AR14" s="167" t="str">
        <x:f>IF(AND(AR$6&lt;=$H14,AR$6+6&gt;=$G14),1,"")</x:f>
      </x:c>
      <x:c r="AS14" s="167" t="str">
        <x:f>IF(AND(AS$6&lt;=$H14,AS$6+6&gt;=$G14),1,"")</x:f>
      </x:c>
      <x:c r="AT14" s="167" t="str">
        <x:f>IF(AND(AT$6&lt;=$H14,AT$6+6&gt;=$G14),1,"")</x:f>
      </x:c>
      <x:c r="AU14" s="167" t="str">
        <x:f>IF(AND(AU$6&lt;=$H14,AU$6+6&gt;=$G14),1,"")</x:f>
      </x:c>
      <x:c r="AV14" s="167" t="str">
        <x:f>IF(AND(AV$6&lt;=$H14,AV$6+6&gt;=$G14),1,"")</x:f>
      </x:c>
      <x:c r="AW14" s="167" t="str">
        <x:f>IF(AND(AW$6&lt;=$H14,AW$6+6&gt;=$G14),1,"")</x:f>
      </x:c>
      <x:c r="AX14" s="167" t="str">
        <x:f>IF(AND(AX$6&lt;=$H14,AX$6+6&gt;=$G14),1,"")</x:f>
      </x:c>
      <x:c r="AY14" s="168" t="str">
        <x:f>IF(AND(AY$6&lt;=$H14,AY$6+6&gt;=$G14),1,"")</x:f>
      </x:c>
    </x:row>
    <x:row r="15" ht="24" customHeight="1">
      <x:c r="A15" s="68" t="str">
        <x:f>'Hardware Tasks'!A13</x:f>
        <x:v>T-509</x:v>
      </x:c>
      <x:c r="B15" s="68" t="str">
        <x:f>'Hardware Tasks'!B13</x:f>
        <x:v>M5</x:v>
      </x:c>
      <x:c r="C15" s="68" t="str">
        <x:f>'Hardware Tasks'!C13</x:f>
        <x:v>End Effector/Workcell</x:v>
      </x:c>
      <x:c r="D15" s="68" t="str">
        <x:f>'Hardware Tasks'!D13</x:f>
        <x:v>Define brush, canvas, camera, paint, and cleaning interfaces</x:v>
      </x:c>
      <x:c r="E15" s="68" t="str">
        <x:f>'Hardware Tasks'!E13</x:f>
        <x:v>T-502, T-505</x:v>
      </x:c>
      <x:c r="F15" s="68" t="str">
        <x:f>'Hardware Tasks'!F13</x:f>
        <x:v>Blocked</x:v>
      </x:c>
      <x:c r="G15" s="94" t="n">
        <x:f>'Hardware Tasks'!I13</x:f>
        <x:v>46301</x:v>
      </x:c>
      <x:c r="H15" s="94" t="n">
        <x:f>'Hardware Tasks'!J13</x:f>
        <x:v>46302</x:v>
      </x:c>
      <x:c r="I15" s="166" t="str">
        <x:f>IF(AND(I$6&lt;=$H15,I$6+6&gt;=$G15),1,"")</x:f>
      </x:c>
      <x:c r="J15" s="167" t="str">
        <x:f>IF(AND(J$6&lt;=$H15,J$6+6&gt;=$G15),1,"")</x:f>
      </x:c>
      <x:c r="K15" s="167" t="str">
        <x:f>IF(AND(K$6&lt;=$H15,K$6+6&gt;=$G15),1,"")</x:f>
      </x:c>
      <x:c r="L15" s="167" t="n">
        <x:f>IF(AND(L$6&lt;=$H15,L$6+6&gt;=$G15),1,"")</x:f>
        <x:v>1</x:v>
      </x:c>
      <x:c r="M15" s="167" t="str">
        <x:f>IF(AND(M$6&lt;=$H15,M$6+6&gt;=$G15),1,"")</x:f>
      </x:c>
      <x:c r="N15" s="167" t="str">
        <x:f>IF(AND(N$6&lt;=$H15,N$6+6&gt;=$G15),1,"")</x:f>
      </x:c>
      <x:c r="O15" s="167" t="str">
        <x:f>IF(AND(O$6&lt;=$H15,O$6+6&gt;=$G15),1,"")</x:f>
      </x:c>
      <x:c r="P15" s="167" t="str">
        <x:f>IF(AND(P$6&lt;=$H15,P$6+6&gt;=$G15),1,"")</x:f>
      </x:c>
      <x:c r="Q15" s="167" t="str">
        <x:f>IF(AND(Q$6&lt;=$H15,Q$6+6&gt;=$G15),1,"")</x:f>
      </x:c>
      <x:c r="R15" s="167" t="str">
        <x:f>IF(AND(R$6&lt;=$H15,R$6+6&gt;=$G15),1,"")</x:f>
      </x:c>
      <x:c r="S15" s="167" t="str">
        <x:f>IF(AND(S$6&lt;=$H15,S$6+6&gt;=$G15),1,"")</x:f>
      </x:c>
      <x:c r="T15" s="167" t="str">
        <x:f>IF(AND(T$6&lt;=$H15,T$6+6&gt;=$G15),1,"")</x:f>
      </x:c>
      <x:c r="U15" s="167" t="str">
        <x:f>IF(AND(U$6&lt;=$H15,U$6+6&gt;=$G15),1,"")</x:f>
      </x:c>
      <x:c r="V15" s="167" t="str">
        <x:f>IF(AND(V$6&lt;=$H15,V$6+6&gt;=$G15),1,"")</x:f>
      </x:c>
      <x:c r="W15" s="167" t="str">
        <x:f>IF(AND(W$6&lt;=$H15,W$6+6&gt;=$G15),1,"")</x:f>
      </x:c>
      <x:c r="X15" s="167" t="str">
        <x:f>IF(AND(X$6&lt;=$H15,X$6+6&gt;=$G15),1,"")</x:f>
      </x:c>
      <x:c r="Y15" s="167" t="str">
        <x:f>IF(AND(Y$6&lt;=$H15,Y$6+6&gt;=$G15),1,"")</x:f>
      </x:c>
      <x:c r="Z15" s="167" t="str">
        <x:f>IF(AND(Z$6&lt;=$H15,Z$6+6&gt;=$G15),1,"")</x:f>
      </x:c>
      <x:c r="AA15" s="167" t="str">
        <x:f>IF(AND(AA$6&lt;=$H15,AA$6+6&gt;=$G15),1,"")</x:f>
      </x:c>
      <x:c r="AB15" s="167" t="str">
        <x:f>IF(AND(AB$6&lt;=$H15,AB$6+6&gt;=$G15),1,"")</x:f>
      </x:c>
      <x:c r="AC15" s="167" t="str">
        <x:f>IF(AND(AC$6&lt;=$H15,AC$6+6&gt;=$G15),1,"")</x:f>
      </x:c>
      <x:c r="AD15" s="167" t="str">
        <x:f>IF(AND(AD$6&lt;=$H15,AD$6+6&gt;=$G15),1,"")</x:f>
      </x:c>
      <x:c r="AE15" s="167" t="str">
        <x:f>IF(AND(AE$6&lt;=$H15,AE$6+6&gt;=$G15),1,"")</x:f>
      </x:c>
      <x:c r="AF15" s="167" t="str">
        <x:f>IF(AND(AF$6&lt;=$H15,AF$6+6&gt;=$G15),1,"")</x:f>
      </x:c>
      <x:c r="AG15" s="167" t="str">
        <x:f>IF(AND(AG$6&lt;=$H15,AG$6+6&gt;=$G15),1,"")</x:f>
      </x:c>
      <x:c r="AH15" s="167" t="str">
        <x:f>IF(AND(AH$6&lt;=$H15,AH$6+6&gt;=$G15),1,"")</x:f>
      </x:c>
      <x:c r="AI15" s="167" t="str">
        <x:f>IF(AND(AI$6&lt;=$H15,AI$6+6&gt;=$G15),1,"")</x:f>
      </x:c>
      <x:c r="AJ15" s="167" t="str">
        <x:f>IF(AND(AJ$6&lt;=$H15,AJ$6+6&gt;=$G15),1,"")</x:f>
      </x:c>
      <x:c r="AK15" s="167" t="str">
        <x:f>IF(AND(AK$6&lt;=$H15,AK$6+6&gt;=$G15),1,"")</x:f>
      </x:c>
      <x:c r="AL15" s="167" t="str">
        <x:f>IF(AND(AL$6&lt;=$H15,AL$6+6&gt;=$G15),1,"")</x:f>
      </x:c>
      <x:c r="AM15" s="167" t="str">
        <x:f>IF(AND(AM$6&lt;=$H15,AM$6+6&gt;=$G15),1,"")</x:f>
      </x:c>
      <x:c r="AN15" s="167" t="str">
        <x:f>IF(AND(AN$6&lt;=$H15,AN$6+6&gt;=$G15),1,"")</x:f>
      </x:c>
      <x:c r="AO15" s="167" t="str">
        <x:f>IF(AND(AO$6&lt;=$H15,AO$6+6&gt;=$G15),1,"")</x:f>
      </x:c>
      <x:c r="AP15" s="167" t="str">
        <x:f>IF(AND(AP$6&lt;=$H15,AP$6+6&gt;=$G15),1,"")</x:f>
      </x:c>
      <x:c r="AQ15" s="167" t="str">
        <x:f>IF(AND(AQ$6&lt;=$H15,AQ$6+6&gt;=$G15),1,"")</x:f>
      </x:c>
      <x:c r="AR15" s="167" t="str">
        <x:f>IF(AND(AR$6&lt;=$H15,AR$6+6&gt;=$G15),1,"")</x:f>
      </x:c>
      <x:c r="AS15" s="167" t="str">
        <x:f>IF(AND(AS$6&lt;=$H15,AS$6+6&gt;=$G15),1,"")</x:f>
      </x:c>
      <x:c r="AT15" s="167" t="str">
        <x:f>IF(AND(AT$6&lt;=$H15,AT$6+6&gt;=$G15),1,"")</x:f>
      </x:c>
      <x:c r="AU15" s="167" t="str">
        <x:f>IF(AND(AU$6&lt;=$H15,AU$6+6&gt;=$G15),1,"")</x:f>
      </x:c>
      <x:c r="AV15" s="167" t="str">
        <x:f>IF(AND(AV$6&lt;=$H15,AV$6+6&gt;=$G15),1,"")</x:f>
      </x:c>
      <x:c r="AW15" s="167" t="str">
        <x:f>IF(AND(AW$6&lt;=$H15,AW$6+6&gt;=$G15),1,"")</x:f>
      </x:c>
      <x:c r="AX15" s="167" t="str">
        <x:f>IF(AND(AX$6&lt;=$H15,AX$6+6&gt;=$G15),1,"")</x:f>
      </x:c>
      <x:c r="AY15" s="168" t="str">
        <x:f>IF(AND(AY$6&lt;=$H15,AY$6+6&gt;=$G15),1,"")</x:f>
      </x:c>
    </x:row>
    <x:row r="16" ht="24" customHeight="1">
      <x:c r="A16" s="68" t="str">
        <x:f>'Hardware Tasks'!A14</x:f>
        <x:v>T-510</x:v>
      </x:c>
      <x:c r="B16" s="68" t="str">
        <x:f>'Hardware Tasks'!B14</x:f>
        <x:v>M5</x:v>
      </x:c>
      <x:c r="C16" s="68" t="str">
        <x:f>'Hardware Tasks'!C14</x:f>
        <x:v>Calibration</x:v>
      </x:c>
      <x:c r="D16" s="68" t="str">
        <x:f>'Hardware Tasks'!D14</x:f>
        <x:v>Define calibration and system-identification procedures</x:v>
      </x:c>
      <x:c r="E16" s="68" t="str">
        <x:f>'Hardware Tasks'!E14</x:f>
        <x:v>T-502, T-504, T-509</x:v>
      </x:c>
      <x:c r="F16" s="68" t="str">
        <x:f>'Hardware Tasks'!F14</x:f>
        <x:v>Blocked</x:v>
      </x:c>
      <x:c r="G16" s="94" t="n">
        <x:f>'Hardware Tasks'!I14</x:f>
        <x:v>46303</x:v>
      </x:c>
      <x:c r="H16" s="94" t="n">
        <x:f>'Hardware Tasks'!J14</x:f>
        <x:v>46307</x:v>
      </x:c>
      <x:c r="I16" s="166" t="str">
        <x:f>IF(AND(I$6&lt;=$H16,I$6+6&gt;=$G16),1,"")</x:f>
      </x:c>
      <x:c r="J16" s="167" t="str">
        <x:f>IF(AND(J$6&lt;=$H16,J$6+6&gt;=$G16),1,"")</x:f>
      </x:c>
      <x:c r="K16" s="167" t="str">
        <x:f>IF(AND(K$6&lt;=$H16,K$6+6&gt;=$G16),1,"")</x:f>
      </x:c>
      <x:c r="L16" s="167" t="n">
        <x:f>IF(AND(L$6&lt;=$H16,L$6+6&gt;=$G16),1,"")</x:f>
        <x:v>1</x:v>
      </x:c>
      <x:c r="M16" s="167" t="n">
        <x:f>IF(AND(M$6&lt;=$H16,M$6+6&gt;=$G16),1,"")</x:f>
        <x:v>1</x:v>
      </x:c>
      <x:c r="N16" s="167" t="str">
        <x:f>IF(AND(N$6&lt;=$H16,N$6+6&gt;=$G16),1,"")</x:f>
      </x:c>
      <x:c r="O16" s="167" t="str">
        <x:f>IF(AND(O$6&lt;=$H16,O$6+6&gt;=$G16),1,"")</x:f>
      </x:c>
      <x:c r="P16" s="167" t="str">
        <x:f>IF(AND(P$6&lt;=$H16,P$6+6&gt;=$G16),1,"")</x:f>
      </x:c>
      <x:c r="Q16" s="167" t="str">
        <x:f>IF(AND(Q$6&lt;=$H16,Q$6+6&gt;=$G16),1,"")</x:f>
      </x:c>
      <x:c r="R16" s="167" t="str">
        <x:f>IF(AND(R$6&lt;=$H16,R$6+6&gt;=$G16),1,"")</x:f>
      </x:c>
      <x:c r="S16" s="167" t="str">
        <x:f>IF(AND(S$6&lt;=$H16,S$6+6&gt;=$G16),1,"")</x:f>
      </x:c>
      <x:c r="T16" s="167" t="str">
        <x:f>IF(AND(T$6&lt;=$H16,T$6+6&gt;=$G16),1,"")</x:f>
      </x:c>
      <x:c r="U16" s="167" t="str">
        <x:f>IF(AND(U$6&lt;=$H16,U$6+6&gt;=$G16),1,"")</x:f>
      </x:c>
      <x:c r="V16" s="167" t="str">
        <x:f>IF(AND(V$6&lt;=$H16,V$6+6&gt;=$G16),1,"")</x:f>
      </x:c>
      <x:c r="W16" s="167" t="str">
        <x:f>IF(AND(W$6&lt;=$H16,W$6+6&gt;=$G16),1,"")</x:f>
      </x:c>
      <x:c r="X16" s="167" t="str">
        <x:f>IF(AND(X$6&lt;=$H16,X$6+6&gt;=$G16),1,"")</x:f>
      </x:c>
      <x:c r="Y16" s="167" t="str">
        <x:f>IF(AND(Y$6&lt;=$H16,Y$6+6&gt;=$G16),1,"")</x:f>
      </x:c>
      <x:c r="Z16" s="167" t="str">
        <x:f>IF(AND(Z$6&lt;=$H16,Z$6+6&gt;=$G16),1,"")</x:f>
      </x:c>
      <x:c r="AA16" s="167" t="str">
        <x:f>IF(AND(AA$6&lt;=$H16,AA$6+6&gt;=$G16),1,"")</x:f>
      </x:c>
      <x:c r="AB16" s="167" t="str">
        <x:f>IF(AND(AB$6&lt;=$H16,AB$6+6&gt;=$G16),1,"")</x:f>
      </x:c>
      <x:c r="AC16" s="167" t="str">
        <x:f>IF(AND(AC$6&lt;=$H16,AC$6+6&gt;=$G16),1,"")</x:f>
      </x:c>
      <x:c r="AD16" s="167" t="str">
        <x:f>IF(AND(AD$6&lt;=$H16,AD$6+6&gt;=$G16),1,"")</x:f>
      </x:c>
      <x:c r="AE16" s="167" t="str">
        <x:f>IF(AND(AE$6&lt;=$H16,AE$6+6&gt;=$G16),1,"")</x:f>
      </x:c>
      <x:c r="AF16" s="167" t="str">
        <x:f>IF(AND(AF$6&lt;=$H16,AF$6+6&gt;=$G16),1,"")</x:f>
      </x:c>
      <x:c r="AG16" s="167" t="str">
        <x:f>IF(AND(AG$6&lt;=$H16,AG$6+6&gt;=$G16),1,"")</x:f>
      </x:c>
      <x:c r="AH16" s="167" t="str">
        <x:f>IF(AND(AH$6&lt;=$H16,AH$6+6&gt;=$G16),1,"")</x:f>
      </x:c>
      <x:c r="AI16" s="167" t="str">
        <x:f>IF(AND(AI$6&lt;=$H16,AI$6+6&gt;=$G16),1,"")</x:f>
      </x:c>
      <x:c r="AJ16" s="167" t="str">
        <x:f>IF(AND(AJ$6&lt;=$H16,AJ$6+6&gt;=$G16),1,"")</x:f>
      </x:c>
      <x:c r="AK16" s="167" t="str">
        <x:f>IF(AND(AK$6&lt;=$H16,AK$6+6&gt;=$G16),1,"")</x:f>
      </x:c>
      <x:c r="AL16" s="167" t="str">
        <x:f>IF(AND(AL$6&lt;=$H16,AL$6+6&gt;=$G16),1,"")</x:f>
      </x:c>
      <x:c r="AM16" s="167" t="str">
        <x:f>IF(AND(AM$6&lt;=$H16,AM$6+6&gt;=$G16),1,"")</x:f>
      </x:c>
      <x:c r="AN16" s="167" t="str">
        <x:f>IF(AND(AN$6&lt;=$H16,AN$6+6&gt;=$G16),1,"")</x:f>
      </x:c>
      <x:c r="AO16" s="167" t="str">
        <x:f>IF(AND(AO$6&lt;=$H16,AO$6+6&gt;=$G16),1,"")</x:f>
      </x:c>
      <x:c r="AP16" s="167" t="str">
        <x:f>IF(AND(AP$6&lt;=$H16,AP$6+6&gt;=$G16),1,"")</x:f>
      </x:c>
      <x:c r="AQ16" s="167" t="str">
        <x:f>IF(AND(AQ$6&lt;=$H16,AQ$6+6&gt;=$G16),1,"")</x:f>
      </x:c>
      <x:c r="AR16" s="167" t="str">
        <x:f>IF(AND(AR$6&lt;=$H16,AR$6+6&gt;=$G16),1,"")</x:f>
      </x:c>
      <x:c r="AS16" s="167" t="str">
        <x:f>IF(AND(AS$6&lt;=$H16,AS$6+6&gt;=$G16),1,"")</x:f>
      </x:c>
      <x:c r="AT16" s="167" t="str">
        <x:f>IF(AND(AT$6&lt;=$H16,AT$6+6&gt;=$G16),1,"")</x:f>
      </x:c>
      <x:c r="AU16" s="167" t="str">
        <x:f>IF(AND(AU$6&lt;=$H16,AU$6+6&gt;=$G16),1,"")</x:f>
      </x:c>
      <x:c r="AV16" s="167" t="str">
        <x:f>IF(AND(AV$6&lt;=$H16,AV$6+6&gt;=$G16),1,"")</x:f>
      </x:c>
      <x:c r="AW16" s="167" t="str">
        <x:f>IF(AND(AW$6&lt;=$H16,AW$6+6&gt;=$G16),1,"")</x:f>
      </x:c>
      <x:c r="AX16" s="167" t="str">
        <x:f>IF(AND(AX$6&lt;=$H16,AX$6+6&gt;=$G16),1,"")</x:f>
      </x:c>
      <x:c r="AY16" s="168" t="str">
        <x:f>IF(AND(AY$6&lt;=$H16,AY$6+6&gt;=$G16),1,"")</x:f>
      </x:c>
    </x:row>
    <x:row r="17" ht="24" customHeight="1">
      <x:c r="A17" s="68" t="str">
        <x:f>'Hardware Tasks'!A15</x:f>
        <x:v>T-511</x:v>
      </x:c>
      <x:c r="B17" s="68" t="str">
        <x:f>'Hardware Tasks'!B15</x:f>
        <x:v>M5</x:v>
      </x:c>
      <x:c r="C17" s="68" t="str">
        <x:f>'Hardware Tasks'!C15</x:f>
        <x:v>Tooling/Architecture</x:v>
      </x:c>
      <x:c r="D17" s="68" t="str">
        <x:f>'Hardware Tasks'!D15</x:f>
        <x:v>Implement parameter export and validation adapters</x:v>
      </x:c>
      <x:c r="E17" s="68" t="str">
        <x:f>'Hardware Tasks'!E15</x:f>
        <x:v>T-501, T-502, T-503, T-504</x:v>
      </x:c>
      <x:c r="F17" s="68" t="str">
        <x:f>'Hardware Tasks'!F15</x:f>
        <x:v>Blocked</x:v>
      </x:c>
      <x:c r="G17" s="94" t="n">
        <x:f>'Hardware Tasks'!I15</x:f>
        <x:v>46308</x:v>
      </x:c>
      <x:c r="H17" s="94" t="n">
        <x:f>'Hardware Tasks'!J15</x:f>
        <x:v>46310</x:v>
      </x:c>
      <x:c r="I17" s="166" t="str">
        <x:f>IF(AND(I$6&lt;=$H17,I$6+6&gt;=$G17),1,"")</x:f>
      </x:c>
      <x:c r="J17" s="167" t="str">
        <x:f>IF(AND(J$6&lt;=$H17,J$6+6&gt;=$G17),1,"")</x:f>
      </x:c>
      <x:c r="K17" s="167" t="str">
        <x:f>IF(AND(K$6&lt;=$H17,K$6+6&gt;=$G17),1,"")</x:f>
      </x:c>
      <x:c r="L17" s="167" t="str">
        <x:f>IF(AND(L$6&lt;=$H17,L$6+6&gt;=$G17),1,"")</x:f>
      </x:c>
      <x:c r="M17" s="167" t="n">
        <x:f>IF(AND(M$6&lt;=$H17,M$6+6&gt;=$G17),1,"")</x:f>
        <x:v>1</x:v>
      </x:c>
      <x:c r="N17" s="167" t="str">
        <x:f>IF(AND(N$6&lt;=$H17,N$6+6&gt;=$G17),1,"")</x:f>
      </x:c>
      <x:c r="O17" s="167" t="str">
        <x:f>IF(AND(O$6&lt;=$H17,O$6+6&gt;=$G17),1,"")</x:f>
      </x:c>
      <x:c r="P17" s="167" t="str">
        <x:f>IF(AND(P$6&lt;=$H17,P$6+6&gt;=$G17),1,"")</x:f>
      </x:c>
      <x:c r="Q17" s="167" t="str">
        <x:f>IF(AND(Q$6&lt;=$H17,Q$6+6&gt;=$G17),1,"")</x:f>
      </x:c>
      <x:c r="R17" s="167" t="str">
        <x:f>IF(AND(R$6&lt;=$H17,R$6+6&gt;=$G17),1,"")</x:f>
      </x:c>
      <x:c r="S17" s="167" t="str">
        <x:f>IF(AND(S$6&lt;=$H17,S$6+6&gt;=$G17),1,"")</x:f>
      </x:c>
      <x:c r="T17" s="167" t="str">
        <x:f>IF(AND(T$6&lt;=$H17,T$6+6&gt;=$G17),1,"")</x:f>
      </x:c>
      <x:c r="U17" s="167" t="str">
        <x:f>IF(AND(U$6&lt;=$H17,U$6+6&gt;=$G17),1,"")</x:f>
      </x:c>
      <x:c r="V17" s="167" t="str">
        <x:f>IF(AND(V$6&lt;=$H17,V$6+6&gt;=$G17),1,"")</x:f>
      </x:c>
      <x:c r="W17" s="167" t="str">
        <x:f>IF(AND(W$6&lt;=$H17,W$6+6&gt;=$G17),1,"")</x:f>
      </x:c>
      <x:c r="X17" s="167" t="str">
        <x:f>IF(AND(X$6&lt;=$H17,X$6+6&gt;=$G17),1,"")</x:f>
      </x:c>
      <x:c r="Y17" s="167" t="str">
        <x:f>IF(AND(Y$6&lt;=$H17,Y$6+6&gt;=$G17),1,"")</x:f>
      </x:c>
      <x:c r="Z17" s="167" t="str">
        <x:f>IF(AND(Z$6&lt;=$H17,Z$6+6&gt;=$G17),1,"")</x:f>
      </x:c>
      <x:c r="AA17" s="167" t="str">
        <x:f>IF(AND(AA$6&lt;=$H17,AA$6+6&gt;=$G17),1,"")</x:f>
      </x:c>
      <x:c r="AB17" s="167" t="str">
        <x:f>IF(AND(AB$6&lt;=$H17,AB$6+6&gt;=$G17),1,"")</x:f>
      </x:c>
      <x:c r="AC17" s="167" t="str">
        <x:f>IF(AND(AC$6&lt;=$H17,AC$6+6&gt;=$G17),1,"")</x:f>
      </x:c>
      <x:c r="AD17" s="167" t="str">
        <x:f>IF(AND(AD$6&lt;=$H17,AD$6+6&gt;=$G17),1,"")</x:f>
      </x:c>
      <x:c r="AE17" s="167" t="str">
        <x:f>IF(AND(AE$6&lt;=$H17,AE$6+6&gt;=$G17),1,"")</x:f>
      </x:c>
      <x:c r="AF17" s="167" t="str">
        <x:f>IF(AND(AF$6&lt;=$H17,AF$6+6&gt;=$G17),1,"")</x:f>
      </x:c>
      <x:c r="AG17" s="167" t="str">
        <x:f>IF(AND(AG$6&lt;=$H17,AG$6+6&gt;=$G17),1,"")</x:f>
      </x:c>
      <x:c r="AH17" s="167" t="str">
        <x:f>IF(AND(AH$6&lt;=$H17,AH$6+6&gt;=$G17),1,"")</x:f>
      </x:c>
      <x:c r="AI17" s="167" t="str">
        <x:f>IF(AND(AI$6&lt;=$H17,AI$6+6&gt;=$G17),1,"")</x:f>
      </x:c>
      <x:c r="AJ17" s="167" t="str">
        <x:f>IF(AND(AJ$6&lt;=$H17,AJ$6+6&gt;=$G17),1,"")</x:f>
      </x:c>
      <x:c r="AK17" s="167" t="str">
        <x:f>IF(AND(AK$6&lt;=$H17,AK$6+6&gt;=$G17),1,"")</x:f>
      </x:c>
      <x:c r="AL17" s="167" t="str">
        <x:f>IF(AND(AL$6&lt;=$H17,AL$6+6&gt;=$G17),1,"")</x:f>
      </x:c>
      <x:c r="AM17" s="167" t="str">
        <x:f>IF(AND(AM$6&lt;=$H17,AM$6+6&gt;=$G17),1,"")</x:f>
      </x:c>
      <x:c r="AN17" s="167" t="str">
        <x:f>IF(AND(AN$6&lt;=$H17,AN$6+6&gt;=$G17),1,"")</x:f>
      </x:c>
      <x:c r="AO17" s="167" t="str">
        <x:f>IF(AND(AO$6&lt;=$H17,AO$6+6&gt;=$G17),1,"")</x:f>
      </x:c>
      <x:c r="AP17" s="167" t="str">
        <x:f>IF(AND(AP$6&lt;=$H17,AP$6+6&gt;=$G17),1,"")</x:f>
      </x:c>
      <x:c r="AQ17" s="167" t="str">
        <x:f>IF(AND(AQ$6&lt;=$H17,AQ$6+6&gt;=$G17),1,"")</x:f>
      </x:c>
      <x:c r="AR17" s="167" t="str">
        <x:f>IF(AND(AR$6&lt;=$H17,AR$6+6&gt;=$G17),1,"")</x:f>
      </x:c>
      <x:c r="AS17" s="167" t="str">
        <x:f>IF(AND(AS$6&lt;=$H17,AS$6+6&gt;=$G17),1,"")</x:f>
      </x:c>
      <x:c r="AT17" s="167" t="str">
        <x:f>IF(AND(AT$6&lt;=$H17,AT$6+6&gt;=$G17),1,"")</x:f>
      </x:c>
      <x:c r="AU17" s="167" t="str">
        <x:f>IF(AND(AU$6&lt;=$H17,AU$6+6&gt;=$G17),1,"")</x:f>
      </x:c>
      <x:c r="AV17" s="167" t="str">
        <x:f>IF(AND(AV$6&lt;=$H17,AV$6+6&gt;=$G17),1,"")</x:f>
      </x:c>
      <x:c r="AW17" s="167" t="str">
        <x:f>IF(AND(AW$6&lt;=$H17,AW$6+6&gt;=$G17),1,"")</x:f>
      </x:c>
      <x:c r="AX17" s="167" t="str">
        <x:f>IF(AND(AX$6&lt;=$H17,AX$6+6&gt;=$G17),1,"")</x:f>
      </x:c>
      <x:c r="AY17" s="168" t="str">
        <x:f>IF(AND(AY$6&lt;=$H17,AY$6+6&gt;=$G17),1,"")</x:f>
      </x:c>
    </x:row>
    <x:row r="18" ht="24" customHeight="1">
      <x:c r="A18" s="68" t="str">
        <x:f>'Hardware Tasks'!A16</x:f>
        <x:v>T-512</x:v>
      </x:c>
      <x:c r="B18" s="68" t="str">
        <x:f>'Hardware Tasks'!B16</x:f>
        <x:v>M5</x:v>
      </x:c>
      <x:c r="C18" s="68" t="str">
        <x:f>'Hardware Tasks'!C16</x:f>
        <x:v>Validation/Modeling</x:v>
      </x:c>
      <x:c r="D18" s="68" t="str">
        <x:f>'Hardware Tasks'!D16</x:f>
        <x:v>Run sensitivity and identifiability analysis</x:v>
      </x:c>
      <x:c r="E18" s="68" t="str">
        <x:f>'Hardware Tasks'!E16</x:f>
        <x:v>T-506, T-508, T-510, T-511</x:v>
      </x:c>
      <x:c r="F18" s="68" t="str">
        <x:f>'Hardware Tasks'!F16</x:f>
        <x:v>Blocked</x:v>
      </x:c>
      <x:c r="G18" s="94" t="n">
        <x:f>'Hardware Tasks'!I16</x:f>
        <x:v>46311</x:v>
      </x:c>
      <x:c r="H18" s="94" t="n">
        <x:f>'Hardware Tasks'!J16</x:f>
        <x:v>46315</x:v>
      </x:c>
      <x:c r="I18" s="166" t="str">
        <x:f>IF(AND(I$6&lt;=$H18,I$6+6&gt;=$G18),1,"")</x:f>
      </x:c>
      <x:c r="J18" s="167" t="str">
        <x:f>IF(AND(J$6&lt;=$H18,J$6+6&gt;=$G18),1,"")</x:f>
      </x:c>
      <x:c r="K18" s="167" t="str">
        <x:f>IF(AND(K$6&lt;=$H18,K$6+6&gt;=$G18),1,"")</x:f>
      </x:c>
      <x:c r="L18" s="167" t="str">
        <x:f>IF(AND(L$6&lt;=$H18,L$6+6&gt;=$G18),1,"")</x:f>
      </x:c>
      <x:c r="M18" s="167" t="n">
        <x:f>IF(AND(M$6&lt;=$H18,M$6+6&gt;=$G18),1,"")</x:f>
        <x:v>1</x:v>
      </x:c>
      <x:c r="N18" s="167" t="n">
        <x:f>IF(AND(N$6&lt;=$H18,N$6+6&gt;=$G18),1,"")</x:f>
        <x:v>1</x:v>
      </x:c>
      <x:c r="O18" s="167" t="str">
        <x:f>IF(AND(O$6&lt;=$H18,O$6+6&gt;=$G18),1,"")</x:f>
      </x:c>
      <x:c r="P18" s="167" t="str">
        <x:f>IF(AND(P$6&lt;=$H18,P$6+6&gt;=$G18),1,"")</x:f>
      </x:c>
      <x:c r="Q18" s="167" t="str">
        <x:f>IF(AND(Q$6&lt;=$H18,Q$6+6&gt;=$G18),1,"")</x:f>
      </x:c>
      <x:c r="R18" s="167" t="str">
        <x:f>IF(AND(R$6&lt;=$H18,R$6+6&gt;=$G18),1,"")</x:f>
      </x:c>
      <x:c r="S18" s="167" t="str">
        <x:f>IF(AND(S$6&lt;=$H18,S$6+6&gt;=$G18),1,"")</x:f>
      </x:c>
      <x:c r="T18" s="167" t="str">
        <x:f>IF(AND(T$6&lt;=$H18,T$6+6&gt;=$G18),1,"")</x:f>
      </x:c>
      <x:c r="U18" s="167" t="str">
        <x:f>IF(AND(U$6&lt;=$H18,U$6+6&gt;=$G18),1,"")</x:f>
      </x:c>
      <x:c r="V18" s="167" t="str">
        <x:f>IF(AND(V$6&lt;=$H18,V$6+6&gt;=$G18),1,"")</x:f>
      </x:c>
      <x:c r="W18" s="167" t="str">
        <x:f>IF(AND(W$6&lt;=$H18,W$6+6&gt;=$G18),1,"")</x:f>
      </x:c>
      <x:c r="X18" s="167" t="str">
        <x:f>IF(AND(X$6&lt;=$H18,X$6+6&gt;=$G18),1,"")</x:f>
      </x:c>
      <x:c r="Y18" s="167" t="str">
        <x:f>IF(AND(Y$6&lt;=$H18,Y$6+6&gt;=$G18),1,"")</x:f>
      </x:c>
      <x:c r="Z18" s="167" t="str">
        <x:f>IF(AND(Z$6&lt;=$H18,Z$6+6&gt;=$G18),1,"")</x:f>
      </x:c>
      <x:c r="AA18" s="167" t="str">
        <x:f>IF(AND(AA$6&lt;=$H18,AA$6+6&gt;=$G18),1,"")</x:f>
      </x:c>
      <x:c r="AB18" s="167" t="str">
        <x:f>IF(AND(AB$6&lt;=$H18,AB$6+6&gt;=$G18),1,"")</x:f>
      </x:c>
      <x:c r="AC18" s="167" t="str">
        <x:f>IF(AND(AC$6&lt;=$H18,AC$6+6&gt;=$G18),1,"")</x:f>
      </x:c>
      <x:c r="AD18" s="167" t="str">
        <x:f>IF(AND(AD$6&lt;=$H18,AD$6+6&gt;=$G18),1,"")</x:f>
      </x:c>
      <x:c r="AE18" s="167" t="str">
        <x:f>IF(AND(AE$6&lt;=$H18,AE$6+6&gt;=$G18),1,"")</x:f>
      </x:c>
      <x:c r="AF18" s="167" t="str">
        <x:f>IF(AND(AF$6&lt;=$H18,AF$6+6&gt;=$G18),1,"")</x:f>
      </x:c>
      <x:c r="AG18" s="167" t="str">
        <x:f>IF(AND(AG$6&lt;=$H18,AG$6+6&gt;=$G18),1,"")</x:f>
      </x:c>
      <x:c r="AH18" s="167" t="str">
        <x:f>IF(AND(AH$6&lt;=$H18,AH$6+6&gt;=$G18),1,"")</x:f>
      </x:c>
      <x:c r="AI18" s="167" t="str">
        <x:f>IF(AND(AI$6&lt;=$H18,AI$6+6&gt;=$G18),1,"")</x:f>
      </x:c>
      <x:c r="AJ18" s="167" t="str">
        <x:f>IF(AND(AJ$6&lt;=$H18,AJ$6+6&gt;=$G18),1,"")</x:f>
      </x:c>
      <x:c r="AK18" s="167" t="str">
        <x:f>IF(AND(AK$6&lt;=$H18,AK$6+6&gt;=$G18),1,"")</x:f>
      </x:c>
      <x:c r="AL18" s="167" t="str">
        <x:f>IF(AND(AL$6&lt;=$H18,AL$6+6&gt;=$G18),1,"")</x:f>
      </x:c>
      <x:c r="AM18" s="167" t="str">
        <x:f>IF(AND(AM$6&lt;=$H18,AM$6+6&gt;=$G18),1,"")</x:f>
      </x:c>
      <x:c r="AN18" s="167" t="str">
        <x:f>IF(AND(AN$6&lt;=$H18,AN$6+6&gt;=$G18),1,"")</x:f>
      </x:c>
      <x:c r="AO18" s="167" t="str">
        <x:f>IF(AND(AO$6&lt;=$H18,AO$6+6&gt;=$G18),1,"")</x:f>
      </x:c>
      <x:c r="AP18" s="167" t="str">
        <x:f>IF(AND(AP$6&lt;=$H18,AP$6+6&gt;=$G18),1,"")</x:f>
      </x:c>
      <x:c r="AQ18" s="167" t="str">
        <x:f>IF(AND(AQ$6&lt;=$H18,AQ$6+6&gt;=$G18),1,"")</x:f>
      </x:c>
      <x:c r="AR18" s="167" t="str">
        <x:f>IF(AND(AR$6&lt;=$H18,AR$6+6&gt;=$G18),1,"")</x:f>
      </x:c>
      <x:c r="AS18" s="167" t="str">
        <x:f>IF(AND(AS$6&lt;=$H18,AS$6+6&gt;=$G18),1,"")</x:f>
      </x:c>
      <x:c r="AT18" s="167" t="str">
        <x:f>IF(AND(AT$6&lt;=$H18,AT$6+6&gt;=$G18),1,"")</x:f>
      </x:c>
      <x:c r="AU18" s="167" t="str">
        <x:f>IF(AND(AU$6&lt;=$H18,AU$6+6&gt;=$G18),1,"")</x:f>
      </x:c>
      <x:c r="AV18" s="167" t="str">
        <x:f>IF(AND(AV$6&lt;=$H18,AV$6+6&gt;=$G18),1,"")</x:f>
      </x:c>
      <x:c r="AW18" s="167" t="str">
        <x:f>IF(AND(AW$6&lt;=$H18,AW$6+6&gt;=$G18),1,"")</x:f>
      </x:c>
      <x:c r="AX18" s="167" t="str">
        <x:f>IF(AND(AX$6&lt;=$H18,AX$6+6&gt;=$G18),1,"")</x:f>
      </x:c>
      <x:c r="AY18" s="168" t="str">
        <x:f>IF(AND(AY$6&lt;=$H18,AY$6+6&gt;=$G18),1,"")</x:f>
      </x:c>
    </x:row>
    <x:row r="19" ht="24" customHeight="1">
      <x:c r="A19" s="68" t="str">
        <x:f>'Hardware Tasks'!A17</x:f>
        <x:v>T-513</x:v>
      </x:c>
      <x:c r="B19" s="68" t="str">
        <x:f>'Hardware Tasks'!B17</x:f>
        <x:v>M5</x:v>
      </x:c>
      <x:c r="C19" s="68" t="str">
        <x:f>'Hardware Tasks'!C17</x:f>
        <x:v>Mechanical Decision</x:v>
      </x:c>
      <x:c r="D19" s="68" t="str">
        <x:f>'Hardware Tasks'!D17</x:f>
        <x:v>Select a preliminary geometry and actuation baseline</x:v>
      </x:c>
      <x:c r="E19" s="68" t="str">
        <x:f>'Hardware Tasks'!E17</x:f>
        <x:v>T-507, T-508, T-509, T-512</x:v>
      </x:c>
      <x:c r="F19" s="68" t="str">
        <x:f>'Hardware Tasks'!F17</x:f>
        <x:v>Blocked</x:v>
      </x:c>
      <x:c r="G19" s="94" t="n">
        <x:f>'Hardware Tasks'!I17</x:f>
        <x:v>46316</x:v>
      </x:c>
      <x:c r="H19" s="94" t="n">
        <x:f>'Hardware Tasks'!J17</x:f>
        <x:v>46316</x:v>
      </x:c>
      <x:c r="I19" s="166" t="str">
        <x:f>IF(AND(I$6&lt;=$H19,I$6+6&gt;=$G19),1,"")</x:f>
      </x:c>
      <x:c r="J19" s="167" t="str">
        <x:f>IF(AND(J$6&lt;=$H19,J$6+6&gt;=$G19),1,"")</x:f>
      </x:c>
      <x:c r="K19" s="167" t="str">
        <x:f>IF(AND(K$6&lt;=$H19,K$6+6&gt;=$G19),1,"")</x:f>
      </x:c>
      <x:c r="L19" s="167" t="str">
        <x:f>IF(AND(L$6&lt;=$H19,L$6+6&gt;=$G19),1,"")</x:f>
      </x:c>
      <x:c r="M19" s="167" t="str">
        <x:f>IF(AND(M$6&lt;=$H19,M$6+6&gt;=$G19),1,"")</x:f>
      </x:c>
      <x:c r="N19" s="167" t="n">
        <x:f>IF(AND(N$6&lt;=$H19,N$6+6&gt;=$G19),1,"")</x:f>
        <x:v>1</x:v>
      </x:c>
      <x:c r="O19" s="167" t="str">
        <x:f>IF(AND(O$6&lt;=$H19,O$6+6&gt;=$G19),1,"")</x:f>
      </x:c>
      <x:c r="P19" s="167" t="str">
        <x:f>IF(AND(P$6&lt;=$H19,P$6+6&gt;=$G19),1,"")</x:f>
      </x:c>
      <x:c r="Q19" s="167" t="str">
        <x:f>IF(AND(Q$6&lt;=$H19,Q$6+6&gt;=$G19),1,"")</x:f>
      </x:c>
      <x:c r="R19" s="167" t="str">
        <x:f>IF(AND(R$6&lt;=$H19,R$6+6&gt;=$G19),1,"")</x:f>
      </x:c>
      <x:c r="S19" s="167" t="str">
        <x:f>IF(AND(S$6&lt;=$H19,S$6+6&gt;=$G19),1,"")</x:f>
      </x:c>
      <x:c r="T19" s="167" t="str">
        <x:f>IF(AND(T$6&lt;=$H19,T$6+6&gt;=$G19),1,"")</x:f>
      </x:c>
      <x:c r="U19" s="167" t="str">
        <x:f>IF(AND(U$6&lt;=$H19,U$6+6&gt;=$G19),1,"")</x:f>
      </x:c>
      <x:c r="V19" s="167" t="str">
        <x:f>IF(AND(V$6&lt;=$H19,V$6+6&gt;=$G19),1,"")</x:f>
      </x:c>
      <x:c r="W19" s="167" t="str">
        <x:f>IF(AND(W$6&lt;=$H19,W$6+6&gt;=$G19),1,"")</x:f>
      </x:c>
      <x:c r="X19" s="167" t="str">
        <x:f>IF(AND(X$6&lt;=$H19,X$6+6&gt;=$G19),1,"")</x:f>
      </x:c>
      <x:c r="Y19" s="167" t="str">
        <x:f>IF(AND(Y$6&lt;=$H19,Y$6+6&gt;=$G19),1,"")</x:f>
      </x:c>
      <x:c r="Z19" s="167" t="str">
        <x:f>IF(AND(Z$6&lt;=$H19,Z$6+6&gt;=$G19),1,"")</x:f>
      </x:c>
      <x:c r="AA19" s="167" t="str">
        <x:f>IF(AND(AA$6&lt;=$H19,AA$6+6&gt;=$G19),1,"")</x:f>
      </x:c>
      <x:c r="AB19" s="167" t="str">
        <x:f>IF(AND(AB$6&lt;=$H19,AB$6+6&gt;=$G19),1,"")</x:f>
      </x:c>
      <x:c r="AC19" s="167" t="str">
        <x:f>IF(AND(AC$6&lt;=$H19,AC$6+6&gt;=$G19),1,"")</x:f>
      </x:c>
      <x:c r="AD19" s="167" t="str">
        <x:f>IF(AND(AD$6&lt;=$H19,AD$6+6&gt;=$G19),1,"")</x:f>
      </x:c>
      <x:c r="AE19" s="167" t="str">
        <x:f>IF(AND(AE$6&lt;=$H19,AE$6+6&gt;=$G19),1,"")</x:f>
      </x:c>
      <x:c r="AF19" s="167" t="str">
        <x:f>IF(AND(AF$6&lt;=$H19,AF$6+6&gt;=$G19),1,"")</x:f>
      </x:c>
      <x:c r="AG19" s="167" t="str">
        <x:f>IF(AND(AG$6&lt;=$H19,AG$6+6&gt;=$G19),1,"")</x:f>
      </x:c>
      <x:c r="AH19" s="167" t="str">
        <x:f>IF(AND(AH$6&lt;=$H19,AH$6+6&gt;=$G19),1,"")</x:f>
      </x:c>
      <x:c r="AI19" s="167" t="str">
        <x:f>IF(AND(AI$6&lt;=$H19,AI$6+6&gt;=$G19),1,"")</x:f>
      </x:c>
      <x:c r="AJ19" s="167" t="str">
        <x:f>IF(AND(AJ$6&lt;=$H19,AJ$6+6&gt;=$G19),1,"")</x:f>
      </x:c>
      <x:c r="AK19" s="167" t="str">
        <x:f>IF(AND(AK$6&lt;=$H19,AK$6+6&gt;=$G19),1,"")</x:f>
      </x:c>
      <x:c r="AL19" s="167" t="str">
        <x:f>IF(AND(AL$6&lt;=$H19,AL$6+6&gt;=$G19),1,"")</x:f>
      </x:c>
      <x:c r="AM19" s="167" t="str">
        <x:f>IF(AND(AM$6&lt;=$H19,AM$6+6&gt;=$G19),1,"")</x:f>
      </x:c>
      <x:c r="AN19" s="167" t="str">
        <x:f>IF(AND(AN$6&lt;=$H19,AN$6+6&gt;=$G19),1,"")</x:f>
      </x:c>
      <x:c r="AO19" s="167" t="str">
        <x:f>IF(AND(AO$6&lt;=$H19,AO$6+6&gt;=$G19),1,"")</x:f>
      </x:c>
      <x:c r="AP19" s="167" t="str">
        <x:f>IF(AND(AP$6&lt;=$H19,AP$6+6&gt;=$G19),1,"")</x:f>
      </x:c>
      <x:c r="AQ19" s="167" t="str">
        <x:f>IF(AND(AQ$6&lt;=$H19,AQ$6+6&gt;=$G19),1,"")</x:f>
      </x:c>
      <x:c r="AR19" s="167" t="str">
        <x:f>IF(AND(AR$6&lt;=$H19,AR$6+6&gt;=$G19),1,"")</x:f>
      </x:c>
      <x:c r="AS19" s="167" t="str">
        <x:f>IF(AND(AS$6&lt;=$H19,AS$6+6&gt;=$G19),1,"")</x:f>
      </x:c>
      <x:c r="AT19" s="167" t="str">
        <x:f>IF(AND(AT$6&lt;=$H19,AT$6+6&gt;=$G19),1,"")</x:f>
      </x:c>
      <x:c r="AU19" s="167" t="str">
        <x:f>IF(AND(AU$6&lt;=$H19,AU$6+6&gt;=$G19),1,"")</x:f>
      </x:c>
      <x:c r="AV19" s="167" t="str">
        <x:f>IF(AND(AV$6&lt;=$H19,AV$6+6&gt;=$G19),1,"")</x:f>
      </x:c>
      <x:c r="AW19" s="167" t="str">
        <x:f>IF(AND(AW$6&lt;=$H19,AW$6+6&gt;=$G19),1,"")</x:f>
      </x:c>
      <x:c r="AX19" s="167" t="str">
        <x:f>IF(AND(AX$6&lt;=$H19,AX$6+6&gt;=$G19),1,"")</x:f>
      </x:c>
      <x:c r="AY19" s="168" t="str">
        <x:f>IF(AND(AY$6&lt;=$H19,AY$6+6&gt;=$G19),1,"")</x:f>
      </x:c>
    </x:row>
    <x:row r="20" ht="24" customHeight="1">
      <x:c r="A20" s="68" t="str">
        <x:f>'Hardware Tasks'!A18</x:f>
        <x:v>T-514</x:v>
      </x:c>
      <x:c r="B20" s="68" t="str">
        <x:f>'Hardware Tasks'!B18</x:f>
        <x:v>M5</x:v>
      </x:c>
      <x:c r="C20" s="68" t="str">
        <x:f>'Hardware Tasks'!C18</x:f>
        <x:v>Validation</x:v>
      </x:c>
      <x:c r="D20" s="68" t="str">
        <x:f>'Hardware Tasks'!D18</x:f>
        <x:v>M5 calibration-readiness gate</x:v>
      </x:c>
      <x:c r="E20" s="68" t="str">
        <x:f>'Hardware Tasks'!E18</x:f>
        <x:v>T-511, T-513</x:v>
      </x:c>
      <x:c r="F20" s="68" t="str">
        <x:f>'Hardware Tasks'!F18</x:f>
        <x:v>Blocked</x:v>
      </x:c>
      <x:c r="G20" s="94" t="n">
        <x:f>'Hardware Tasks'!I18</x:f>
        <x:v>46317</x:v>
      </x:c>
      <x:c r="H20" s="94" t="n">
        <x:f>'Hardware Tasks'!J18</x:f>
        <x:v>46317</x:v>
      </x:c>
      <x:c r="I20" s="166" t="str">
        <x:f>IF(AND(I$6&lt;=$H20,I$6+6&gt;=$G20),1,"")</x:f>
      </x:c>
      <x:c r="J20" s="167" t="str">
        <x:f>IF(AND(J$6&lt;=$H20,J$6+6&gt;=$G20),1,"")</x:f>
      </x:c>
      <x:c r="K20" s="167" t="str">
        <x:f>IF(AND(K$6&lt;=$H20,K$6+6&gt;=$G20),1,"")</x:f>
      </x:c>
      <x:c r="L20" s="167" t="str">
        <x:f>IF(AND(L$6&lt;=$H20,L$6+6&gt;=$G20),1,"")</x:f>
      </x:c>
      <x:c r="M20" s="167" t="str">
        <x:f>IF(AND(M$6&lt;=$H20,M$6+6&gt;=$G20),1,"")</x:f>
      </x:c>
      <x:c r="N20" s="167" t="n">
        <x:f>IF(AND(N$6&lt;=$H20,N$6+6&gt;=$G20),1,"")</x:f>
        <x:v>1</x:v>
      </x:c>
      <x:c r="O20" s="167" t="str">
        <x:f>IF(AND(O$6&lt;=$H20,O$6+6&gt;=$G20),1,"")</x:f>
      </x:c>
      <x:c r="P20" s="167" t="str">
        <x:f>IF(AND(P$6&lt;=$H20,P$6+6&gt;=$G20),1,"")</x:f>
      </x:c>
      <x:c r="Q20" s="167" t="str">
        <x:f>IF(AND(Q$6&lt;=$H20,Q$6+6&gt;=$G20),1,"")</x:f>
      </x:c>
      <x:c r="R20" s="167" t="str">
        <x:f>IF(AND(R$6&lt;=$H20,R$6+6&gt;=$G20),1,"")</x:f>
      </x:c>
      <x:c r="S20" s="167" t="str">
        <x:f>IF(AND(S$6&lt;=$H20,S$6+6&gt;=$G20),1,"")</x:f>
      </x:c>
      <x:c r="T20" s="167" t="str">
        <x:f>IF(AND(T$6&lt;=$H20,T$6+6&gt;=$G20),1,"")</x:f>
      </x:c>
      <x:c r="U20" s="167" t="str">
        <x:f>IF(AND(U$6&lt;=$H20,U$6+6&gt;=$G20),1,"")</x:f>
      </x:c>
      <x:c r="V20" s="167" t="str">
        <x:f>IF(AND(V$6&lt;=$H20,V$6+6&gt;=$G20),1,"")</x:f>
      </x:c>
      <x:c r="W20" s="167" t="str">
        <x:f>IF(AND(W$6&lt;=$H20,W$6+6&gt;=$G20),1,"")</x:f>
      </x:c>
      <x:c r="X20" s="167" t="str">
        <x:f>IF(AND(X$6&lt;=$H20,X$6+6&gt;=$G20),1,"")</x:f>
      </x:c>
      <x:c r="Y20" s="167" t="str">
        <x:f>IF(AND(Y$6&lt;=$H20,Y$6+6&gt;=$G20),1,"")</x:f>
      </x:c>
      <x:c r="Z20" s="167" t="str">
        <x:f>IF(AND(Z$6&lt;=$H20,Z$6+6&gt;=$G20),1,"")</x:f>
      </x:c>
      <x:c r="AA20" s="167" t="str">
        <x:f>IF(AND(AA$6&lt;=$H20,AA$6+6&gt;=$G20),1,"")</x:f>
      </x:c>
      <x:c r="AB20" s="167" t="str">
        <x:f>IF(AND(AB$6&lt;=$H20,AB$6+6&gt;=$G20),1,"")</x:f>
      </x:c>
      <x:c r="AC20" s="167" t="str">
        <x:f>IF(AND(AC$6&lt;=$H20,AC$6+6&gt;=$G20),1,"")</x:f>
      </x:c>
      <x:c r="AD20" s="167" t="str">
        <x:f>IF(AND(AD$6&lt;=$H20,AD$6+6&gt;=$G20),1,"")</x:f>
      </x:c>
      <x:c r="AE20" s="167" t="str">
        <x:f>IF(AND(AE$6&lt;=$H20,AE$6+6&gt;=$G20),1,"")</x:f>
      </x:c>
      <x:c r="AF20" s="167" t="str">
        <x:f>IF(AND(AF$6&lt;=$H20,AF$6+6&gt;=$G20),1,"")</x:f>
      </x:c>
      <x:c r="AG20" s="167" t="str">
        <x:f>IF(AND(AG$6&lt;=$H20,AG$6+6&gt;=$G20),1,"")</x:f>
      </x:c>
      <x:c r="AH20" s="167" t="str">
        <x:f>IF(AND(AH$6&lt;=$H20,AH$6+6&gt;=$G20),1,"")</x:f>
      </x:c>
      <x:c r="AI20" s="167" t="str">
        <x:f>IF(AND(AI$6&lt;=$H20,AI$6+6&gt;=$G20),1,"")</x:f>
      </x:c>
      <x:c r="AJ20" s="167" t="str">
        <x:f>IF(AND(AJ$6&lt;=$H20,AJ$6+6&gt;=$G20),1,"")</x:f>
      </x:c>
      <x:c r="AK20" s="167" t="str">
        <x:f>IF(AND(AK$6&lt;=$H20,AK$6+6&gt;=$G20),1,"")</x:f>
      </x:c>
      <x:c r="AL20" s="167" t="str">
        <x:f>IF(AND(AL$6&lt;=$H20,AL$6+6&gt;=$G20),1,"")</x:f>
      </x:c>
      <x:c r="AM20" s="167" t="str">
        <x:f>IF(AND(AM$6&lt;=$H20,AM$6+6&gt;=$G20),1,"")</x:f>
      </x:c>
      <x:c r="AN20" s="167" t="str">
        <x:f>IF(AND(AN$6&lt;=$H20,AN$6+6&gt;=$G20),1,"")</x:f>
      </x:c>
      <x:c r="AO20" s="167" t="str">
        <x:f>IF(AND(AO$6&lt;=$H20,AO$6+6&gt;=$G20),1,"")</x:f>
      </x:c>
      <x:c r="AP20" s="167" t="str">
        <x:f>IF(AND(AP$6&lt;=$H20,AP$6+6&gt;=$G20),1,"")</x:f>
      </x:c>
      <x:c r="AQ20" s="167" t="str">
        <x:f>IF(AND(AQ$6&lt;=$H20,AQ$6+6&gt;=$G20),1,"")</x:f>
      </x:c>
      <x:c r="AR20" s="167" t="str">
        <x:f>IF(AND(AR$6&lt;=$H20,AR$6+6&gt;=$G20),1,"")</x:f>
      </x:c>
      <x:c r="AS20" s="167" t="str">
        <x:f>IF(AND(AS$6&lt;=$H20,AS$6+6&gt;=$G20),1,"")</x:f>
      </x:c>
      <x:c r="AT20" s="167" t="str">
        <x:f>IF(AND(AT$6&lt;=$H20,AT$6+6&gt;=$G20),1,"")</x:f>
      </x:c>
      <x:c r="AU20" s="167" t="str">
        <x:f>IF(AND(AU$6&lt;=$H20,AU$6+6&gt;=$G20),1,"")</x:f>
      </x:c>
      <x:c r="AV20" s="167" t="str">
        <x:f>IF(AND(AV$6&lt;=$H20,AV$6+6&gt;=$G20),1,"")</x:f>
      </x:c>
      <x:c r="AW20" s="167" t="str">
        <x:f>IF(AND(AW$6&lt;=$H20,AW$6+6&gt;=$G20),1,"")</x:f>
      </x:c>
      <x:c r="AX20" s="167" t="str">
        <x:f>IF(AND(AX$6&lt;=$H20,AX$6+6&gt;=$G20),1,"")</x:f>
      </x:c>
      <x:c r="AY20" s="168" t="str">
        <x:f>IF(AND(AY$6&lt;=$H20,AY$6+6&gt;=$G20),1,"")</x:f>
      </x:c>
    </x:row>
    <x:row r="21" ht="24" customHeight="1">
      <x:c r="A21" s="68" t="str">
        <x:f>'Hardware Tasks'!A19</x:f>
        <x:v>T-601</x:v>
      </x:c>
      <x:c r="B21" s="68" t="str">
        <x:f>'Hardware Tasks'!B19</x:f>
        <x:v>M6</x:v>
      </x:c>
      <x:c r="C21" s="68" t="str">
        <x:f>'Hardware Tasks'!C19</x:f>
        <x:v>CAD/Research Ops</x:v>
      </x:c>
      <x:c r="D21" s="68" t="str">
        <x:f>'Hardware Tasks'!D19</x:f>
        <x:v>Define CAD traceability and revision policy</x:v>
      </x:c>
      <x:c r="E21" s="68" t="str">
        <x:f>'Hardware Tasks'!E19</x:f>
        <x:v>T-501, T-504, T-505</x:v>
      </x:c>
      <x:c r="F21" s="68" t="str">
        <x:f>'Hardware Tasks'!F19</x:f>
        <x:v>Blocked</x:v>
      </x:c>
      <x:c r="G21" s="94" t="n">
        <x:f>'Hardware Tasks'!I19</x:f>
        <x:v>46328</x:v>
      </x:c>
      <x:c r="H21" s="94" t="n">
        <x:f>'Hardware Tasks'!J19</x:f>
        <x:v>46328</x:v>
      </x:c>
      <x:c r="I21" s="166" t="str">
        <x:f>IF(AND(I$6&lt;=$H21,I$6+6&gt;=$G21),1,"")</x:f>
      </x:c>
      <x:c r="J21" s="167" t="str">
        <x:f>IF(AND(J$6&lt;=$H21,J$6+6&gt;=$G21),1,"")</x:f>
      </x:c>
      <x:c r="K21" s="167" t="str">
        <x:f>IF(AND(K$6&lt;=$H21,K$6+6&gt;=$G21),1,"")</x:f>
      </x:c>
      <x:c r="L21" s="167" t="str">
        <x:f>IF(AND(L$6&lt;=$H21,L$6+6&gt;=$G21),1,"")</x:f>
      </x:c>
      <x:c r="M21" s="167" t="str">
        <x:f>IF(AND(M$6&lt;=$H21,M$6+6&gt;=$G21),1,"")</x:f>
      </x:c>
      <x:c r="N21" s="167" t="str">
        <x:f>IF(AND(N$6&lt;=$H21,N$6+6&gt;=$G21),1,"")</x:f>
      </x:c>
      <x:c r="O21" s="167" t="str">
        <x:f>IF(AND(O$6&lt;=$H21,O$6+6&gt;=$G21),1,"")</x:f>
      </x:c>
      <x:c r="P21" s="167" t="n">
        <x:f>IF(AND(P$6&lt;=$H21,P$6+6&gt;=$G21),1,"")</x:f>
        <x:v>1</x:v>
      </x:c>
      <x:c r="Q21" s="167" t="str">
        <x:f>IF(AND(Q$6&lt;=$H21,Q$6+6&gt;=$G21),1,"")</x:f>
      </x:c>
      <x:c r="R21" s="167" t="str">
        <x:f>IF(AND(R$6&lt;=$H21,R$6+6&gt;=$G21),1,"")</x:f>
      </x:c>
      <x:c r="S21" s="167" t="str">
        <x:f>IF(AND(S$6&lt;=$H21,S$6+6&gt;=$G21),1,"")</x:f>
      </x:c>
      <x:c r="T21" s="167" t="str">
        <x:f>IF(AND(T$6&lt;=$H21,T$6+6&gt;=$G21),1,"")</x:f>
      </x:c>
      <x:c r="U21" s="167" t="str">
        <x:f>IF(AND(U$6&lt;=$H21,U$6+6&gt;=$G21),1,"")</x:f>
      </x:c>
      <x:c r="V21" s="167" t="str">
        <x:f>IF(AND(V$6&lt;=$H21,V$6+6&gt;=$G21),1,"")</x:f>
      </x:c>
      <x:c r="W21" s="167" t="str">
        <x:f>IF(AND(W$6&lt;=$H21,W$6+6&gt;=$G21),1,"")</x:f>
      </x:c>
      <x:c r="X21" s="167" t="str">
        <x:f>IF(AND(X$6&lt;=$H21,X$6+6&gt;=$G21),1,"")</x:f>
      </x:c>
      <x:c r="Y21" s="167" t="str">
        <x:f>IF(AND(Y$6&lt;=$H21,Y$6+6&gt;=$G21),1,"")</x:f>
      </x:c>
      <x:c r="Z21" s="167" t="str">
        <x:f>IF(AND(Z$6&lt;=$H21,Z$6+6&gt;=$G21),1,"")</x:f>
      </x:c>
      <x:c r="AA21" s="167" t="str">
        <x:f>IF(AND(AA$6&lt;=$H21,AA$6+6&gt;=$G21),1,"")</x:f>
      </x:c>
      <x:c r="AB21" s="167" t="str">
        <x:f>IF(AND(AB$6&lt;=$H21,AB$6+6&gt;=$G21),1,"")</x:f>
      </x:c>
      <x:c r="AC21" s="167" t="str">
        <x:f>IF(AND(AC$6&lt;=$H21,AC$6+6&gt;=$G21),1,"")</x:f>
      </x:c>
      <x:c r="AD21" s="167" t="str">
        <x:f>IF(AND(AD$6&lt;=$H21,AD$6+6&gt;=$G21),1,"")</x:f>
      </x:c>
      <x:c r="AE21" s="167" t="str">
        <x:f>IF(AND(AE$6&lt;=$H21,AE$6+6&gt;=$G21),1,"")</x:f>
      </x:c>
      <x:c r="AF21" s="167" t="str">
        <x:f>IF(AND(AF$6&lt;=$H21,AF$6+6&gt;=$G21),1,"")</x:f>
      </x:c>
      <x:c r="AG21" s="167" t="str">
        <x:f>IF(AND(AG$6&lt;=$H21,AG$6+6&gt;=$G21),1,"")</x:f>
      </x:c>
      <x:c r="AH21" s="167" t="str">
        <x:f>IF(AND(AH$6&lt;=$H21,AH$6+6&gt;=$G21),1,"")</x:f>
      </x:c>
      <x:c r="AI21" s="167" t="str">
        <x:f>IF(AND(AI$6&lt;=$H21,AI$6+6&gt;=$G21),1,"")</x:f>
      </x:c>
      <x:c r="AJ21" s="167" t="str">
        <x:f>IF(AND(AJ$6&lt;=$H21,AJ$6+6&gt;=$G21),1,"")</x:f>
      </x:c>
      <x:c r="AK21" s="167" t="str">
        <x:f>IF(AND(AK$6&lt;=$H21,AK$6+6&gt;=$G21),1,"")</x:f>
      </x:c>
      <x:c r="AL21" s="167" t="str">
        <x:f>IF(AND(AL$6&lt;=$H21,AL$6+6&gt;=$G21),1,"")</x:f>
      </x:c>
      <x:c r="AM21" s="167" t="str">
        <x:f>IF(AND(AM$6&lt;=$H21,AM$6+6&gt;=$G21),1,"")</x:f>
      </x:c>
      <x:c r="AN21" s="167" t="str">
        <x:f>IF(AND(AN$6&lt;=$H21,AN$6+6&gt;=$G21),1,"")</x:f>
      </x:c>
      <x:c r="AO21" s="167" t="str">
        <x:f>IF(AND(AO$6&lt;=$H21,AO$6+6&gt;=$G21),1,"")</x:f>
      </x:c>
      <x:c r="AP21" s="167" t="str">
        <x:f>IF(AND(AP$6&lt;=$H21,AP$6+6&gt;=$G21),1,"")</x:f>
      </x:c>
      <x:c r="AQ21" s="167" t="str">
        <x:f>IF(AND(AQ$6&lt;=$H21,AQ$6+6&gt;=$G21),1,"")</x:f>
      </x:c>
      <x:c r="AR21" s="167" t="str">
        <x:f>IF(AND(AR$6&lt;=$H21,AR$6+6&gt;=$G21),1,"")</x:f>
      </x:c>
      <x:c r="AS21" s="167" t="str">
        <x:f>IF(AND(AS$6&lt;=$H21,AS$6+6&gt;=$G21),1,"")</x:f>
      </x:c>
      <x:c r="AT21" s="167" t="str">
        <x:f>IF(AND(AT$6&lt;=$H21,AT$6+6&gt;=$G21),1,"")</x:f>
      </x:c>
      <x:c r="AU21" s="167" t="str">
        <x:f>IF(AND(AU$6&lt;=$H21,AU$6+6&gt;=$G21),1,"")</x:f>
      </x:c>
      <x:c r="AV21" s="167" t="str">
        <x:f>IF(AND(AV$6&lt;=$H21,AV$6+6&gt;=$G21),1,"")</x:f>
      </x:c>
      <x:c r="AW21" s="167" t="str">
        <x:f>IF(AND(AW$6&lt;=$H21,AW$6+6&gt;=$G21),1,"")</x:f>
      </x:c>
      <x:c r="AX21" s="167" t="str">
        <x:f>IF(AND(AX$6&lt;=$H21,AX$6+6&gt;=$G21),1,"")</x:f>
      </x:c>
      <x:c r="AY21" s="168" t="str">
        <x:f>IF(AND(AY$6&lt;=$H21,AY$6+6&gt;=$G21),1,"")</x:f>
      </x:c>
    </x:row>
    <x:row r="22" ht="24" customHeight="1">
      <x:c r="A22" s="68" t="str">
        <x:f>'Hardware Tasks'!A20</x:f>
        <x:v>T-602</x:v>
      </x:c>
      <x:c r="B22" s="68" t="str">
        <x:f>'Hardware Tasks'!B20</x:f>
        <x:v>M6</x:v>
      </x:c>
      <x:c r="C22" s="68" t="str">
        <x:f>'Hardware Tasks'!C20</x:f>
        <x:v>CAD/Geometry</x:v>
      </x:c>
      <x:c r="D22" s="68" t="str">
        <x:f>'Hardware Tasks'!D20</x:f>
        <x:v>Build the parametric CAD skeleton and frame map</x:v>
      </x:c>
      <x:c r="E22" s="68" t="str">
        <x:f>'Hardware Tasks'!E20</x:f>
        <x:v>T-502, T-505, T-601</x:v>
      </x:c>
      <x:c r="F22" s="68" t="str">
        <x:f>'Hardware Tasks'!F20</x:f>
        <x:v>Blocked</x:v>
      </x:c>
      <x:c r="G22" s="94" t="n">
        <x:f>'Hardware Tasks'!I20</x:f>
        <x:v>46329</x:v>
      </x:c>
      <x:c r="H22" s="94" t="n">
        <x:f>'Hardware Tasks'!J20</x:f>
        <x:v>46332</x:v>
      </x:c>
      <x:c r="I22" s="166" t="str">
        <x:f>IF(AND(I$6&lt;=$H22,I$6+6&gt;=$G22),1,"")</x:f>
      </x:c>
      <x:c r="J22" s="167" t="str">
        <x:f>IF(AND(J$6&lt;=$H22,J$6+6&gt;=$G22),1,"")</x:f>
      </x:c>
      <x:c r="K22" s="167" t="str">
        <x:f>IF(AND(K$6&lt;=$H22,K$6+6&gt;=$G22),1,"")</x:f>
      </x:c>
      <x:c r="L22" s="167" t="str">
        <x:f>IF(AND(L$6&lt;=$H22,L$6+6&gt;=$G22),1,"")</x:f>
      </x:c>
      <x:c r="M22" s="167" t="str">
        <x:f>IF(AND(M$6&lt;=$H22,M$6+6&gt;=$G22),1,"")</x:f>
      </x:c>
      <x:c r="N22" s="167" t="str">
        <x:f>IF(AND(N$6&lt;=$H22,N$6+6&gt;=$G22),1,"")</x:f>
      </x:c>
      <x:c r="O22" s="167" t="str">
        <x:f>IF(AND(O$6&lt;=$H22,O$6+6&gt;=$G22),1,"")</x:f>
      </x:c>
      <x:c r="P22" s="167" t="n">
        <x:f>IF(AND(P$6&lt;=$H22,P$6+6&gt;=$G22),1,"")</x:f>
        <x:v>1</x:v>
      </x:c>
      <x:c r="Q22" s="167" t="str">
        <x:f>IF(AND(Q$6&lt;=$H22,Q$6+6&gt;=$G22),1,"")</x:f>
      </x:c>
      <x:c r="R22" s="167" t="str">
        <x:f>IF(AND(R$6&lt;=$H22,R$6+6&gt;=$G22),1,"")</x:f>
      </x:c>
      <x:c r="S22" s="167" t="str">
        <x:f>IF(AND(S$6&lt;=$H22,S$6+6&gt;=$G22),1,"")</x:f>
      </x:c>
      <x:c r="T22" s="167" t="str">
        <x:f>IF(AND(T$6&lt;=$H22,T$6+6&gt;=$G22),1,"")</x:f>
      </x:c>
      <x:c r="U22" s="167" t="str">
        <x:f>IF(AND(U$6&lt;=$H22,U$6+6&gt;=$G22),1,"")</x:f>
      </x:c>
      <x:c r="V22" s="167" t="str">
        <x:f>IF(AND(V$6&lt;=$H22,V$6+6&gt;=$G22),1,"")</x:f>
      </x:c>
      <x:c r="W22" s="167" t="str">
        <x:f>IF(AND(W$6&lt;=$H22,W$6+6&gt;=$G22),1,"")</x:f>
      </x:c>
      <x:c r="X22" s="167" t="str">
        <x:f>IF(AND(X$6&lt;=$H22,X$6+6&gt;=$G22),1,"")</x:f>
      </x:c>
      <x:c r="Y22" s="167" t="str">
        <x:f>IF(AND(Y$6&lt;=$H22,Y$6+6&gt;=$G22),1,"")</x:f>
      </x:c>
      <x:c r="Z22" s="167" t="str">
        <x:f>IF(AND(Z$6&lt;=$H22,Z$6+6&gt;=$G22),1,"")</x:f>
      </x:c>
      <x:c r="AA22" s="167" t="str">
        <x:f>IF(AND(AA$6&lt;=$H22,AA$6+6&gt;=$G22),1,"")</x:f>
      </x:c>
      <x:c r="AB22" s="167" t="str">
        <x:f>IF(AND(AB$6&lt;=$H22,AB$6+6&gt;=$G22),1,"")</x:f>
      </x:c>
      <x:c r="AC22" s="167" t="str">
        <x:f>IF(AND(AC$6&lt;=$H22,AC$6+6&gt;=$G22),1,"")</x:f>
      </x:c>
      <x:c r="AD22" s="167" t="str">
        <x:f>IF(AND(AD$6&lt;=$H22,AD$6+6&gt;=$G22),1,"")</x:f>
      </x:c>
      <x:c r="AE22" s="167" t="str">
        <x:f>IF(AND(AE$6&lt;=$H22,AE$6+6&gt;=$G22),1,"")</x:f>
      </x:c>
      <x:c r="AF22" s="167" t="str">
        <x:f>IF(AND(AF$6&lt;=$H22,AF$6+6&gt;=$G22),1,"")</x:f>
      </x:c>
      <x:c r="AG22" s="167" t="str">
        <x:f>IF(AND(AG$6&lt;=$H22,AG$6+6&gt;=$G22),1,"")</x:f>
      </x:c>
      <x:c r="AH22" s="167" t="str">
        <x:f>IF(AND(AH$6&lt;=$H22,AH$6+6&gt;=$G22),1,"")</x:f>
      </x:c>
      <x:c r="AI22" s="167" t="str">
        <x:f>IF(AND(AI$6&lt;=$H22,AI$6+6&gt;=$G22),1,"")</x:f>
      </x:c>
      <x:c r="AJ22" s="167" t="str">
        <x:f>IF(AND(AJ$6&lt;=$H22,AJ$6+6&gt;=$G22),1,"")</x:f>
      </x:c>
      <x:c r="AK22" s="167" t="str">
        <x:f>IF(AND(AK$6&lt;=$H22,AK$6+6&gt;=$G22),1,"")</x:f>
      </x:c>
      <x:c r="AL22" s="167" t="str">
        <x:f>IF(AND(AL$6&lt;=$H22,AL$6+6&gt;=$G22),1,"")</x:f>
      </x:c>
      <x:c r="AM22" s="167" t="str">
        <x:f>IF(AND(AM$6&lt;=$H22,AM$6+6&gt;=$G22),1,"")</x:f>
      </x:c>
      <x:c r="AN22" s="167" t="str">
        <x:f>IF(AND(AN$6&lt;=$H22,AN$6+6&gt;=$G22),1,"")</x:f>
      </x:c>
      <x:c r="AO22" s="167" t="str">
        <x:f>IF(AND(AO$6&lt;=$H22,AO$6+6&gt;=$G22),1,"")</x:f>
      </x:c>
      <x:c r="AP22" s="167" t="str">
        <x:f>IF(AND(AP$6&lt;=$H22,AP$6+6&gt;=$G22),1,"")</x:f>
      </x:c>
      <x:c r="AQ22" s="167" t="str">
        <x:f>IF(AND(AQ$6&lt;=$H22,AQ$6+6&gt;=$G22),1,"")</x:f>
      </x:c>
      <x:c r="AR22" s="167" t="str">
        <x:f>IF(AND(AR$6&lt;=$H22,AR$6+6&gt;=$G22),1,"")</x:f>
      </x:c>
      <x:c r="AS22" s="167" t="str">
        <x:f>IF(AND(AS$6&lt;=$H22,AS$6+6&gt;=$G22),1,"")</x:f>
      </x:c>
      <x:c r="AT22" s="167" t="str">
        <x:f>IF(AND(AT$6&lt;=$H22,AT$6+6&gt;=$G22),1,"")</x:f>
      </x:c>
      <x:c r="AU22" s="167" t="str">
        <x:f>IF(AND(AU$6&lt;=$H22,AU$6+6&gt;=$G22),1,"")</x:f>
      </x:c>
      <x:c r="AV22" s="167" t="str">
        <x:f>IF(AND(AV$6&lt;=$H22,AV$6+6&gt;=$G22),1,"")</x:f>
      </x:c>
      <x:c r="AW22" s="167" t="str">
        <x:f>IF(AND(AW$6&lt;=$H22,AW$6+6&gt;=$G22),1,"")</x:f>
      </x:c>
      <x:c r="AX22" s="167" t="str">
        <x:f>IF(AND(AX$6&lt;=$H22,AX$6+6&gt;=$G22),1,"")</x:f>
      </x:c>
      <x:c r="AY22" s="168" t="str">
        <x:f>IF(AND(AY$6&lt;=$H22,AY$6+6&gt;=$G22),1,"")</x:f>
      </x:c>
    </x:row>
    <x:row r="23" ht="24" customHeight="1">
      <x:c r="A23" s="68" t="str">
        <x:f>'Hardware Tasks'!A21</x:f>
        <x:v>T-603</x:v>
      </x:c>
      <x:c r="B23" s="68" t="str">
        <x:f>'Hardware Tasks'!B21</x:f>
        <x:v>M6</x:v>
      </x:c>
      <x:c r="C23" s="68" t="str">
        <x:f>'Hardware Tasks'!C21</x:f>
        <x:v>Mechanical Analysis</x:v>
      </x:c>
      <x:c r="D23" s="68" t="str">
        <x:f>'Hardware Tasks'!D21</x:f>
        <x:v>Analyze structural load paths and stiffness</x:v>
      </x:c>
      <x:c r="E23" s="68" t="str">
        <x:f>'Hardware Tasks'!E21</x:f>
        <x:v>T-508, T-602</x:v>
      </x:c>
      <x:c r="F23" s="68" t="str">
        <x:f>'Hardware Tasks'!F21</x:f>
        <x:v>Blocked</x:v>
      </x:c>
      <x:c r="G23" s="94" t="n">
        <x:f>'Hardware Tasks'!I21</x:f>
        <x:v>46335</x:v>
      </x:c>
      <x:c r="H23" s="94" t="n">
        <x:f>'Hardware Tasks'!J21</x:f>
        <x:v>46338</x:v>
      </x:c>
      <x:c r="I23" s="166" t="str">
        <x:f>IF(AND(I$6&lt;=$H23,I$6+6&gt;=$G23),1,"")</x:f>
      </x:c>
      <x:c r="J23" s="167" t="str">
        <x:f>IF(AND(J$6&lt;=$H23,J$6+6&gt;=$G23),1,"")</x:f>
      </x:c>
      <x:c r="K23" s="167" t="str">
        <x:f>IF(AND(K$6&lt;=$H23,K$6+6&gt;=$G23),1,"")</x:f>
      </x:c>
      <x:c r="L23" s="167" t="str">
        <x:f>IF(AND(L$6&lt;=$H23,L$6+6&gt;=$G23),1,"")</x:f>
      </x:c>
      <x:c r="M23" s="167" t="str">
        <x:f>IF(AND(M$6&lt;=$H23,M$6+6&gt;=$G23),1,"")</x:f>
      </x:c>
      <x:c r="N23" s="167" t="str">
        <x:f>IF(AND(N$6&lt;=$H23,N$6+6&gt;=$G23),1,"")</x:f>
      </x:c>
      <x:c r="O23" s="167" t="str">
        <x:f>IF(AND(O$6&lt;=$H23,O$6+6&gt;=$G23),1,"")</x:f>
      </x:c>
      <x:c r="P23" s="167" t="str">
        <x:f>IF(AND(P$6&lt;=$H23,P$6+6&gt;=$G23),1,"")</x:f>
      </x:c>
      <x:c r="Q23" s="167" t="n">
        <x:f>IF(AND(Q$6&lt;=$H23,Q$6+6&gt;=$G23),1,"")</x:f>
        <x:v>1</x:v>
      </x:c>
      <x:c r="R23" s="167" t="str">
        <x:f>IF(AND(R$6&lt;=$H23,R$6+6&gt;=$G23),1,"")</x:f>
      </x:c>
      <x:c r="S23" s="167" t="str">
        <x:f>IF(AND(S$6&lt;=$H23,S$6+6&gt;=$G23),1,"")</x:f>
      </x:c>
      <x:c r="T23" s="167" t="str">
        <x:f>IF(AND(T$6&lt;=$H23,T$6+6&gt;=$G23),1,"")</x:f>
      </x:c>
      <x:c r="U23" s="167" t="str">
        <x:f>IF(AND(U$6&lt;=$H23,U$6+6&gt;=$G23),1,"")</x:f>
      </x:c>
      <x:c r="V23" s="167" t="str">
        <x:f>IF(AND(V$6&lt;=$H23,V$6+6&gt;=$G23),1,"")</x:f>
      </x:c>
      <x:c r="W23" s="167" t="str">
        <x:f>IF(AND(W$6&lt;=$H23,W$6+6&gt;=$G23),1,"")</x:f>
      </x:c>
      <x:c r="X23" s="167" t="str">
        <x:f>IF(AND(X$6&lt;=$H23,X$6+6&gt;=$G23),1,"")</x:f>
      </x:c>
      <x:c r="Y23" s="167" t="str">
        <x:f>IF(AND(Y$6&lt;=$H23,Y$6+6&gt;=$G23),1,"")</x:f>
      </x:c>
      <x:c r="Z23" s="167" t="str">
        <x:f>IF(AND(Z$6&lt;=$H23,Z$6+6&gt;=$G23),1,"")</x:f>
      </x:c>
      <x:c r="AA23" s="167" t="str">
        <x:f>IF(AND(AA$6&lt;=$H23,AA$6+6&gt;=$G23),1,"")</x:f>
      </x:c>
      <x:c r="AB23" s="167" t="str">
        <x:f>IF(AND(AB$6&lt;=$H23,AB$6+6&gt;=$G23),1,"")</x:f>
      </x:c>
      <x:c r="AC23" s="167" t="str">
        <x:f>IF(AND(AC$6&lt;=$H23,AC$6+6&gt;=$G23),1,"")</x:f>
      </x:c>
      <x:c r="AD23" s="167" t="str">
        <x:f>IF(AND(AD$6&lt;=$H23,AD$6+6&gt;=$G23),1,"")</x:f>
      </x:c>
      <x:c r="AE23" s="167" t="str">
        <x:f>IF(AND(AE$6&lt;=$H23,AE$6+6&gt;=$G23),1,"")</x:f>
      </x:c>
      <x:c r="AF23" s="167" t="str">
        <x:f>IF(AND(AF$6&lt;=$H23,AF$6+6&gt;=$G23),1,"")</x:f>
      </x:c>
      <x:c r="AG23" s="167" t="str">
        <x:f>IF(AND(AG$6&lt;=$H23,AG$6+6&gt;=$G23),1,"")</x:f>
      </x:c>
      <x:c r="AH23" s="167" t="str">
        <x:f>IF(AND(AH$6&lt;=$H23,AH$6+6&gt;=$G23),1,"")</x:f>
      </x:c>
      <x:c r="AI23" s="167" t="str">
        <x:f>IF(AND(AI$6&lt;=$H23,AI$6+6&gt;=$G23),1,"")</x:f>
      </x:c>
      <x:c r="AJ23" s="167" t="str">
        <x:f>IF(AND(AJ$6&lt;=$H23,AJ$6+6&gt;=$G23),1,"")</x:f>
      </x:c>
      <x:c r="AK23" s="167" t="str">
        <x:f>IF(AND(AK$6&lt;=$H23,AK$6+6&gt;=$G23),1,"")</x:f>
      </x:c>
      <x:c r="AL23" s="167" t="str">
        <x:f>IF(AND(AL$6&lt;=$H23,AL$6+6&gt;=$G23),1,"")</x:f>
      </x:c>
      <x:c r="AM23" s="167" t="str">
        <x:f>IF(AND(AM$6&lt;=$H23,AM$6+6&gt;=$G23),1,"")</x:f>
      </x:c>
      <x:c r="AN23" s="167" t="str">
        <x:f>IF(AND(AN$6&lt;=$H23,AN$6+6&gt;=$G23),1,"")</x:f>
      </x:c>
      <x:c r="AO23" s="167" t="str">
        <x:f>IF(AND(AO$6&lt;=$H23,AO$6+6&gt;=$G23),1,"")</x:f>
      </x:c>
      <x:c r="AP23" s="167" t="str">
        <x:f>IF(AND(AP$6&lt;=$H23,AP$6+6&gt;=$G23),1,"")</x:f>
      </x:c>
      <x:c r="AQ23" s="167" t="str">
        <x:f>IF(AND(AQ$6&lt;=$H23,AQ$6+6&gt;=$G23),1,"")</x:f>
      </x:c>
      <x:c r="AR23" s="167" t="str">
        <x:f>IF(AND(AR$6&lt;=$H23,AR$6+6&gt;=$G23),1,"")</x:f>
      </x:c>
      <x:c r="AS23" s="167" t="str">
        <x:f>IF(AND(AS$6&lt;=$H23,AS$6+6&gt;=$G23),1,"")</x:f>
      </x:c>
      <x:c r="AT23" s="167" t="str">
        <x:f>IF(AND(AT$6&lt;=$H23,AT$6+6&gt;=$G23),1,"")</x:f>
      </x:c>
      <x:c r="AU23" s="167" t="str">
        <x:f>IF(AND(AU$6&lt;=$H23,AU$6+6&gt;=$G23),1,"")</x:f>
      </x:c>
      <x:c r="AV23" s="167" t="str">
        <x:f>IF(AND(AV$6&lt;=$H23,AV$6+6&gt;=$G23),1,"")</x:f>
      </x:c>
      <x:c r="AW23" s="167" t="str">
        <x:f>IF(AND(AW$6&lt;=$H23,AW$6+6&gt;=$G23),1,"")</x:f>
      </x:c>
      <x:c r="AX23" s="167" t="str">
        <x:f>IF(AND(AX$6&lt;=$H23,AX$6+6&gt;=$G23),1,"")</x:f>
      </x:c>
      <x:c r="AY23" s="168" t="str">
        <x:f>IF(AND(AY$6&lt;=$H23,AY$6+6&gt;=$G23),1,"")</x:f>
      </x:c>
    </x:row>
    <x:row r="24" ht="24" customHeight="1">
      <x:c r="A24" s="68" t="str">
        <x:f>'Hardware Tasks'!A22</x:f>
        <x:v>T-604</x:v>
      </x:c>
      <x:c r="B24" s="68" t="str">
        <x:f>'Hardware Tasks'!B22</x:f>
        <x:v>M6</x:v>
      </x:c>
      <x:c r="C24" s="68" t="str">
        <x:f>'Hardware Tasks'!C22</x:f>
        <x:v>Mechanical/Actuation</x:v>
      </x:c>
      <x:c r="D24" s="68" t="str">
        <x:f>'Hardware Tasks'!D22</x:f>
        <x:v>Design modular joint and transmission concepts</x:v>
      </x:c>
      <x:c r="E24" s="68" t="str">
        <x:f>'Hardware Tasks'!E22</x:f>
        <x:v>T-507, T-603</x:v>
      </x:c>
      <x:c r="F24" s="68" t="str">
        <x:f>'Hardware Tasks'!F22</x:f>
        <x:v>Blocked</x:v>
      </x:c>
      <x:c r="G24" s="94" t="n">
        <x:f>'Hardware Tasks'!I22</x:f>
        <x:v>46339</x:v>
      </x:c>
      <x:c r="H24" s="94" t="n">
        <x:f>'Hardware Tasks'!J22</x:f>
        <x:v>46346</x:v>
      </x:c>
      <x:c r="I24" s="166" t="str">
        <x:f>IF(AND(I$6&lt;=$H24,I$6+6&gt;=$G24),1,"")</x:f>
      </x:c>
      <x:c r="J24" s="167" t="str">
        <x:f>IF(AND(J$6&lt;=$H24,J$6+6&gt;=$G24),1,"")</x:f>
      </x:c>
      <x:c r="K24" s="167" t="str">
        <x:f>IF(AND(K$6&lt;=$H24,K$6+6&gt;=$G24),1,"")</x:f>
      </x:c>
      <x:c r="L24" s="167" t="str">
        <x:f>IF(AND(L$6&lt;=$H24,L$6+6&gt;=$G24),1,"")</x:f>
      </x:c>
      <x:c r="M24" s="167" t="str">
        <x:f>IF(AND(M$6&lt;=$H24,M$6+6&gt;=$G24),1,"")</x:f>
      </x:c>
      <x:c r="N24" s="167" t="str">
        <x:f>IF(AND(N$6&lt;=$H24,N$6+6&gt;=$G24),1,"")</x:f>
      </x:c>
      <x:c r="O24" s="167" t="str">
        <x:f>IF(AND(O$6&lt;=$H24,O$6+6&gt;=$G24),1,"")</x:f>
      </x:c>
      <x:c r="P24" s="167" t="str">
        <x:f>IF(AND(P$6&lt;=$H24,P$6+6&gt;=$G24),1,"")</x:f>
      </x:c>
      <x:c r="Q24" s="167" t="n">
        <x:f>IF(AND(Q$6&lt;=$H24,Q$6+6&gt;=$G24),1,"")</x:f>
        <x:v>1</x:v>
      </x:c>
      <x:c r="R24" s="167" t="n">
        <x:f>IF(AND(R$6&lt;=$H24,R$6+6&gt;=$G24),1,"")</x:f>
        <x:v>1</x:v>
      </x:c>
      <x:c r="S24" s="167" t="str">
        <x:f>IF(AND(S$6&lt;=$H24,S$6+6&gt;=$G24),1,"")</x:f>
      </x:c>
      <x:c r="T24" s="167" t="str">
        <x:f>IF(AND(T$6&lt;=$H24,T$6+6&gt;=$G24),1,"")</x:f>
      </x:c>
      <x:c r="U24" s="167" t="str">
        <x:f>IF(AND(U$6&lt;=$H24,U$6+6&gt;=$G24),1,"")</x:f>
      </x:c>
      <x:c r="V24" s="167" t="str">
        <x:f>IF(AND(V$6&lt;=$H24,V$6+6&gt;=$G24),1,"")</x:f>
      </x:c>
      <x:c r="W24" s="167" t="str">
        <x:f>IF(AND(W$6&lt;=$H24,W$6+6&gt;=$G24),1,"")</x:f>
      </x:c>
      <x:c r="X24" s="167" t="str">
        <x:f>IF(AND(X$6&lt;=$H24,X$6+6&gt;=$G24),1,"")</x:f>
      </x:c>
      <x:c r="Y24" s="167" t="str">
        <x:f>IF(AND(Y$6&lt;=$H24,Y$6+6&gt;=$G24),1,"")</x:f>
      </x:c>
      <x:c r="Z24" s="167" t="str">
        <x:f>IF(AND(Z$6&lt;=$H24,Z$6+6&gt;=$G24),1,"")</x:f>
      </x:c>
      <x:c r="AA24" s="167" t="str">
        <x:f>IF(AND(AA$6&lt;=$H24,AA$6+6&gt;=$G24),1,"")</x:f>
      </x:c>
      <x:c r="AB24" s="167" t="str">
        <x:f>IF(AND(AB$6&lt;=$H24,AB$6+6&gt;=$G24),1,"")</x:f>
      </x:c>
      <x:c r="AC24" s="167" t="str">
        <x:f>IF(AND(AC$6&lt;=$H24,AC$6+6&gt;=$G24),1,"")</x:f>
      </x:c>
      <x:c r="AD24" s="167" t="str">
        <x:f>IF(AND(AD$6&lt;=$H24,AD$6+6&gt;=$G24),1,"")</x:f>
      </x:c>
      <x:c r="AE24" s="167" t="str">
        <x:f>IF(AND(AE$6&lt;=$H24,AE$6+6&gt;=$G24),1,"")</x:f>
      </x:c>
      <x:c r="AF24" s="167" t="str">
        <x:f>IF(AND(AF$6&lt;=$H24,AF$6+6&gt;=$G24),1,"")</x:f>
      </x:c>
      <x:c r="AG24" s="167" t="str">
        <x:f>IF(AND(AG$6&lt;=$H24,AG$6+6&gt;=$G24),1,"")</x:f>
      </x:c>
      <x:c r="AH24" s="167" t="str">
        <x:f>IF(AND(AH$6&lt;=$H24,AH$6+6&gt;=$G24),1,"")</x:f>
      </x:c>
      <x:c r="AI24" s="167" t="str">
        <x:f>IF(AND(AI$6&lt;=$H24,AI$6+6&gt;=$G24),1,"")</x:f>
      </x:c>
      <x:c r="AJ24" s="167" t="str">
        <x:f>IF(AND(AJ$6&lt;=$H24,AJ$6+6&gt;=$G24),1,"")</x:f>
      </x:c>
      <x:c r="AK24" s="167" t="str">
        <x:f>IF(AND(AK$6&lt;=$H24,AK$6+6&gt;=$G24),1,"")</x:f>
      </x:c>
      <x:c r="AL24" s="167" t="str">
        <x:f>IF(AND(AL$6&lt;=$H24,AL$6+6&gt;=$G24),1,"")</x:f>
      </x:c>
      <x:c r="AM24" s="167" t="str">
        <x:f>IF(AND(AM$6&lt;=$H24,AM$6+6&gt;=$G24),1,"")</x:f>
      </x:c>
      <x:c r="AN24" s="167" t="str">
        <x:f>IF(AND(AN$6&lt;=$H24,AN$6+6&gt;=$G24),1,"")</x:f>
      </x:c>
      <x:c r="AO24" s="167" t="str">
        <x:f>IF(AND(AO$6&lt;=$H24,AO$6+6&gt;=$G24),1,"")</x:f>
      </x:c>
      <x:c r="AP24" s="167" t="str">
        <x:f>IF(AND(AP$6&lt;=$H24,AP$6+6&gt;=$G24),1,"")</x:f>
      </x:c>
      <x:c r="AQ24" s="167" t="str">
        <x:f>IF(AND(AQ$6&lt;=$H24,AQ$6+6&gt;=$G24),1,"")</x:f>
      </x:c>
      <x:c r="AR24" s="167" t="str">
        <x:f>IF(AND(AR$6&lt;=$H24,AR$6+6&gt;=$G24),1,"")</x:f>
      </x:c>
      <x:c r="AS24" s="167" t="str">
        <x:f>IF(AND(AS$6&lt;=$H24,AS$6+6&gt;=$G24),1,"")</x:f>
      </x:c>
      <x:c r="AT24" s="167" t="str">
        <x:f>IF(AND(AT$6&lt;=$H24,AT$6+6&gt;=$G24),1,"")</x:f>
      </x:c>
      <x:c r="AU24" s="167" t="str">
        <x:f>IF(AND(AU$6&lt;=$H24,AU$6+6&gt;=$G24),1,"")</x:f>
      </x:c>
      <x:c r="AV24" s="167" t="str">
        <x:f>IF(AND(AV$6&lt;=$H24,AV$6+6&gt;=$G24),1,"")</x:f>
      </x:c>
      <x:c r="AW24" s="167" t="str">
        <x:f>IF(AND(AW$6&lt;=$H24,AW$6+6&gt;=$G24),1,"")</x:f>
      </x:c>
      <x:c r="AX24" s="167" t="str">
        <x:f>IF(AND(AX$6&lt;=$H24,AX$6+6&gt;=$G24),1,"")</x:f>
      </x:c>
      <x:c r="AY24" s="168" t="str">
        <x:f>IF(AND(AY$6&lt;=$H24,AY$6+6&gt;=$G24),1,"")</x:f>
      </x:c>
    </x:row>
    <x:row r="25" ht="24" customHeight="1">
      <x:c r="A25" s="68" t="str">
        <x:f>'Hardware Tasks'!A23</x:f>
        <x:v>T-605</x:v>
      </x:c>
      <x:c r="B25" s="68" t="str">
        <x:f>'Hardware Tasks'!B23</x:f>
        <x:v>M6</x:v>
      </x:c>
      <x:c r="C25" s="68" t="str">
        <x:f>'Hardware Tasks'!C23</x:f>
        <x:v>Mechatronics</x:v>
      </x:c>
      <x:c r="D25" s="68" t="str">
        <x:f>'Hardware Tasks'!D23</x:f>
        <x:v>Integrate actuators, encoders, and drivers mechanically</x:v>
      </x:c>
      <x:c r="E25" s="68" t="str">
        <x:f>'Hardware Tasks'!E23</x:f>
        <x:v>T-503, T-604</x:v>
      </x:c>
      <x:c r="F25" s="68" t="str">
        <x:f>'Hardware Tasks'!F23</x:f>
        <x:v>Blocked</x:v>
      </x:c>
      <x:c r="G25" s="94" t="n">
        <x:f>'Hardware Tasks'!I23</x:f>
        <x:v>46349</x:v>
      </x:c>
      <x:c r="H25" s="94" t="n">
        <x:f>'Hardware Tasks'!J23</x:f>
        <x:v>46352</x:v>
      </x:c>
      <x:c r="I25" s="166" t="str">
        <x:f>IF(AND(I$6&lt;=$H25,I$6+6&gt;=$G25),1,"")</x:f>
      </x:c>
      <x:c r="J25" s="167" t="str">
        <x:f>IF(AND(J$6&lt;=$H25,J$6+6&gt;=$G25),1,"")</x:f>
      </x:c>
      <x:c r="K25" s="167" t="str">
        <x:f>IF(AND(K$6&lt;=$H25,K$6+6&gt;=$G25),1,"")</x:f>
      </x:c>
      <x:c r="L25" s="167" t="str">
        <x:f>IF(AND(L$6&lt;=$H25,L$6+6&gt;=$G25),1,"")</x:f>
      </x:c>
      <x:c r="M25" s="167" t="str">
        <x:f>IF(AND(M$6&lt;=$H25,M$6+6&gt;=$G25),1,"")</x:f>
      </x:c>
      <x:c r="N25" s="167" t="str">
        <x:f>IF(AND(N$6&lt;=$H25,N$6+6&gt;=$G25),1,"")</x:f>
      </x:c>
      <x:c r="O25" s="167" t="str">
        <x:f>IF(AND(O$6&lt;=$H25,O$6+6&gt;=$G25),1,"")</x:f>
      </x:c>
      <x:c r="P25" s="167" t="str">
        <x:f>IF(AND(P$6&lt;=$H25,P$6+6&gt;=$G25),1,"")</x:f>
      </x:c>
      <x:c r="Q25" s="167" t="str">
        <x:f>IF(AND(Q$6&lt;=$H25,Q$6+6&gt;=$G25),1,"")</x:f>
      </x:c>
      <x:c r="R25" s="167" t="str">
        <x:f>IF(AND(R$6&lt;=$H25,R$6+6&gt;=$G25),1,"")</x:f>
      </x:c>
      <x:c r="S25" s="167" t="n">
        <x:f>IF(AND(S$6&lt;=$H25,S$6+6&gt;=$G25),1,"")</x:f>
        <x:v>1</x:v>
      </x:c>
      <x:c r="T25" s="167" t="str">
        <x:f>IF(AND(T$6&lt;=$H25,T$6+6&gt;=$G25),1,"")</x:f>
      </x:c>
      <x:c r="U25" s="167" t="str">
        <x:f>IF(AND(U$6&lt;=$H25,U$6+6&gt;=$G25),1,"")</x:f>
      </x:c>
      <x:c r="V25" s="167" t="str">
        <x:f>IF(AND(V$6&lt;=$H25,V$6+6&gt;=$G25),1,"")</x:f>
      </x:c>
      <x:c r="W25" s="167" t="str">
        <x:f>IF(AND(W$6&lt;=$H25,W$6+6&gt;=$G25),1,"")</x:f>
      </x:c>
      <x:c r="X25" s="167" t="str">
        <x:f>IF(AND(X$6&lt;=$H25,X$6+6&gt;=$G25),1,"")</x:f>
      </x:c>
      <x:c r="Y25" s="167" t="str">
        <x:f>IF(AND(Y$6&lt;=$H25,Y$6+6&gt;=$G25),1,"")</x:f>
      </x:c>
      <x:c r="Z25" s="167" t="str">
        <x:f>IF(AND(Z$6&lt;=$H25,Z$6+6&gt;=$G25),1,"")</x:f>
      </x:c>
      <x:c r="AA25" s="167" t="str">
        <x:f>IF(AND(AA$6&lt;=$H25,AA$6+6&gt;=$G25),1,"")</x:f>
      </x:c>
      <x:c r="AB25" s="167" t="str">
        <x:f>IF(AND(AB$6&lt;=$H25,AB$6+6&gt;=$G25),1,"")</x:f>
      </x:c>
      <x:c r="AC25" s="167" t="str">
        <x:f>IF(AND(AC$6&lt;=$H25,AC$6+6&gt;=$G25),1,"")</x:f>
      </x:c>
      <x:c r="AD25" s="167" t="str">
        <x:f>IF(AND(AD$6&lt;=$H25,AD$6+6&gt;=$G25),1,"")</x:f>
      </x:c>
      <x:c r="AE25" s="167" t="str">
        <x:f>IF(AND(AE$6&lt;=$H25,AE$6+6&gt;=$G25),1,"")</x:f>
      </x:c>
      <x:c r="AF25" s="167" t="str">
        <x:f>IF(AND(AF$6&lt;=$H25,AF$6+6&gt;=$G25),1,"")</x:f>
      </x:c>
      <x:c r="AG25" s="167" t="str">
        <x:f>IF(AND(AG$6&lt;=$H25,AG$6+6&gt;=$G25),1,"")</x:f>
      </x:c>
      <x:c r="AH25" s="167" t="str">
        <x:f>IF(AND(AH$6&lt;=$H25,AH$6+6&gt;=$G25),1,"")</x:f>
      </x:c>
      <x:c r="AI25" s="167" t="str">
        <x:f>IF(AND(AI$6&lt;=$H25,AI$6+6&gt;=$G25),1,"")</x:f>
      </x:c>
      <x:c r="AJ25" s="167" t="str">
        <x:f>IF(AND(AJ$6&lt;=$H25,AJ$6+6&gt;=$G25),1,"")</x:f>
      </x:c>
      <x:c r="AK25" s="167" t="str">
        <x:f>IF(AND(AK$6&lt;=$H25,AK$6+6&gt;=$G25),1,"")</x:f>
      </x:c>
      <x:c r="AL25" s="167" t="str">
        <x:f>IF(AND(AL$6&lt;=$H25,AL$6+6&gt;=$G25),1,"")</x:f>
      </x:c>
      <x:c r="AM25" s="167" t="str">
        <x:f>IF(AND(AM$6&lt;=$H25,AM$6+6&gt;=$G25),1,"")</x:f>
      </x:c>
      <x:c r="AN25" s="167" t="str">
        <x:f>IF(AND(AN$6&lt;=$H25,AN$6+6&gt;=$G25),1,"")</x:f>
      </x:c>
      <x:c r="AO25" s="167" t="str">
        <x:f>IF(AND(AO$6&lt;=$H25,AO$6+6&gt;=$G25),1,"")</x:f>
      </x:c>
      <x:c r="AP25" s="167" t="str">
        <x:f>IF(AND(AP$6&lt;=$H25,AP$6+6&gt;=$G25),1,"")</x:f>
      </x:c>
      <x:c r="AQ25" s="167" t="str">
        <x:f>IF(AND(AQ$6&lt;=$H25,AQ$6+6&gt;=$G25),1,"")</x:f>
      </x:c>
      <x:c r="AR25" s="167" t="str">
        <x:f>IF(AND(AR$6&lt;=$H25,AR$6+6&gt;=$G25),1,"")</x:f>
      </x:c>
      <x:c r="AS25" s="167" t="str">
        <x:f>IF(AND(AS$6&lt;=$H25,AS$6+6&gt;=$G25),1,"")</x:f>
      </x:c>
      <x:c r="AT25" s="167" t="str">
        <x:f>IF(AND(AT$6&lt;=$H25,AT$6+6&gt;=$G25),1,"")</x:f>
      </x:c>
      <x:c r="AU25" s="167" t="str">
        <x:f>IF(AND(AU$6&lt;=$H25,AU$6+6&gt;=$G25),1,"")</x:f>
      </x:c>
      <x:c r="AV25" s="167" t="str">
        <x:f>IF(AND(AV$6&lt;=$H25,AV$6+6&gt;=$G25),1,"")</x:f>
      </x:c>
      <x:c r="AW25" s="167" t="str">
        <x:f>IF(AND(AW$6&lt;=$H25,AW$6+6&gt;=$G25),1,"")</x:f>
      </x:c>
      <x:c r="AX25" s="167" t="str">
        <x:f>IF(AND(AX$6&lt;=$H25,AX$6+6&gt;=$G25),1,"")</x:f>
      </x:c>
      <x:c r="AY25" s="168" t="str">
        <x:f>IF(AND(AY$6&lt;=$H25,AY$6+6&gt;=$G25),1,"")</x:f>
      </x:c>
    </x:row>
    <x:row r="26" ht="24" customHeight="1">
      <x:c r="A26" s="68" t="str">
        <x:f>'Hardware Tasks'!A24</x:f>
        <x:v>T-606</x:v>
      </x:c>
      <x:c r="B26" s="68" t="str">
        <x:f>'Hardware Tasks'!B24</x:f>
        <x:v>M6</x:v>
      </x:c>
      <x:c r="C26" s="68" t="str">
        <x:f>'Hardware Tasks'!C24</x:f>
        <x:v>Mechanical/Safety</x:v>
      </x:c>
      <x:c r="D26" s="68" t="str">
        <x:f>'Hardware Tasks'!D24</x:f>
        <x:v>Design cable routing, stops, covers, and service access</x:v>
      </x:c>
      <x:c r="E26" s="68" t="str">
        <x:f>'Hardware Tasks'!E24</x:f>
        <x:v>T-604, T-605</x:v>
      </x:c>
      <x:c r="F26" s="68" t="str">
        <x:f>'Hardware Tasks'!F24</x:f>
        <x:v>Blocked</x:v>
      </x:c>
      <x:c r="G26" s="94" t="n">
        <x:f>'Hardware Tasks'!I24</x:f>
        <x:v>46353</x:v>
      </x:c>
      <x:c r="H26" s="94" t="n">
        <x:f>'Hardware Tasks'!J24</x:f>
        <x:v>46357</x:v>
      </x:c>
      <x:c r="I26" s="166" t="str">
        <x:f>IF(AND(I$6&lt;=$H26,I$6+6&gt;=$G26),1,"")</x:f>
      </x:c>
      <x:c r="J26" s="167" t="str">
        <x:f>IF(AND(J$6&lt;=$H26,J$6+6&gt;=$G26),1,"")</x:f>
      </x:c>
      <x:c r="K26" s="167" t="str">
        <x:f>IF(AND(K$6&lt;=$H26,K$6+6&gt;=$G26),1,"")</x:f>
      </x:c>
      <x:c r="L26" s="167" t="str">
        <x:f>IF(AND(L$6&lt;=$H26,L$6+6&gt;=$G26),1,"")</x:f>
      </x:c>
      <x:c r="M26" s="167" t="str">
        <x:f>IF(AND(M$6&lt;=$H26,M$6+6&gt;=$G26),1,"")</x:f>
      </x:c>
      <x:c r="N26" s="167" t="str">
        <x:f>IF(AND(N$6&lt;=$H26,N$6+6&gt;=$G26),1,"")</x:f>
      </x:c>
      <x:c r="O26" s="167" t="str">
        <x:f>IF(AND(O$6&lt;=$H26,O$6+6&gt;=$G26),1,"")</x:f>
      </x:c>
      <x:c r="P26" s="167" t="str">
        <x:f>IF(AND(P$6&lt;=$H26,P$6+6&gt;=$G26),1,"")</x:f>
      </x:c>
      <x:c r="Q26" s="167" t="str">
        <x:f>IF(AND(Q$6&lt;=$H26,Q$6+6&gt;=$G26),1,"")</x:f>
      </x:c>
      <x:c r="R26" s="167" t="str">
        <x:f>IF(AND(R$6&lt;=$H26,R$6+6&gt;=$G26),1,"")</x:f>
      </x:c>
      <x:c r="S26" s="167" t="n">
        <x:f>IF(AND(S$6&lt;=$H26,S$6+6&gt;=$G26),1,"")</x:f>
        <x:v>1</x:v>
      </x:c>
      <x:c r="T26" s="167" t="n">
        <x:f>IF(AND(T$6&lt;=$H26,T$6+6&gt;=$G26),1,"")</x:f>
        <x:v>1</x:v>
      </x:c>
      <x:c r="U26" s="167" t="str">
        <x:f>IF(AND(U$6&lt;=$H26,U$6+6&gt;=$G26),1,"")</x:f>
      </x:c>
      <x:c r="V26" s="167" t="str">
        <x:f>IF(AND(V$6&lt;=$H26,V$6+6&gt;=$G26),1,"")</x:f>
      </x:c>
      <x:c r="W26" s="167" t="str">
        <x:f>IF(AND(W$6&lt;=$H26,W$6+6&gt;=$G26),1,"")</x:f>
      </x:c>
      <x:c r="X26" s="167" t="str">
        <x:f>IF(AND(X$6&lt;=$H26,X$6+6&gt;=$G26),1,"")</x:f>
      </x:c>
      <x:c r="Y26" s="167" t="str">
        <x:f>IF(AND(Y$6&lt;=$H26,Y$6+6&gt;=$G26),1,"")</x:f>
      </x:c>
      <x:c r="Z26" s="167" t="str">
        <x:f>IF(AND(Z$6&lt;=$H26,Z$6+6&gt;=$G26),1,"")</x:f>
      </x:c>
      <x:c r="AA26" s="167" t="str">
        <x:f>IF(AND(AA$6&lt;=$H26,AA$6+6&gt;=$G26),1,"")</x:f>
      </x:c>
      <x:c r="AB26" s="167" t="str">
        <x:f>IF(AND(AB$6&lt;=$H26,AB$6+6&gt;=$G26),1,"")</x:f>
      </x:c>
      <x:c r="AC26" s="167" t="str">
        <x:f>IF(AND(AC$6&lt;=$H26,AC$6+6&gt;=$G26),1,"")</x:f>
      </x:c>
      <x:c r="AD26" s="167" t="str">
        <x:f>IF(AND(AD$6&lt;=$H26,AD$6+6&gt;=$G26),1,"")</x:f>
      </x:c>
      <x:c r="AE26" s="167" t="str">
        <x:f>IF(AND(AE$6&lt;=$H26,AE$6+6&gt;=$G26),1,"")</x:f>
      </x:c>
      <x:c r="AF26" s="167" t="str">
        <x:f>IF(AND(AF$6&lt;=$H26,AF$6+6&gt;=$G26),1,"")</x:f>
      </x:c>
      <x:c r="AG26" s="167" t="str">
        <x:f>IF(AND(AG$6&lt;=$H26,AG$6+6&gt;=$G26),1,"")</x:f>
      </x:c>
      <x:c r="AH26" s="167" t="str">
        <x:f>IF(AND(AH$6&lt;=$H26,AH$6+6&gt;=$G26),1,"")</x:f>
      </x:c>
      <x:c r="AI26" s="167" t="str">
        <x:f>IF(AND(AI$6&lt;=$H26,AI$6+6&gt;=$G26),1,"")</x:f>
      </x:c>
      <x:c r="AJ26" s="167" t="str">
        <x:f>IF(AND(AJ$6&lt;=$H26,AJ$6+6&gt;=$G26),1,"")</x:f>
      </x:c>
      <x:c r="AK26" s="167" t="str">
        <x:f>IF(AND(AK$6&lt;=$H26,AK$6+6&gt;=$G26),1,"")</x:f>
      </x:c>
      <x:c r="AL26" s="167" t="str">
        <x:f>IF(AND(AL$6&lt;=$H26,AL$6+6&gt;=$G26),1,"")</x:f>
      </x:c>
      <x:c r="AM26" s="167" t="str">
        <x:f>IF(AND(AM$6&lt;=$H26,AM$6+6&gt;=$G26),1,"")</x:f>
      </x:c>
      <x:c r="AN26" s="167" t="str">
        <x:f>IF(AND(AN$6&lt;=$H26,AN$6+6&gt;=$G26),1,"")</x:f>
      </x:c>
      <x:c r="AO26" s="167" t="str">
        <x:f>IF(AND(AO$6&lt;=$H26,AO$6+6&gt;=$G26),1,"")</x:f>
      </x:c>
      <x:c r="AP26" s="167" t="str">
        <x:f>IF(AND(AP$6&lt;=$H26,AP$6+6&gt;=$G26),1,"")</x:f>
      </x:c>
      <x:c r="AQ26" s="167" t="str">
        <x:f>IF(AND(AQ$6&lt;=$H26,AQ$6+6&gt;=$G26),1,"")</x:f>
      </x:c>
      <x:c r="AR26" s="167" t="str">
        <x:f>IF(AND(AR$6&lt;=$H26,AR$6+6&gt;=$G26),1,"")</x:f>
      </x:c>
      <x:c r="AS26" s="167" t="str">
        <x:f>IF(AND(AS$6&lt;=$H26,AS$6+6&gt;=$G26),1,"")</x:f>
      </x:c>
      <x:c r="AT26" s="167" t="str">
        <x:f>IF(AND(AT$6&lt;=$H26,AT$6+6&gt;=$G26),1,"")</x:f>
      </x:c>
      <x:c r="AU26" s="167" t="str">
        <x:f>IF(AND(AU$6&lt;=$H26,AU$6+6&gt;=$G26),1,"")</x:f>
      </x:c>
      <x:c r="AV26" s="167" t="str">
        <x:f>IF(AND(AV$6&lt;=$H26,AV$6+6&gt;=$G26),1,"")</x:f>
      </x:c>
      <x:c r="AW26" s="167" t="str">
        <x:f>IF(AND(AW$6&lt;=$H26,AW$6+6&gt;=$G26),1,"")</x:f>
      </x:c>
      <x:c r="AX26" s="167" t="str">
        <x:f>IF(AND(AX$6&lt;=$H26,AX$6+6&gt;=$G26),1,"")</x:f>
      </x:c>
      <x:c r="AY26" s="168" t="str">
        <x:f>IF(AND(AY$6&lt;=$H26,AY$6+6&gt;=$G26),1,"")</x:f>
      </x:c>
    </x:row>
    <x:row r="27" ht="24" customHeight="1">
      <x:c r="A27" s="68" t="str">
        <x:f>'Hardware Tasks'!A25</x:f>
        <x:v>T-607</x:v>
      </x:c>
      <x:c r="B27" s="68" t="str">
        <x:f>'Hardware Tasks'!B25</x:f>
        <x:v>M6</x:v>
      </x:c>
      <x:c r="C27" s="68" t="str">
        <x:f>'Hardware Tasks'!C25</x:f>
        <x:v>End Effector</x:v>
      </x:c>
      <x:c r="D27" s="68" t="str">
        <x:f>'Hardware Tasks'!D25</x:f>
        <x:v>Design the brush mount and contact-compliance module</x:v>
      </x:c>
      <x:c r="E27" s="68" t="str">
        <x:f>'Hardware Tasks'!E25</x:f>
        <x:v>T-509, T-602, T-603</x:v>
      </x:c>
      <x:c r="F27" s="68" t="str">
        <x:f>'Hardware Tasks'!F25</x:f>
        <x:v>Blocked</x:v>
      </x:c>
      <x:c r="G27" s="94" t="n">
        <x:f>'Hardware Tasks'!I25</x:f>
        <x:v>46358</x:v>
      </x:c>
      <x:c r="H27" s="94" t="n">
        <x:f>'Hardware Tasks'!J25</x:f>
        <x:v>46363</x:v>
      </x:c>
      <x:c r="I27" s="166" t="str">
        <x:f>IF(AND(I$6&lt;=$H27,I$6+6&gt;=$G27),1,"")</x:f>
      </x:c>
      <x:c r="J27" s="167" t="str">
        <x:f>IF(AND(J$6&lt;=$H27,J$6+6&gt;=$G27),1,"")</x:f>
      </x:c>
      <x:c r="K27" s="167" t="str">
        <x:f>IF(AND(K$6&lt;=$H27,K$6+6&gt;=$G27),1,"")</x:f>
      </x:c>
      <x:c r="L27" s="167" t="str">
        <x:f>IF(AND(L$6&lt;=$H27,L$6+6&gt;=$G27),1,"")</x:f>
      </x:c>
      <x:c r="M27" s="167" t="str">
        <x:f>IF(AND(M$6&lt;=$H27,M$6+6&gt;=$G27),1,"")</x:f>
      </x:c>
      <x:c r="N27" s="167" t="str">
        <x:f>IF(AND(N$6&lt;=$H27,N$6+6&gt;=$G27),1,"")</x:f>
      </x:c>
      <x:c r="O27" s="167" t="str">
        <x:f>IF(AND(O$6&lt;=$H27,O$6+6&gt;=$G27),1,"")</x:f>
      </x:c>
      <x:c r="P27" s="167" t="str">
        <x:f>IF(AND(P$6&lt;=$H27,P$6+6&gt;=$G27),1,"")</x:f>
      </x:c>
      <x:c r="Q27" s="167" t="str">
        <x:f>IF(AND(Q$6&lt;=$H27,Q$6+6&gt;=$G27),1,"")</x:f>
      </x:c>
      <x:c r="R27" s="167" t="str">
        <x:f>IF(AND(R$6&lt;=$H27,R$6+6&gt;=$G27),1,"")</x:f>
      </x:c>
      <x:c r="S27" s="167" t="str">
        <x:f>IF(AND(S$6&lt;=$H27,S$6+6&gt;=$G27),1,"")</x:f>
      </x:c>
      <x:c r="T27" s="167" t="n">
        <x:f>IF(AND(T$6&lt;=$H27,T$6+6&gt;=$G27),1,"")</x:f>
        <x:v>1</x:v>
      </x:c>
      <x:c r="U27" s="167" t="n">
        <x:f>IF(AND(U$6&lt;=$H27,U$6+6&gt;=$G27),1,"")</x:f>
        <x:v>1</x:v>
      </x:c>
      <x:c r="V27" s="167" t="str">
        <x:f>IF(AND(V$6&lt;=$H27,V$6+6&gt;=$G27),1,"")</x:f>
      </x:c>
      <x:c r="W27" s="167" t="str">
        <x:f>IF(AND(W$6&lt;=$H27,W$6+6&gt;=$G27),1,"")</x:f>
      </x:c>
      <x:c r="X27" s="167" t="str">
        <x:f>IF(AND(X$6&lt;=$H27,X$6+6&gt;=$G27),1,"")</x:f>
      </x:c>
      <x:c r="Y27" s="167" t="str">
        <x:f>IF(AND(Y$6&lt;=$H27,Y$6+6&gt;=$G27),1,"")</x:f>
      </x:c>
      <x:c r="Z27" s="167" t="str">
        <x:f>IF(AND(Z$6&lt;=$H27,Z$6+6&gt;=$G27),1,"")</x:f>
      </x:c>
      <x:c r="AA27" s="167" t="str">
        <x:f>IF(AND(AA$6&lt;=$H27,AA$6+6&gt;=$G27),1,"")</x:f>
      </x:c>
      <x:c r="AB27" s="167" t="str">
        <x:f>IF(AND(AB$6&lt;=$H27,AB$6+6&gt;=$G27),1,"")</x:f>
      </x:c>
      <x:c r="AC27" s="167" t="str">
        <x:f>IF(AND(AC$6&lt;=$H27,AC$6+6&gt;=$G27),1,"")</x:f>
      </x:c>
      <x:c r="AD27" s="167" t="str">
        <x:f>IF(AND(AD$6&lt;=$H27,AD$6+6&gt;=$G27),1,"")</x:f>
      </x:c>
      <x:c r="AE27" s="167" t="str">
        <x:f>IF(AND(AE$6&lt;=$H27,AE$6+6&gt;=$G27),1,"")</x:f>
      </x:c>
      <x:c r="AF27" s="167" t="str">
        <x:f>IF(AND(AF$6&lt;=$H27,AF$6+6&gt;=$G27),1,"")</x:f>
      </x:c>
      <x:c r="AG27" s="167" t="str">
        <x:f>IF(AND(AG$6&lt;=$H27,AG$6+6&gt;=$G27),1,"")</x:f>
      </x:c>
      <x:c r="AH27" s="167" t="str">
        <x:f>IF(AND(AH$6&lt;=$H27,AH$6+6&gt;=$G27),1,"")</x:f>
      </x:c>
      <x:c r="AI27" s="167" t="str">
        <x:f>IF(AND(AI$6&lt;=$H27,AI$6+6&gt;=$G27),1,"")</x:f>
      </x:c>
      <x:c r="AJ27" s="167" t="str">
        <x:f>IF(AND(AJ$6&lt;=$H27,AJ$6+6&gt;=$G27),1,"")</x:f>
      </x:c>
      <x:c r="AK27" s="167" t="str">
        <x:f>IF(AND(AK$6&lt;=$H27,AK$6+6&gt;=$G27),1,"")</x:f>
      </x:c>
      <x:c r="AL27" s="167" t="str">
        <x:f>IF(AND(AL$6&lt;=$H27,AL$6+6&gt;=$G27),1,"")</x:f>
      </x:c>
      <x:c r="AM27" s="167" t="str">
        <x:f>IF(AND(AM$6&lt;=$H27,AM$6+6&gt;=$G27),1,"")</x:f>
      </x:c>
      <x:c r="AN27" s="167" t="str">
        <x:f>IF(AND(AN$6&lt;=$H27,AN$6+6&gt;=$G27),1,"")</x:f>
      </x:c>
      <x:c r="AO27" s="167" t="str">
        <x:f>IF(AND(AO$6&lt;=$H27,AO$6+6&gt;=$G27),1,"")</x:f>
      </x:c>
      <x:c r="AP27" s="167" t="str">
        <x:f>IF(AND(AP$6&lt;=$H27,AP$6+6&gt;=$G27),1,"")</x:f>
      </x:c>
      <x:c r="AQ27" s="167" t="str">
        <x:f>IF(AND(AQ$6&lt;=$H27,AQ$6+6&gt;=$G27),1,"")</x:f>
      </x:c>
      <x:c r="AR27" s="167" t="str">
        <x:f>IF(AND(AR$6&lt;=$H27,AR$6+6&gt;=$G27),1,"")</x:f>
      </x:c>
      <x:c r="AS27" s="167" t="str">
        <x:f>IF(AND(AS$6&lt;=$H27,AS$6+6&gt;=$G27),1,"")</x:f>
      </x:c>
      <x:c r="AT27" s="167" t="str">
        <x:f>IF(AND(AT$6&lt;=$H27,AT$6+6&gt;=$G27),1,"")</x:f>
      </x:c>
      <x:c r="AU27" s="167" t="str">
        <x:f>IF(AND(AU$6&lt;=$H27,AU$6+6&gt;=$G27),1,"")</x:f>
      </x:c>
      <x:c r="AV27" s="167" t="str">
        <x:f>IF(AND(AV$6&lt;=$H27,AV$6+6&gt;=$G27),1,"")</x:f>
      </x:c>
      <x:c r="AW27" s="167" t="str">
        <x:f>IF(AND(AW$6&lt;=$H27,AW$6+6&gt;=$G27),1,"")</x:f>
      </x:c>
      <x:c r="AX27" s="167" t="str">
        <x:f>IF(AND(AX$6&lt;=$H27,AX$6+6&gt;=$G27),1,"")</x:f>
      </x:c>
      <x:c r="AY27" s="168" t="str">
        <x:f>IF(AND(AY$6&lt;=$H27,AY$6+6&gt;=$G27),1,"")</x:f>
      </x:c>
    </x:row>
    <x:row r="28" ht="24" customHeight="1">
      <x:c r="A28" s="68" t="str">
        <x:f>'Hardware Tasks'!A26</x:f>
        <x:v>T-608</x:v>
      </x:c>
      <x:c r="B28" s="68" t="str">
        <x:f>'Hardware Tasks'!B26</x:f>
        <x:v>M6</x:v>
      </x:c>
      <x:c r="C28" s="68" t="str">
        <x:f>'Hardware Tasks'!C26</x:f>
        <x:v>Workcell</x:v>
      </x:c>
      <x:c r="D28" s="68" t="str">
        <x:f>'Hardware Tasks'!D26</x:f>
        <x:v>Design the base, easel, camera, paint, and cleaning fixtures</x:v>
      </x:c>
      <x:c r="E28" s="68" t="str">
        <x:f>'Hardware Tasks'!E26</x:f>
        <x:v>T-509, T-602, T-603</x:v>
      </x:c>
      <x:c r="F28" s="68" t="str">
        <x:f>'Hardware Tasks'!F26</x:f>
        <x:v>Blocked</x:v>
      </x:c>
      <x:c r="G28" s="94" t="n">
        <x:f>'Hardware Tasks'!I26</x:f>
        <x:v>46364</x:v>
      </x:c>
      <x:c r="H28" s="94" t="n">
        <x:f>'Hardware Tasks'!J26</x:f>
        <x:v>46367</x:v>
      </x:c>
      <x:c r="I28" s="166" t="str">
        <x:f>IF(AND(I$6&lt;=$H28,I$6+6&gt;=$G28),1,"")</x:f>
      </x:c>
      <x:c r="J28" s="167" t="str">
        <x:f>IF(AND(J$6&lt;=$H28,J$6+6&gt;=$G28),1,"")</x:f>
      </x:c>
      <x:c r="K28" s="167" t="str">
        <x:f>IF(AND(K$6&lt;=$H28,K$6+6&gt;=$G28),1,"")</x:f>
      </x:c>
      <x:c r="L28" s="167" t="str">
        <x:f>IF(AND(L$6&lt;=$H28,L$6+6&gt;=$G28),1,"")</x:f>
      </x:c>
      <x:c r="M28" s="167" t="str">
        <x:f>IF(AND(M$6&lt;=$H28,M$6+6&gt;=$G28),1,"")</x:f>
      </x:c>
      <x:c r="N28" s="167" t="str">
        <x:f>IF(AND(N$6&lt;=$H28,N$6+6&gt;=$G28),1,"")</x:f>
      </x:c>
      <x:c r="O28" s="167" t="str">
        <x:f>IF(AND(O$6&lt;=$H28,O$6+6&gt;=$G28),1,"")</x:f>
      </x:c>
      <x:c r="P28" s="167" t="str">
        <x:f>IF(AND(P$6&lt;=$H28,P$6+6&gt;=$G28),1,"")</x:f>
      </x:c>
      <x:c r="Q28" s="167" t="str">
        <x:f>IF(AND(Q$6&lt;=$H28,Q$6+6&gt;=$G28),1,"")</x:f>
      </x:c>
      <x:c r="R28" s="167" t="str">
        <x:f>IF(AND(R$6&lt;=$H28,R$6+6&gt;=$G28),1,"")</x:f>
      </x:c>
      <x:c r="S28" s="167" t="str">
        <x:f>IF(AND(S$6&lt;=$H28,S$6+6&gt;=$G28),1,"")</x:f>
      </x:c>
      <x:c r="T28" s="167" t="str">
        <x:f>IF(AND(T$6&lt;=$H28,T$6+6&gt;=$G28),1,"")</x:f>
      </x:c>
      <x:c r="U28" s="167" t="n">
        <x:f>IF(AND(U$6&lt;=$H28,U$6+6&gt;=$G28),1,"")</x:f>
        <x:v>1</x:v>
      </x:c>
      <x:c r="V28" s="167" t="str">
        <x:f>IF(AND(V$6&lt;=$H28,V$6+6&gt;=$G28),1,"")</x:f>
      </x:c>
      <x:c r="W28" s="167" t="str">
        <x:f>IF(AND(W$6&lt;=$H28,W$6+6&gt;=$G28),1,"")</x:f>
      </x:c>
      <x:c r="X28" s="167" t="str">
        <x:f>IF(AND(X$6&lt;=$H28,X$6+6&gt;=$G28),1,"")</x:f>
      </x:c>
      <x:c r="Y28" s="167" t="str">
        <x:f>IF(AND(Y$6&lt;=$H28,Y$6+6&gt;=$G28),1,"")</x:f>
      </x:c>
      <x:c r="Z28" s="167" t="str">
        <x:f>IF(AND(Z$6&lt;=$H28,Z$6+6&gt;=$G28),1,"")</x:f>
      </x:c>
      <x:c r="AA28" s="167" t="str">
        <x:f>IF(AND(AA$6&lt;=$H28,AA$6+6&gt;=$G28),1,"")</x:f>
      </x:c>
      <x:c r="AB28" s="167" t="str">
        <x:f>IF(AND(AB$6&lt;=$H28,AB$6+6&gt;=$G28),1,"")</x:f>
      </x:c>
      <x:c r="AC28" s="167" t="str">
        <x:f>IF(AND(AC$6&lt;=$H28,AC$6+6&gt;=$G28),1,"")</x:f>
      </x:c>
      <x:c r="AD28" s="167" t="str">
        <x:f>IF(AND(AD$6&lt;=$H28,AD$6+6&gt;=$G28),1,"")</x:f>
      </x:c>
      <x:c r="AE28" s="167" t="str">
        <x:f>IF(AND(AE$6&lt;=$H28,AE$6+6&gt;=$G28),1,"")</x:f>
      </x:c>
      <x:c r="AF28" s="167" t="str">
        <x:f>IF(AND(AF$6&lt;=$H28,AF$6+6&gt;=$G28),1,"")</x:f>
      </x:c>
      <x:c r="AG28" s="167" t="str">
        <x:f>IF(AND(AG$6&lt;=$H28,AG$6+6&gt;=$G28),1,"")</x:f>
      </x:c>
      <x:c r="AH28" s="167" t="str">
        <x:f>IF(AND(AH$6&lt;=$H28,AH$6+6&gt;=$G28),1,"")</x:f>
      </x:c>
      <x:c r="AI28" s="167" t="str">
        <x:f>IF(AND(AI$6&lt;=$H28,AI$6+6&gt;=$G28),1,"")</x:f>
      </x:c>
      <x:c r="AJ28" s="167" t="str">
        <x:f>IF(AND(AJ$6&lt;=$H28,AJ$6+6&gt;=$G28),1,"")</x:f>
      </x:c>
      <x:c r="AK28" s="167" t="str">
        <x:f>IF(AND(AK$6&lt;=$H28,AK$6+6&gt;=$G28),1,"")</x:f>
      </x:c>
      <x:c r="AL28" s="167" t="str">
        <x:f>IF(AND(AL$6&lt;=$H28,AL$6+6&gt;=$G28),1,"")</x:f>
      </x:c>
      <x:c r="AM28" s="167" t="str">
        <x:f>IF(AND(AM$6&lt;=$H28,AM$6+6&gt;=$G28),1,"")</x:f>
      </x:c>
      <x:c r="AN28" s="167" t="str">
        <x:f>IF(AND(AN$6&lt;=$H28,AN$6+6&gt;=$G28),1,"")</x:f>
      </x:c>
      <x:c r="AO28" s="167" t="str">
        <x:f>IF(AND(AO$6&lt;=$H28,AO$6+6&gt;=$G28),1,"")</x:f>
      </x:c>
      <x:c r="AP28" s="167" t="str">
        <x:f>IF(AND(AP$6&lt;=$H28,AP$6+6&gt;=$G28),1,"")</x:f>
      </x:c>
      <x:c r="AQ28" s="167" t="str">
        <x:f>IF(AND(AQ$6&lt;=$H28,AQ$6+6&gt;=$G28),1,"")</x:f>
      </x:c>
      <x:c r="AR28" s="167" t="str">
        <x:f>IF(AND(AR$6&lt;=$H28,AR$6+6&gt;=$G28),1,"")</x:f>
      </x:c>
      <x:c r="AS28" s="167" t="str">
        <x:f>IF(AND(AS$6&lt;=$H28,AS$6+6&gt;=$G28),1,"")</x:f>
      </x:c>
      <x:c r="AT28" s="167" t="str">
        <x:f>IF(AND(AT$6&lt;=$H28,AT$6+6&gt;=$G28),1,"")</x:f>
      </x:c>
      <x:c r="AU28" s="167" t="str">
        <x:f>IF(AND(AU$6&lt;=$H28,AU$6+6&gt;=$G28),1,"")</x:f>
      </x:c>
      <x:c r="AV28" s="167" t="str">
        <x:f>IF(AND(AV$6&lt;=$H28,AV$6+6&gt;=$G28),1,"")</x:f>
      </x:c>
      <x:c r="AW28" s="167" t="str">
        <x:f>IF(AND(AW$6&lt;=$H28,AW$6+6&gt;=$G28),1,"")</x:f>
      </x:c>
      <x:c r="AX28" s="167" t="str">
        <x:f>IF(AND(AX$6&lt;=$H28,AX$6+6&gt;=$G28),1,"")</x:f>
      </x:c>
      <x:c r="AY28" s="168" t="str">
        <x:f>IF(AND(AY$6&lt;=$H28,AY$6+6&gt;=$G28),1,"")</x:f>
      </x:c>
    </x:row>
    <x:row r="29" ht="24" customHeight="1">
      <x:c r="A29" s="68" t="str">
        <x:f>'Hardware Tasks'!A27</x:f>
        <x:v>T-609</x:v>
      </x:c>
      <x:c r="B29" s="68" t="str">
        <x:f>'Hardware Tasks'!B27</x:f>
        <x:v>M6</x:v>
      </x:c>
      <x:c r="C29" s="68" t="str">
        <x:f>'Hardware Tasks'!C27</x:f>
        <x:v>Manufacturing</x:v>
      </x:c>
      <x:c r="D29" s="68" t="str">
        <x:f>'Hardware Tasks'!D27</x:f>
        <x:v>Define tolerances, manufacturing processes, and inspection</x:v>
      </x:c>
      <x:c r="E29" s="68" t="str">
        <x:f>'Hardware Tasks'!E27</x:f>
        <x:v>T-604, T-606, T-607, T-608</x:v>
      </x:c>
      <x:c r="F29" s="68" t="str">
        <x:f>'Hardware Tasks'!F27</x:f>
        <x:v>Blocked</x:v>
      </x:c>
      <x:c r="G29" s="94" t="n">
        <x:f>'Hardware Tasks'!I27</x:f>
        <x:v>46370</x:v>
      </x:c>
      <x:c r="H29" s="94" t="n">
        <x:f>'Hardware Tasks'!J27</x:f>
        <x:v>46373</x:v>
      </x:c>
      <x:c r="I29" s="166" t="str">
        <x:f>IF(AND(I$6&lt;=$H29,I$6+6&gt;=$G29),1,"")</x:f>
      </x:c>
      <x:c r="J29" s="167" t="str">
        <x:f>IF(AND(J$6&lt;=$H29,J$6+6&gt;=$G29),1,"")</x:f>
      </x:c>
      <x:c r="K29" s="167" t="str">
        <x:f>IF(AND(K$6&lt;=$H29,K$6+6&gt;=$G29),1,"")</x:f>
      </x:c>
      <x:c r="L29" s="167" t="str">
        <x:f>IF(AND(L$6&lt;=$H29,L$6+6&gt;=$G29),1,"")</x:f>
      </x:c>
      <x:c r="M29" s="167" t="str">
        <x:f>IF(AND(M$6&lt;=$H29,M$6+6&gt;=$G29),1,"")</x:f>
      </x:c>
      <x:c r="N29" s="167" t="str">
        <x:f>IF(AND(N$6&lt;=$H29,N$6+6&gt;=$G29),1,"")</x:f>
      </x:c>
      <x:c r="O29" s="167" t="str">
        <x:f>IF(AND(O$6&lt;=$H29,O$6+6&gt;=$G29),1,"")</x:f>
      </x:c>
      <x:c r="P29" s="167" t="str">
        <x:f>IF(AND(P$6&lt;=$H29,P$6+6&gt;=$G29),1,"")</x:f>
      </x:c>
      <x:c r="Q29" s="167" t="str">
        <x:f>IF(AND(Q$6&lt;=$H29,Q$6+6&gt;=$G29),1,"")</x:f>
      </x:c>
      <x:c r="R29" s="167" t="str">
        <x:f>IF(AND(R$6&lt;=$H29,R$6+6&gt;=$G29),1,"")</x:f>
      </x:c>
      <x:c r="S29" s="167" t="str">
        <x:f>IF(AND(S$6&lt;=$H29,S$6+6&gt;=$G29),1,"")</x:f>
      </x:c>
      <x:c r="T29" s="167" t="str">
        <x:f>IF(AND(T$6&lt;=$H29,T$6+6&gt;=$G29),1,"")</x:f>
      </x:c>
      <x:c r="U29" s="167" t="str">
        <x:f>IF(AND(U$6&lt;=$H29,U$6+6&gt;=$G29),1,"")</x:f>
      </x:c>
      <x:c r="V29" s="167" t="n">
        <x:f>IF(AND(V$6&lt;=$H29,V$6+6&gt;=$G29),1,"")</x:f>
        <x:v>1</x:v>
      </x:c>
      <x:c r="W29" s="167" t="str">
        <x:f>IF(AND(W$6&lt;=$H29,W$6+6&gt;=$G29),1,"")</x:f>
      </x:c>
      <x:c r="X29" s="167" t="str">
        <x:f>IF(AND(X$6&lt;=$H29,X$6+6&gt;=$G29),1,"")</x:f>
      </x:c>
      <x:c r="Y29" s="167" t="str">
        <x:f>IF(AND(Y$6&lt;=$H29,Y$6+6&gt;=$G29),1,"")</x:f>
      </x:c>
      <x:c r="Z29" s="167" t="str">
        <x:f>IF(AND(Z$6&lt;=$H29,Z$6+6&gt;=$G29),1,"")</x:f>
      </x:c>
      <x:c r="AA29" s="167" t="str">
        <x:f>IF(AND(AA$6&lt;=$H29,AA$6+6&gt;=$G29),1,"")</x:f>
      </x:c>
      <x:c r="AB29" s="167" t="str">
        <x:f>IF(AND(AB$6&lt;=$H29,AB$6+6&gt;=$G29),1,"")</x:f>
      </x:c>
      <x:c r="AC29" s="167" t="str">
        <x:f>IF(AND(AC$6&lt;=$H29,AC$6+6&gt;=$G29),1,"")</x:f>
      </x:c>
      <x:c r="AD29" s="167" t="str">
        <x:f>IF(AND(AD$6&lt;=$H29,AD$6+6&gt;=$G29),1,"")</x:f>
      </x:c>
      <x:c r="AE29" s="167" t="str">
        <x:f>IF(AND(AE$6&lt;=$H29,AE$6+6&gt;=$G29),1,"")</x:f>
      </x:c>
      <x:c r="AF29" s="167" t="str">
        <x:f>IF(AND(AF$6&lt;=$H29,AF$6+6&gt;=$G29),1,"")</x:f>
      </x:c>
      <x:c r="AG29" s="167" t="str">
        <x:f>IF(AND(AG$6&lt;=$H29,AG$6+6&gt;=$G29),1,"")</x:f>
      </x:c>
      <x:c r="AH29" s="167" t="str">
        <x:f>IF(AND(AH$6&lt;=$H29,AH$6+6&gt;=$G29),1,"")</x:f>
      </x:c>
      <x:c r="AI29" s="167" t="str">
        <x:f>IF(AND(AI$6&lt;=$H29,AI$6+6&gt;=$G29),1,"")</x:f>
      </x:c>
      <x:c r="AJ29" s="167" t="str">
        <x:f>IF(AND(AJ$6&lt;=$H29,AJ$6+6&gt;=$G29),1,"")</x:f>
      </x:c>
      <x:c r="AK29" s="167" t="str">
        <x:f>IF(AND(AK$6&lt;=$H29,AK$6+6&gt;=$G29),1,"")</x:f>
      </x:c>
      <x:c r="AL29" s="167" t="str">
        <x:f>IF(AND(AL$6&lt;=$H29,AL$6+6&gt;=$G29),1,"")</x:f>
      </x:c>
      <x:c r="AM29" s="167" t="str">
        <x:f>IF(AND(AM$6&lt;=$H29,AM$6+6&gt;=$G29),1,"")</x:f>
      </x:c>
      <x:c r="AN29" s="167" t="str">
        <x:f>IF(AND(AN$6&lt;=$H29,AN$6+6&gt;=$G29),1,"")</x:f>
      </x:c>
      <x:c r="AO29" s="167" t="str">
        <x:f>IF(AND(AO$6&lt;=$H29,AO$6+6&gt;=$G29),1,"")</x:f>
      </x:c>
      <x:c r="AP29" s="167" t="str">
        <x:f>IF(AND(AP$6&lt;=$H29,AP$6+6&gt;=$G29),1,"")</x:f>
      </x:c>
      <x:c r="AQ29" s="167" t="str">
        <x:f>IF(AND(AQ$6&lt;=$H29,AQ$6+6&gt;=$G29),1,"")</x:f>
      </x:c>
      <x:c r="AR29" s="167" t="str">
        <x:f>IF(AND(AR$6&lt;=$H29,AR$6+6&gt;=$G29),1,"")</x:f>
      </x:c>
      <x:c r="AS29" s="167" t="str">
        <x:f>IF(AND(AS$6&lt;=$H29,AS$6+6&gt;=$G29),1,"")</x:f>
      </x:c>
      <x:c r="AT29" s="167" t="str">
        <x:f>IF(AND(AT$6&lt;=$H29,AT$6+6&gt;=$G29),1,"")</x:f>
      </x:c>
      <x:c r="AU29" s="167" t="str">
        <x:f>IF(AND(AU$6&lt;=$H29,AU$6+6&gt;=$G29),1,"")</x:f>
      </x:c>
      <x:c r="AV29" s="167" t="str">
        <x:f>IF(AND(AV$6&lt;=$H29,AV$6+6&gt;=$G29),1,"")</x:f>
      </x:c>
      <x:c r="AW29" s="167" t="str">
        <x:f>IF(AND(AW$6&lt;=$H29,AW$6+6&gt;=$G29),1,"")</x:f>
      </x:c>
      <x:c r="AX29" s="167" t="str">
        <x:f>IF(AND(AX$6&lt;=$H29,AX$6+6&gt;=$G29),1,"")</x:f>
      </x:c>
      <x:c r="AY29" s="168" t="str">
        <x:f>IF(AND(AY$6&lt;=$H29,AY$6+6&gt;=$G29),1,"")</x:f>
      </x:c>
    </x:row>
    <x:row r="30" ht="24" customHeight="1">
      <x:c r="A30" s="68" t="str">
        <x:f>'Hardware Tasks'!A28</x:f>
        <x:v>T-610</x:v>
      </x:c>
      <x:c r="B30" s="68" t="str">
        <x:f>'Hardware Tasks'!B28</x:f>
        <x:v>M6</x:v>
      </x:c>
      <x:c r="C30" s="68" t="str">
        <x:f>'Hardware Tasks'!C28</x:f>
        <x:v>Cost/Risk</x:v>
      </x:c>
      <x:c r="D30" s="68" t="str">
        <x:f>'Hardware Tasks'!D28</x:f>
        <x:v>Maintain BOM, fabrication, and iteration risk estimates</x:v>
      </x:c>
      <x:c r="E30" s="68" t="str">
        <x:f>'Hardware Tasks'!E28</x:f>
        <x:v>T-604, T-605, T-608, T-609</x:v>
      </x:c>
      <x:c r="F30" s="68" t="str">
        <x:f>'Hardware Tasks'!F28</x:f>
        <x:v>Blocked</x:v>
      </x:c>
      <x:c r="G30" s="94" t="n">
        <x:f>'Hardware Tasks'!I28</x:f>
        <x:v>46374</x:v>
      </x:c>
      <x:c r="H30" s="94" t="n">
        <x:f>'Hardware Tasks'!J28</x:f>
        <x:v>46377</x:v>
      </x:c>
      <x:c r="I30" s="166" t="str">
        <x:f>IF(AND(I$6&lt;=$H30,I$6+6&gt;=$G30),1,"")</x:f>
      </x:c>
      <x:c r="J30" s="167" t="str">
        <x:f>IF(AND(J$6&lt;=$H30,J$6+6&gt;=$G30),1,"")</x:f>
      </x:c>
      <x:c r="K30" s="167" t="str">
        <x:f>IF(AND(K$6&lt;=$H30,K$6+6&gt;=$G30),1,"")</x:f>
      </x:c>
      <x:c r="L30" s="167" t="str">
        <x:f>IF(AND(L$6&lt;=$H30,L$6+6&gt;=$G30),1,"")</x:f>
      </x:c>
      <x:c r="M30" s="167" t="str">
        <x:f>IF(AND(M$6&lt;=$H30,M$6+6&gt;=$G30),1,"")</x:f>
      </x:c>
      <x:c r="N30" s="167" t="str">
        <x:f>IF(AND(N$6&lt;=$H30,N$6+6&gt;=$G30),1,"")</x:f>
      </x:c>
      <x:c r="O30" s="167" t="str">
        <x:f>IF(AND(O$6&lt;=$H30,O$6+6&gt;=$G30),1,"")</x:f>
      </x:c>
      <x:c r="P30" s="167" t="str">
        <x:f>IF(AND(P$6&lt;=$H30,P$6+6&gt;=$G30),1,"")</x:f>
      </x:c>
      <x:c r="Q30" s="167" t="str">
        <x:f>IF(AND(Q$6&lt;=$H30,Q$6+6&gt;=$G30),1,"")</x:f>
      </x:c>
      <x:c r="R30" s="167" t="str">
        <x:f>IF(AND(R$6&lt;=$H30,R$6+6&gt;=$G30),1,"")</x:f>
      </x:c>
      <x:c r="S30" s="167" t="str">
        <x:f>IF(AND(S$6&lt;=$H30,S$6+6&gt;=$G30),1,"")</x:f>
      </x:c>
      <x:c r="T30" s="167" t="str">
        <x:f>IF(AND(T$6&lt;=$H30,T$6+6&gt;=$G30),1,"")</x:f>
      </x:c>
      <x:c r="U30" s="167" t="str">
        <x:f>IF(AND(U$6&lt;=$H30,U$6+6&gt;=$G30),1,"")</x:f>
      </x:c>
      <x:c r="V30" s="167" t="n">
        <x:f>IF(AND(V$6&lt;=$H30,V$6+6&gt;=$G30),1,"")</x:f>
        <x:v>1</x:v>
      </x:c>
      <x:c r="W30" s="167" t="n">
        <x:f>IF(AND(W$6&lt;=$H30,W$6+6&gt;=$G30),1,"")</x:f>
        <x:v>1</x:v>
      </x:c>
      <x:c r="X30" s="167" t="str">
        <x:f>IF(AND(X$6&lt;=$H30,X$6+6&gt;=$G30),1,"")</x:f>
      </x:c>
      <x:c r="Y30" s="167" t="str">
        <x:f>IF(AND(Y$6&lt;=$H30,Y$6+6&gt;=$G30),1,"")</x:f>
      </x:c>
      <x:c r="Z30" s="167" t="str">
        <x:f>IF(AND(Z$6&lt;=$H30,Z$6+6&gt;=$G30),1,"")</x:f>
      </x:c>
      <x:c r="AA30" s="167" t="str">
        <x:f>IF(AND(AA$6&lt;=$H30,AA$6+6&gt;=$G30),1,"")</x:f>
      </x:c>
      <x:c r="AB30" s="167" t="str">
        <x:f>IF(AND(AB$6&lt;=$H30,AB$6+6&gt;=$G30),1,"")</x:f>
      </x:c>
      <x:c r="AC30" s="167" t="str">
        <x:f>IF(AND(AC$6&lt;=$H30,AC$6+6&gt;=$G30),1,"")</x:f>
      </x:c>
      <x:c r="AD30" s="167" t="str">
        <x:f>IF(AND(AD$6&lt;=$H30,AD$6+6&gt;=$G30),1,"")</x:f>
      </x:c>
      <x:c r="AE30" s="167" t="str">
        <x:f>IF(AND(AE$6&lt;=$H30,AE$6+6&gt;=$G30),1,"")</x:f>
      </x:c>
      <x:c r="AF30" s="167" t="str">
        <x:f>IF(AND(AF$6&lt;=$H30,AF$6+6&gt;=$G30),1,"")</x:f>
      </x:c>
      <x:c r="AG30" s="167" t="str">
        <x:f>IF(AND(AG$6&lt;=$H30,AG$6+6&gt;=$G30),1,"")</x:f>
      </x:c>
      <x:c r="AH30" s="167" t="str">
        <x:f>IF(AND(AH$6&lt;=$H30,AH$6+6&gt;=$G30),1,"")</x:f>
      </x:c>
      <x:c r="AI30" s="167" t="str">
        <x:f>IF(AND(AI$6&lt;=$H30,AI$6+6&gt;=$G30),1,"")</x:f>
      </x:c>
      <x:c r="AJ30" s="167" t="str">
        <x:f>IF(AND(AJ$6&lt;=$H30,AJ$6+6&gt;=$G30),1,"")</x:f>
      </x:c>
      <x:c r="AK30" s="167" t="str">
        <x:f>IF(AND(AK$6&lt;=$H30,AK$6+6&gt;=$G30),1,"")</x:f>
      </x:c>
      <x:c r="AL30" s="167" t="str">
        <x:f>IF(AND(AL$6&lt;=$H30,AL$6+6&gt;=$G30),1,"")</x:f>
      </x:c>
      <x:c r="AM30" s="167" t="str">
        <x:f>IF(AND(AM$6&lt;=$H30,AM$6+6&gt;=$G30),1,"")</x:f>
      </x:c>
      <x:c r="AN30" s="167" t="str">
        <x:f>IF(AND(AN$6&lt;=$H30,AN$6+6&gt;=$G30),1,"")</x:f>
      </x:c>
      <x:c r="AO30" s="167" t="str">
        <x:f>IF(AND(AO$6&lt;=$H30,AO$6+6&gt;=$G30),1,"")</x:f>
      </x:c>
      <x:c r="AP30" s="167" t="str">
        <x:f>IF(AND(AP$6&lt;=$H30,AP$6+6&gt;=$G30),1,"")</x:f>
      </x:c>
      <x:c r="AQ30" s="167" t="str">
        <x:f>IF(AND(AQ$6&lt;=$H30,AQ$6+6&gt;=$G30),1,"")</x:f>
      </x:c>
      <x:c r="AR30" s="167" t="str">
        <x:f>IF(AND(AR$6&lt;=$H30,AR$6+6&gt;=$G30),1,"")</x:f>
      </x:c>
      <x:c r="AS30" s="167" t="str">
        <x:f>IF(AND(AS$6&lt;=$H30,AS$6+6&gt;=$G30),1,"")</x:f>
      </x:c>
      <x:c r="AT30" s="167" t="str">
        <x:f>IF(AND(AT$6&lt;=$H30,AT$6+6&gt;=$G30),1,"")</x:f>
      </x:c>
      <x:c r="AU30" s="167" t="str">
        <x:f>IF(AND(AU$6&lt;=$H30,AU$6+6&gt;=$G30),1,"")</x:f>
      </x:c>
      <x:c r="AV30" s="167" t="str">
        <x:f>IF(AND(AV$6&lt;=$H30,AV$6+6&gt;=$G30),1,"")</x:f>
      </x:c>
      <x:c r="AW30" s="167" t="str">
        <x:f>IF(AND(AW$6&lt;=$H30,AW$6+6&gt;=$G30),1,"")</x:f>
      </x:c>
      <x:c r="AX30" s="167" t="str">
        <x:f>IF(AND(AX$6&lt;=$H30,AX$6+6&gt;=$G30),1,"")</x:f>
      </x:c>
      <x:c r="AY30" s="168" t="str">
        <x:f>IF(AND(AY$6&lt;=$H30,AY$6+6&gt;=$G30),1,"")</x:f>
      </x:c>
    </x:row>
    <x:row r="31" ht="24" customHeight="1">
      <x:c r="A31" s="68" t="str">
        <x:f>'Hardware Tasks'!A29</x:f>
        <x:v>T-611</x:v>
      </x:c>
      <x:c r="B31" s="68" t="str">
        <x:f>'Hardware Tasks'!B29</x:f>
        <x:v>M6</x:v>
      </x:c>
      <x:c r="C31" s="68" t="str">
        <x:f>'Hardware Tasks'!C29</x:f>
        <x:v>Prototype/Actuation</x:v>
      </x:c>
      <x:c r="D31" s="68" t="str">
        <x:f>'Hardware Tasks'!D29</x:f>
        <x:v>Build and characterize a single-joint prototype</x:v>
      </x:c>
      <x:c r="E31" s="68" t="str">
        <x:f>'Hardware Tasks'!E29</x:f>
        <x:v>T-604, T-605, T-606, T-609</x:v>
      </x:c>
      <x:c r="F31" s="68" t="str">
        <x:f>'Hardware Tasks'!F29</x:f>
        <x:v>Blocked</x:v>
      </x:c>
      <x:c r="G31" s="94" t="n">
        <x:f>'Hardware Tasks'!I29</x:f>
        <x:v>46378</x:v>
      </x:c>
      <x:c r="H31" s="94" t="n">
        <x:f>'Hardware Tasks'!J29</x:f>
        <x:v>46386</x:v>
      </x:c>
      <x:c r="I31" s="166" t="str">
        <x:f>IF(AND(I$6&lt;=$H31,I$6+6&gt;=$G31),1,"")</x:f>
      </x:c>
      <x:c r="J31" s="167" t="str">
        <x:f>IF(AND(J$6&lt;=$H31,J$6+6&gt;=$G31),1,"")</x:f>
      </x:c>
      <x:c r="K31" s="167" t="str">
        <x:f>IF(AND(K$6&lt;=$H31,K$6+6&gt;=$G31),1,"")</x:f>
      </x:c>
      <x:c r="L31" s="167" t="str">
        <x:f>IF(AND(L$6&lt;=$H31,L$6+6&gt;=$G31),1,"")</x:f>
      </x:c>
      <x:c r="M31" s="167" t="str">
        <x:f>IF(AND(M$6&lt;=$H31,M$6+6&gt;=$G31),1,"")</x:f>
      </x:c>
      <x:c r="N31" s="167" t="str">
        <x:f>IF(AND(N$6&lt;=$H31,N$6+6&gt;=$G31),1,"")</x:f>
      </x:c>
      <x:c r="O31" s="167" t="str">
        <x:f>IF(AND(O$6&lt;=$H31,O$6+6&gt;=$G31),1,"")</x:f>
      </x:c>
      <x:c r="P31" s="167" t="str">
        <x:f>IF(AND(P$6&lt;=$H31,P$6+6&gt;=$G31),1,"")</x:f>
      </x:c>
      <x:c r="Q31" s="167" t="str">
        <x:f>IF(AND(Q$6&lt;=$H31,Q$6+6&gt;=$G31),1,"")</x:f>
      </x:c>
      <x:c r="R31" s="167" t="str">
        <x:f>IF(AND(R$6&lt;=$H31,R$6+6&gt;=$G31),1,"")</x:f>
      </x:c>
      <x:c r="S31" s="167" t="str">
        <x:f>IF(AND(S$6&lt;=$H31,S$6+6&gt;=$G31),1,"")</x:f>
      </x:c>
      <x:c r="T31" s="167" t="str">
        <x:f>IF(AND(T$6&lt;=$H31,T$6+6&gt;=$G31),1,"")</x:f>
      </x:c>
      <x:c r="U31" s="167" t="str">
        <x:f>IF(AND(U$6&lt;=$H31,U$6+6&gt;=$G31),1,"")</x:f>
      </x:c>
      <x:c r="V31" s="167" t="str">
        <x:f>IF(AND(V$6&lt;=$H31,V$6+6&gt;=$G31),1,"")</x:f>
      </x:c>
      <x:c r="W31" s="167" t="n">
        <x:f>IF(AND(W$6&lt;=$H31,W$6+6&gt;=$G31),1,"")</x:f>
        <x:v>1</x:v>
      </x:c>
      <x:c r="X31" s="167" t="n">
        <x:f>IF(AND(X$6&lt;=$H31,X$6+6&gt;=$G31),1,"")</x:f>
        <x:v>1</x:v>
      </x:c>
      <x:c r="Y31" s="167" t="str">
        <x:f>IF(AND(Y$6&lt;=$H31,Y$6+6&gt;=$G31),1,"")</x:f>
      </x:c>
      <x:c r="Z31" s="167" t="str">
        <x:f>IF(AND(Z$6&lt;=$H31,Z$6+6&gt;=$G31),1,"")</x:f>
      </x:c>
      <x:c r="AA31" s="167" t="str">
        <x:f>IF(AND(AA$6&lt;=$H31,AA$6+6&gt;=$G31),1,"")</x:f>
      </x:c>
      <x:c r="AB31" s="167" t="str">
        <x:f>IF(AND(AB$6&lt;=$H31,AB$6+6&gt;=$G31),1,"")</x:f>
      </x:c>
      <x:c r="AC31" s="167" t="str">
        <x:f>IF(AND(AC$6&lt;=$H31,AC$6+6&gt;=$G31),1,"")</x:f>
      </x:c>
      <x:c r="AD31" s="167" t="str">
        <x:f>IF(AND(AD$6&lt;=$H31,AD$6+6&gt;=$G31),1,"")</x:f>
      </x:c>
      <x:c r="AE31" s="167" t="str">
        <x:f>IF(AND(AE$6&lt;=$H31,AE$6+6&gt;=$G31),1,"")</x:f>
      </x:c>
      <x:c r="AF31" s="167" t="str">
        <x:f>IF(AND(AF$6&lt;=$H31,AF$6+6&gt;=$G31),1,"")</x:f>
      </x:c>
      <x:c r="AG31" s="167" t="str">
        <x:f>IF(AND(AG$6&lt;=$H31,AG$6+6&gt;=$G31),1,"")</x:f>
      </x:c>
      <x:c r="AH31" s="167" t="str">
        <x:f>IF(AND(AH$6&lt;=$H31,AH$6+6&gt;=$G31),1,"")</x:f>
      </x:c>
      <x:c r="AI31" s="167" t="str">
        <x:f>IF(AND(AI$6&lt;=$H31,AI$6+6&gt;=$G31),1,"")</x:f>
      </x:c>
      <x:c r="AJ31" s="167" t="str">
        <x:f>IF(AND(AJ$6&lt;=$H31,AJ$6+6&gt;=$G31),1,"")</x:f>
      </x:c>
      <x:c r="AK31" s="167" t="str">
        <x:f>IF(AND(AK$6&lt;=$H31,AK$6+6&gt;=$G31),1,"")</x:f>
      </x:c>
      <x:c r="AL31" s="167" t="str">
        <x:f>IF(AND(AL$6&lt;=$H31,AL$6+6&gt;=$G31),1,"")</x:f>
      </x:c>
      <x:c r="AM31" s="167" t="str">
        <x:f>IF(AND(AM$6&lt;=$H31,AM$6+6&gt;=$G31),1,"")</x:f>
      </x:c>
      <x:c r="AN31" s="167" t="str">
        <x:f>IF(AND(AN$6&lt;=$H31,AN$6+6&gt;=$G31),1,"")</x:f>
      </x:c>
      <x:c r="AO31" s="167" t="str">
        <x:f>IF(AND(AO$6&lt;=$H31,AO$6+6&gt;=$G31),1,"")</x:f>
      </x:c>
      <x:c r="AP31" s="167" t="str">
        <x:f>IF(AND(AP$6&lt;=$H31,AP$6+6&gt;=$G31),1,"")</x:f>
      </x:c>
      <x:c r="AQ31" s="167" t="str">
        <x:f>IF(AND(AQ$6&lt;=$H31,AQ$6+6&gt;=$G31),1,"")</x:f>
      </x:c>
      <x:c r="AR31" s="167" t="str">
        <x:f>IF(AND(AR$6&lt;=$H31,AR$6+6&gt;=$G31),1,"")</x:f>
      </x:c>
      <x:c r="AS31" s="167" t="str">
        <x:f>IF(AND(AS$6&lt;=$H31,AS$6+6&gt;=$G31),1,"")</x:f>
      </x:c>
      <x:c r="AT31" s="167" t="str">
        <x:f>IF(AND(AT$6&lt;=$H31,AT$6+6&gt;=$G31),1,"")</x:f>
      </x:c>
      <x:c r="AU31" s="167" t="str">
        <x:f>IF(AND(AU$6&lt;=$H31,AU$6+6&gt;=$G31),1,"")</x:f>
      </x:c>
      <x:c r="AV31" s="167" t="str">
        <x:f>IF(AND(AV$6&lt;=$H31,AV$6+6&gt;=$G31),1,"")</x:f>
      </x:c>
      <x:c r="AW31" s="167" t="str">
        <x:f>IF(AND(AW$6&lt;=$H31,AW$6+6&gt;=$G31),1,"")</x:f>
      </x:c>
      <x:c r="AX31" s="167" t="str">
        <x:f>IF(AND(AX$6&lt;=$H31,AX$6+6&gt;=$G31),1,"")</x:f>
      </x:c>
      <x:c r="AY31" s="168" t="str">
        <x:f>IF(AND(AY$6&lt;=$H31,AY$6+6&gt;=$G31),1,"")</x:f>
      </x:c>
    </x:row>
    <x:row r="32" ht="24" customHeight="1">
      <x:c r="A32" s="68" t="str">
        <x:f>'Hardware Tasks'!A30</x:f>
        <x:v>T-612</x:v>
      </x:c>
      <x:c r="B32" s="68" t="str">
        <x:f>'Hardware Tasks'!B30</x:f>
        <x:v>M6</x:v>
      </x:c>
      <x:c r="C32" s="68" t="str">
        <x:f>'Hardware Tasks'!C30</x:f>
        <x:v>Prototype/Contact</x:v>
      </x:c>
      <x:c r="D32" s="68" t="str">
        <x:f>'Hardware Tasks'!D30</x:f>
        <x:v>Build and characterize a linkage/brush-contact rig</x:v>
      </x:c>
      <x:c r="E32" s="68" t="str">
        <x:f>'Hardware Tasks'!E30</x:f>
        <x:v>T-607, T-608, T-609</x:v>
      </x:c>
      <x:c r="F32" s="68" t="str">
        <x:f>'Hardware Tasks'!F30</x:f>
        <x:v>Blocked</x:v>
      </x:c>
      <x:c r="G32" s="94" t="n">
        <x:f>'Hardware Tasks'!I30</x:f>
        <x:v>46387</x:v>
      </x:c>
      <x:c r="H32" s="94" t="n">
        <x:f>'Hardware Tasks'!J30</x:f>
        <x:v>46394</x:v>
      </x:c>
      <x:c r="I32" s="166" t="str">
        <x:f>IF(AND(I$6&lt;=$H32,I$6+6&gt;=$G32),1,"")</x:f>
      </x:c>
      <x:c r="J32" s="167" t="str">
        <x:f>IF(AND(J$6&lt;=$H32,J$6+6&gt;=$G32),1,"")</x:f>
      </x:c>
      <x:c r="K32" s="167" t="str">
        <x:f>IF(AND(K$6&lt;=$H32,K$6+6&gt;=$G32),1,"")</x:f>
      </x:c>
      <x:c r="L32" s="167" t="str">
        <x:f>IF(AND(L$6&lt;=$H32,L$6+6&gt;=$G32),1,"")</x:f>
      </x:c>
      <x:c r="M32" s="167" t="str">
        <x:f>IF(AND(M$6&lt;=$H32,M$6+6&gt;=$G32),1,"")</x:f>
      </x:c>
      <x:c r="N32" s="167" t="str">
        <x:f>IF(AND(N$6&lt;=$H32,N$6+6&gt;=$G32),1,"")</x:f>
      </x:c>
      <x:c r="O32" s="167" t="str">
        <x:f>IF(AND(O$6&lt;=$H32,O$6+6&gt;=$G32),1,"")</x:f>
      </x:c>
      <x:c r="P32" s="167" t="str">
        <x:f>IF(AND(P$6&lt;=$H32,P$6+6&gt;=$G32),1,"")</x:f>
      </x:c>
      <x:c r="Q32" s="167" t="str">
        <x:f>IF(AND(Q$6&lt;=$H32,Q$6+6&gt;=$G32),1,"")</x:f>
      </x:c>
      <x:c r="R32" s="167" t="str">
        <x:f>IF(AND(R$6&lt;=$H32,R$6+6&gt;=$G32),1,"")</x:f>
      </x:c>
      <x:c r="S32" s="167" t="str">
        <x:f>IF(AND(S$6&lt;=$H32,S$6+6&gt;=$G32),1,"")</x:f>
      </x:c>
      <x:c r="T32" s="167" t="str">
        <x:f>IF(AND(T$6&lt;=$H32,T$6+6&gt;=$G32),1,"")</x:f>
      </x:c>
      <x:c r="U32" s="167" t="str">
        <x:f>IF(AND(U$6&lt;=$H32,U$6+6&gt;=$G32),1,"")</x:f>
      </x:c>
      <x:c r="V32" s="167" t="str">
        <x:f>IF(AND(V$6&lt;=$H32,V$6+6&gt;=$G32),1,"")</x:f>
      </x:c>
      <x:c r="W32" s="167" t="str">
        <x:f>IF(AND(W$6&lt;=$H32,W$6+6&gt;=$G32),1,"")</x:f>
      </x:c>
      <x:c r="X32" s="167" t="n">
        <x:f>IF(AND(X$6&lt;=$H32,X$6+6&gt;=$G32),1,"")</x:f>
        <x:v>1</x:v>
      </x:c>
      <x:c r="Y32" s="167" t="n">
        <x:f>IF(AND(Y$6&lt;=$H32,Y$6+6&gt;=$G32),1,"")</x:f>
        <x:v>1</x:v>
      </x:c>
      <x:c r="Z32" s="167" t="str">
        <x:f>IF(AND(Z$6&lt;=$H32,Z$6+6&gt;=$G32),1,"")</x:f>
      </x:c>
      <x:c r="AA32" s="167" t="str">
        <x:f>IF(AND(AA$6&lt;=$H32,AA$6+6&gt;=$G32),1,"")</x:f>
      </x:c>
      <x:c r="AB32" s="167" t="str">
        <x:f>IF(AND(AB$6&lt;=$H32,AB$6+6&gt;=$G32),1,"")</x:f>
      </x:c>
      <x:c r="AC32" s="167" t="str">
        <x:f>IF(AND(AC$6&lt;=$H32,AC$6+6&gt;=$G32),1,"")</x:f>
      </x:c>
      <x:c r="AD32" s="167" t="str">
        <x:f>IF(AND(AD$6&lt;=$H32,AD$6+6&gt;=$G32),1,"")</x:f>
      </x:c>
      <x:c r="AE32" s="167" t="str">
        <x:f>IF(AND(AE$6&lt;=$H32,AE$6+6&gt;=$G32),1,"")</x:f>
      </x:c>
      <x:c r="AF32" s="167" t="str">
        <x:f>IF(AND(AF$6&lt;=$H32,AF$6+6&gt;=$G32),1,"")</x:f>
      </x:c>
      <x:c r="AG32" s="167" t="str">
        <x:f>IF(AND(AG$6&lt;=$H32,AG$6+6&gt;=$G32),1,"")</x:f>
      </x:c>
      <x:c r="AH32" s="167" t="str">
        <x:f>IF(AND(AH$6&lt;=$H32,AH$6+6&gt;=$G32),1,"")</x:f>
      </x:c>
      <x:c r="AI32" s="167" t="str">
        <x:f>IF(AND(AI$6&lt;=$H32,AI$6+6&gt;=$G32),1,"")</x:f>
      </x:c>
      <x:c r="AJ32" s="167" t="str">
        <x:f>IF(AND(AJ$6&lt;=$H32,AJ$6+6&gt;=$G32),1,"")</x:f>
      </x:c>
      <x:c r="AK32" s="167" t="str">
        <x:f>IF(AND(AK$6&lt;=$H32,AK$6+6&gt;=$G32),1,"")</x:f>
      </x:c>
      <x:c r="AL32" s="167" t="str">
        <x:f>IF(AND(AL$6&lt;=$H32,AL$6+6&gt;=$G32),1,"")</x:f>
      </x:c>
      <x:c r="AM32" s="167" t="str">
        <x:f>IF(AND(AM$6&lt;=$H32,AM$6+6&gt;=$G32),1,"")</x:f>
      </x:c>
      <x:c r="AN32" s="167" t="str">
        <x:f>IF(AND(AN$6&lt;=$H32,AN$6+6&gt;=$G32),1,"")</x:f>
      </x:c>
      <x:c r="AO32" s="167" t="str">
        <x:f>IF(AND(AO$6&lt;=$H32,AO$6+6&gt;=$G32),1,"")</x:f>
      </x:c>
      <x:c r="AP32" s="167" t="str">
        <x:f>IF(AND(AP$6&lt;=$H32,AP$6+6&gt;=$G32),1,"")</x:f>
      </x:c>
      <x:c r="AQ32" s="167" t="str">
        <x:f>IF(AND(AQ$6&lt;=$H32,AQ$6+6&gt;=$G32),1,"")</x:f>
      </x:c>
      <x:c r="AR32" s="167" t="str">
        <x:f>IF(AND(AR$6&lt;=$H32,AR$6+6&gt;=$G32),1,"")</x:f>
      </x:c>
      <x:c r="AS32" s="167" t="str">
        <x:f>IF(AND(AS$6&lt;=$H32,AS$6+6&gt;=$G32),1,"")</x:f>
      </x:c>
      <x:c r="AT32" s="167" t="str">
        <x:f>IF(AND(AT$6&lt;=$H32,AT$6+6&gt;=$G32),1,"")</x:f>
      </x:c>
      <x:c r="AU32" s="167" t="str">
        <x:f>IF(AND(AU$6&lt;=$H32,AU$6+6&gt;=$G32),1,"")</x:f>
      </x:c>
      <x:c r="AV32" s="167" t="str">
        <x:f>IF(AND(AV$6&lt;=$H32,AV$6+6&gt;=$G32),1,"")</x:f>
      </x:c>
      <x:c r="AW32" s="167" t="str">
        <x:f>IF(AND(AW$6&lt;=$H32,AW$6+6&gt;=$G32),1,"")</x:f>
      </x:c>
      <x:c r="AX32" s="167" t="str">
        <x:f>IF(AND(AX$6&lt;=$H32,AX$6+6&gt;=$G32),1,"")</x:f>
      </x:c>
      <x:c r="AY32" s="168" t="str">
        <x:f>IF(AND(AY$6&lt;=$H32,AY$6+6&gt;=$G32),1,"")</x:f>
      </x:c>
    </x:row>
    <x:row r="33" ht="24" customHeight="1">
      <x:c r="A33" s="68" t="str">
        <x:f>'Hardware Tasks'!A31</x:f>
        <x:v>T-613</x:v>
      </x:c>
      <x:c r="B33" s="68" t="str">
        <x:f>'Hardware Tasks'!B31</x:f>
        <x:v>M6</x:v>
      </x:c>
      <x:c r="C33" s="68" t="str">
        <x:f>'Hardware Tasks'!C31</x:f>
        <x:v>Calibration/Digital Thread</x:v>
      </x:c>
      <x:c r="D33" s="68" t="str">
        <x:f>'Hardware Tasks'!D31</x:f>
        <x:v>Feed prototype measurements back into all models</x:v>
      </x:c>
      <x:c r="E33" s="68" t="str">
        <x:f>'Hardware Tasks'!E31</x:f>
        <x:v>T-511, T-611, T-612</x:v>
      </x:c>
      <x:c r="F33" s="68" t="str">
        <x:f>'Hardware Tasks'!F31</x:f>
        <x:v>Blocked</x:v>
      </x:c>
      <x:c r="G33" s="94" t="n">
        <x:f>'Hardware Tasks'!I31</x:f>
        <x:v>46395</x:v>
      </x:c>
      <x:c r="H33" s="94" t="n">
        <x:f>'Hardware Tasks'!J31</x:f>
        <x:v>46400</x:v>
      </x:c>
      <x:c r="I33" s="166" t="str">
        <x:f>IF(AND(I$6&lt;=$H33,I$6+6&gt;=$G33),1,"")</x:f>
      </x:c>
      <x:c r="J33" s="167" t="str">
        <x:f>IF(AND(J$6&lt;=$H33,J$6+6&gt;=$G33),1,"")</x:f>
      </x:c>
      <x:c r="K33" s="167" t="str">
        <x:f>IF(AND(K$6&lt;=$H33,K$6+6&gt;=$G33),1,"")</x:f>
      </x:c>
      <x:c r="L33" s="167" t="str">
        <x:f>IF(AND(L$6&lt;=$H33,L$6+6&gt;=$G33),1,"")</x:f>
      </x:c>
      <x:c r="M33" s="167" t="str">
        <x:f>IF(AND(M$6&lt;=$H33,M$6+6&gt;=$G33),1,"")</x:f>
      </x:c>
      <x:c r="N33" s="167" t="str">
        <x:f>IF(AND(N$6&lt;=$H33,N$6+6&gt;=$G33),1,"")</x:f>
      </x:c>
      <x:c r="O33" s="167" t="str">
        <x:f>IF(AND(O$6&lt;=$H33,O$6+6&gt;=$G33),1,"")</x:f>
      </x:c>
      <x:c r="P33" s="167" t="str">
        <x:f>IF(AND(P$6&lt;=$H33,P$6+6&gt;=$G33),1,"")</x:f>
      </x:c>
      <x:c r="Q33" s="167" t="str">
        <x:f>IF(AND(Q$6&lt;=$H33,Q$6+6&gt;=$G33),1,"")</x:f>
      </x:c>
      <x:c r="R33" s="167" t="str">
        <x:f>IF(AND(R$6&lt;=$H33,R$6+6&gt;=$G33),1,"")</x:f>
      </x:c>
      <x:c r="S33" s="167" t="str">
        <x:f>IF(AND(S$6&lt;=$H33,S$6+6&gt;=$G33),1,"")</x:f>
      </x:c>
      <x:c r="T33" s="167" t="str">
        <x:f>IF(AND(T$6&lt;=$H33,T$6+6&gt;=$G33),1,"")</x:f>
      </x:c>
      <x:c r="U33" s="167" t="str">
        <x:f>IF(AND(U$6&lt;=$H33,U$6+6&gt;=$G33),1,"")</x:f>
      </x:c>
      <x:c r="V33" s="167" t="str">
        <x:f>IF(AND(V$6&lt;=$H33,V$6+6&gt;=$G33),1,"")</x:f>
      </x:c>
      <x:c r="W33" s="167" t="str">
        <x:f>IF(AND(W$6&lt;=$H33,W$6+6&gt;=$G33),1,"")</x:f>
      </x:c>
      <x:c r="X33" s="167" t="str">
        <x:f>IF(AND(X$6&lt;=$H33,X$6+6&gt;=$G33),1,"")</x:f>
      </x:c>
      <x:c r="Y33" s="167" t="n">
        <x:f>IF(AND(Y$6&lt;=$H33,Y$6+6&gt;=$G33),1,"")</x:f>
        <x:v>1</x:v>
      </x:c>
      <x:c r="Z33" s="167" t="n">
        <x:f>IF(AND(Z$6&lt;=$H33,Z$6+6&gt;=$G33),1,"")</x:f>
        <x:v>1</x:v>
      </x:c>
      <x:c r="AA33" s="167" t="str">
        <x:f>IF(AND(AA$6&lt;=$H33,AA$6+6&gt;=$G33),1,"")</x:f>
      </x:c>
      <x:c r="AB33" s="167" t="str">
        <x:f>IF(AND(AB$6&lt;=$H33,AB$6+6&gt;=$G33),1,"")</x:f>
      </x:c>
      <x:c r="AC33" s="167" t="str">
        <x:f>IF(AND(AC$6&lt;=$H33,AC$6+6&gt;=$G33),1,"")</x:f>
      </x:c>
      <x:c r="AD33" s="167" t="str">
        <x:f>IF(AND(AD$6&lt;=$H33,AD$6+6&gt;=$G33),1,"")</x:f>
      </x:c>
      <x:c r="AE33" s="167" t="str">
        <x:f>IF(AND(AE$6&lt;=$H33,AE$6+6&gt;=$G33),1,"")</x:f>
      </x:c>
      <x:c r="AF33" s="167" t="str">
        <x:f>IF(AND(AF$6&lt;=$H33,AF$6+6&gt;=$G33),1,"")</x:f>
      </x:c>
      <x:c r="AG33" s="167" t="str">
        <x:f>IF(AND(AG$6&lt;=$H33,AG$6+6&gt;=$G33),1,"")</x:f>
      </x:c>
      <x:c r="AH33" s="167" t="str">
        <x:f>IF(AND(AH$6&lt;=$H33,AH$6+6&gt;=$G33),1,"")</x:f>
      </x:c>
      <x:c r="AI33" s="167" t="str">
        <x:f>IF(AND(AI$6&lt;=$H33,AI$6+6&gt;=$G33),1,"")</x:f>
      </x:c>
      <x:c r="AJ33" s="167" t="str">
        <x:f>IF(AND(AJ$6&lt;=$H33,AJ$6+6&gt;=$G33),1,"")</x:f>
      </x:c>
      <x:c r="AK33" s="167" t="str">
        <x:f>IF(AND(AK$6&lt;=$H33,AK$6+6&gt;=$G33),1,"")</x:f>
      </x:c>
      <x:c r="AL33" s="167" t="str">
        <x:f>IF(AND(AL$6&lt;=$H33,AL$6+6&gt;=$G33),1,"")</x:f>
      </x:c>
      <x:c r="AM33" s="167" t="str">
        <x:f>IF(AND(AM$6&lt;=$H33,AM$6+6&gt;=$G33),1,"")</x:f>
      </x:c>
      <x:c r="AN33" s="167" t="str">
        <x:f>IF(AND(AN$6&lt;=$H33,AN$6+6&gt;=$G33),1,"")</x:f>
      </x:c>
      <x:c r="AO33" s="167" t="str">
        <x:f>IF(AND(AO$6&lt;=$H33,AO$6+6&gt;=$G33),1,"")</x:f>
      </x:c>
      <x:c r="AP33" s="167" t="str">
        <x:f>IF(AND(AP$6&lt;=$H33,AP$6+6&gt;=$G33),1,"")</x:f>
      </x:c>
      <x:c r="AQ33" s="167" t="str">
        <x:f>IF(AND(AQ$6&lt;=$H33,AQ$6+6&gt;=$G33),1,"")</x:f>
      </x:c>
      <x:c r="AR33" s="167" t="str">
        <x:f>IF(AND(AR$6&lt;=$H33,AR$6+6&gt;=$G33),1,"")</x:f>
      </x:c>
      <x:c r="AS33" s="167" t="str">
        <x:f>IF(AND(AS$6&lt;=$H33,AS$6+6&gt;=$G33),1,"")</x:f>
      </x:c>
      <x:c r="AT33" s="167" t="str">
        <x:f>IF(AND(AT$6&lt;=$H33,AT$6+6&gt;=$G33),1,"")</x:f>
      </x:c>
      <x:c r="AU33" s="167" t="str">
        <x:f>IF(AND(AU$6&lt;=$H33,AU$6+6&gt;=$G33),1,"")</x:f>
      </x:c>
      <x:c r="AV33" s="167" t="str">
        <x:f>IF(AND(AV$6&lt;=$H33,AV$6+6&gt;=$G33),1,"")</x:f>
      </x:c>
      <x:c r="AW33" s="167" t="str">
        <x:f>IF(AND(AW$6&lt;=$H33,AW$6+6&gt;=$G33),1,"")</x:f>
      </x:c>
      <x:c r="AX33" s="167" t="str">
        <x:f>IF(AND(AX$6&lt;=$H33,AX$6+6&gt;=$G33),1,"")</x:f>
      </x:c>
      <x:c r="AY33" s="168" t="str">
        <x:f>IF(AND(AY$6&lt;=$H33,AY$6+6&gt;=$G33),1,"")</x:f>
      </x:c>
    </x:row>
    <x:row r="34" ht="24" customHeight="1">
      <x:c r="A34" s="68" t="str">
        <x:f>'Hardware Tasks'!A32</x:f>
        <x:v>T-614</x:v>
      </x:c>
      <x:c r="B34" s="68" t="str">
        <x:f>'Hardware Tasks'!B32</x:f>
        <x:v>M6</x:v>
      </x:c>
      <x:c r="C34" s="68" t="str">
        <x:f>'Hardware Tasks'!C32</x:f>
        <x:v>Mechanical Review</x:v>
      </x:c>
      <x:c r="D34" s="68" t="str">
        <x:f>'Hardware Tasks'!D32</x:f>
        <x:v>Conduct the integrated prototype design review</x:v>
      </x:c>
      <x:c r="E34" s="68" t="str">
        <x:f>'Hardware Tasks'!E32</x:f>
        <x:v>T-610, T-613</x:v>
      </x:c>
      <x:c r="F34" s="68" t="str">
        <x:f>'Hardware Tasks'!F32</x:f>
        <x:v>Blocked</x:v>
      </x:c>
      <x:c r="G34" s="94" t="n">
        <x:f>'Hardware Tasks'!I32</x:f>
        <x:v>46401</x:v>
      </x:c>
      <x:c r="H34" s="94" t="n">
        <x:f>'Hardware Tasks'!J32</x:f>
        <x:v>46402</x:v>
      </x:c>
      <x:c r="I34" s="166" t="str">
        <x:f>IF(AND(I$6&lt;=$H34,I$6+6&gt;=$G34),1,"")</x:f>
      </x:c>
      <x:c r="J34" s="167" t="str">
        <x:f>IF(AND(J$6&lt;=$H34,J$6+6&gt;=$G34),1,"")</x:f>
      </x:c>
      <x:c r="K34" s="167" t="str">
        <x:f>IF(AND(K$6&lt;=$H34,K$6+6&gt;=$G34),1,"")</x:f>
      </x:c>
      <x:c r="L34" s="167" t="str">
        <x:f>IF(AND(L$6&lt;=$H34,L$6+6&gt;=$G34),1,"")</x:f>
      </x:c>
      <x:c r="M34" s="167" t="str">
        <x:f>IF(AND(M$6&lt;=$H34,M$6+6&gt;=$G34),1,"")</x:f>
      </x:c>
      <x:c r="N34" s="167" t="str">
        <x:f>IF(AND(N$6&lt;=$H34,N$6+6&gt;=$G34),1,"")</x:f>
      </x:c>
      <x:c r="O34" s="167" t="str">
        <x:f>IF(AND(O$6&lt;=$H34,O$6+6&gt;=$G34),1,"")</x:f>
      </x:c>
      <x:c r="P34" s="167" t="str">
        <x:f>IF(AND(P$6&lt;=$H34,P$6+6&gt;=$G34),1,"")</x:f>
      </x:c>
      <x:c r="Q34" s="167" t="str">
        <x:f>IF(AND(Q$6&lt;=$H34,Q$6+6&gt;=$G34),1,"")</x:f>
      </x:c>
      <x:c r="R34" s="167" t="str">
        <x:f>IF(AND(R$6&lt;=$H34,R$6+6&gt;=$G34),1,"")</x:f>
      </x:c>
      <x:c r="S34" s="167" t="str">
        <x:f>IF(AND(S$6&lt;=$H34,S$6+6&gt;=$G34),1,"")</x:f>
      </x:c>
      <x:c r="T34" s="167" t="str">
        <x:f>IF(AND(T$6&lt;=$H34,T$6+6&gt;=$G34),1,"")</x:f>
      </x:c>
      <x:c r="U34" s="167" t="str">
        <x:f>IF(AND(U$6&lt;=$H34,U$6+6&gt;=$G34),1,"")</x:f>
      </x:c>
      <x:c r="V34" s="167" t="str">
        <x:f>IF(AND(V$6&lt;=$H34,V$6+6&gt;=$G34),1,"")</x:f>
      </x:c>
      <x:c r="W34" s="167" t="str">
        <x:f>IF(AND(W$6&lt;=$H34,W$6+6&gt;=$G34),1,"")</x:f>
      </x:c>
      <x:c r="X34" s="167" t="str">
        <x:f>IF(AND(X$6&lt;=$H34,X$6+6&gt;=$G34),1,"")</x:f>
      </x:c>
      <x:c r="Y34" s="167" t="str">
        <x:f>IF(AND(Y$6&lt;=$H34,Y$6+6&gt;=$G34),1,"")</x:f>
      </x:c>
      <x:c r="Z34" s="167" t="n">
        <x:f>IF(AND(Z$6&lt;=$H34,Z$6+6&gt;=$G34),1,"")</x:f>
        <x:v>1</x:v>
      </x:c>
      <x:c r="AA34" s="167" t="str">
        <x:f>IF(AND(AA$6&lt;=$H34,AA$6+6&gt;=$G34),1,"")</x:f>
      </x:c>
      <x:c r="AB34" s="167" t="str">
        <x:f>IF(AND(AB$6&lt;=$H34,AB$6+6&gt;=$G34),1,"")</x:f>
      </x:c>
      <x:c r="AC34" s="167" t="str">
        <x:f>IF(AND(AC$6&lt;=$H34,AC$6+6&gt;=$G34),1,"")</x:f>
      </x:c>
      <x:c r="AD34" s="167" t="str">
        <x:f>IF(AND(AD$6&lt;=$H34,AD$6+6&gt;=$G34),1,"")</x:f>
      </x:c>
      <x:c r="AE34" s="167" t="str">
        <x:f>IF(AND(AE$6&lt;=$H34,AE$6+6&gt;=$G34),1,"")</x:f>
      </x:c>
      <x:c r="AF34" s="167" t="str">
        <x:f>IF(AND(AF$6&lt;=$H34,AF$6+6&gt;=$G34),1,"")</x:f>
      </x:c>
      <x:c r="AG34" s="167" t="str">
        <x:f>IF(AND(AG$6&lt;=$H34,AG$6+6&gt;=$G34),1,"")</x:f>
      </x:c>
      <x:c r="AH34" s="167" t="str">
        <x:f>IF(AND(AH$6&lt;=$H34,AH$6+6&gt;=$G34),1,"")</x:f>
      </x:c>
      <x:c r="AI34" s="167" t="str">
        <x:f>IF(AND(AI$6&lt;=$H34,AI$6+6&gt;=$G34),1,"")</x:f>
      </x:c>
      <x:c r="AJ34" s="167" t="str">
        <x:f>IF(AND(AJ$6&lt;=$H34,AJ$6+6&gt;=$G34),1,"")</x:f>
      </x:c>
      <x:c r="AK34" s="167" t="str">
        <x:f>IF(AND(AK$6&lt;=$H34,AK$6+6&gt;=$G34),1,"")</x:f>
      </x:c>
      <x:c r="AL34" s="167" t="str">
        <x:f>IF(AND(AL$6&lt;=$H34,AL$6+6&gt;=$G34),1,"")</x:f>
      </x:c>
      <x:c r="AM34" s="167" t="str">
        <x:f>IF(AND(AM$6&lt;=$H34,AM$6+6&gt;=$G34),1,"")</x:f>
      </x:c>
      <x:c r="AN34" s="167" t="str">
        <x:f>IF(AND(AN$6&lt;=$H34,AN$6+6&gt;=$G34),1,"")</x:f>
      </x:c>
      <x:c r="AO34" s="167" t="str">
        <x:f>IF(AND(AO$6&lt;=$H34,AO$6+6&gt;=$G34),1,"")</x:f>
      </x:c>
      <x:c r="AP34" s="167" t="str">
        <x:f>IF(AND(AP$6&lt;=$H34,AP$6+6&gt;=$G34),1,"")</x:f>
      </x:c>
      <x:c r="AQ34" s="167" t="str">
        <x:f>IF(AND(AQ$6&lt;=$H34,AQ$6+6&gt;=$G34),1,"")</x:f>
      </x:c>
      <x:c r="AR34" s="167" t="str">
        <x:f>IF(AND(AR$6&lt;=$H34,AR$6+6&gt;=$G34),1,"")</x:f>
      </x:c>
      <x:c r="AS34" s="167" t="str">
        <x:f>IF(AND(AS$6&lt;=$H34,AS$6+6&gt;=$G34),1,"")</x:f>
      </x:c>
      <x:c r="AT34" s="167" t="str">
        <x:f>IF(AND(AT$6&lt;=$H34,AT$6+6&gt;=$G34),1,"")</x:f>
      </x:c>
      <x:c r="AU34" s="167" t="str">
        <x:f>IF(AND(AU$6&lt;=$H34,AU$6+6&gt;=$G34),1,"")</x:f>
      </x:c>
      <x:c r="AV34" s="167" t="str">
        <x:f>IF(AND(AV$6&lt;=$H34,AV$6+6&gt;=$G34),1,"")</x:f>
      </x:c>
      <x:c r="AW34" s="167" t="str">
        <x:f>IF(AND(AW$6&lt;=$H34,AW$6+6&gt;=$G34),1,"")</x:f>
      </x:c>
      <x:c r="AX34" s="167" t="str">
        <x:f>IF(AND(AX$6&lt;=$H34,AX$6+6&gt;=$G34),1,"")</x:f>
      </x:c>
      <x:c r="AY34" s="168" t="str">
        <x:f>IF(AND(AY$6&lt;=$H34,AY$6+6&gt;=$G34),1,"")</x:f>
      </x:c>
    </x:row>
    <x:row r="35" ht="24" customHeight="1">
      <x:c r="A35" s="68" t="str">
        <x:f>'Hardware Tasks'!A33</x:f>
        <x:v>T-615</x:v>
      </x:c>
      <x:c r="B35" s="68" t="str">
        <x:f>'Hardware Tasks'!B33</x:f>
        <x:v>M6</x:v>
      </x:c>
      <x:c r="C35" s="68" t="str">
        <x:f>'Hardware Tasks'!C33</x:f>
        <x:v>Validation</x:v>
      </x:c>
      <x:c r="D35" s="68" t="str">
        <x:f>'Hardware Tasks'!D33</x:f>
        <x:v>M6 prototype-release gate</x:v>
      </x:c>
      <x:c r="E35" s="68" t="str">
        <x:f>'Hardware Tasks'!E33</x:f>
        <x:v>T-614</x:v>
      </x:c>
      <x:c r="F35" s="68" t="str">
        <x:f>'Hardware Tasks'!F33</x:f>
        <x:v>Blocked</x:v>
      </x:c>
      <x:c r="G35" s="94" t="n">
        <x:f>'Hardware Tasks'!I33</x:f>
        <x:v>46405</x:v>
      </x:c>
      <x:c r="H35" s="94" t="n">
        <x:f>'Hardware Tasks'!J33</x:f>
        <x:v>46405</x:v>
      </x:c>
      <x:c r="I35" s="166" t="str">
        <x:f>IF(AND(I$6&lt;=$H35,I$6+6&gt;=$G35),1,"")</x:f>
      </x:c>
      <x:c r="J35" s="167" t="str">
        <x:f>IF(AND(J$6&lt;=$H35,J$6+6&gt;=$G35),1,"")</x:f>
      </x:c>
      <x:c r="K35" s="167" t="str">
        <x:f>IF(AND(K$6&lt;=$H35,K$6+6&gt;=$G35),1,"")</x:f>
      </x:c>
      <x:c r="L35" s="167" t="str">
        <x:f>IF(AND(L$6&lt;=$H35,L$6+6&gt;=$G35),1,"")</x:f>
      </x:c>
      <x:c r="M35" s="167" t="str">
        <x:f>IF(AND(M$6&lt;=$H35,M$6+6&gt;=$G35),1,"")</x:f>
      </x:c>
      <x:c r="N35" s="167" t="str">
        <x:f>IF(AND(N$6&lt;=$H35,N$6+6&gt;=$G35),1,"")</x:f>
      </x:c>
      <x:c r="O35" s="167" t="str">
        <x:f>IF(AND(O$6&lt;=$H35,O$6+6&gt;=$G35),1,"")</x:f>
      </x:c>
      <x:c r="P35" s="167" t="str">
        <x:f>IF(AND(P$6&lt;=$H35,P$6+6&gt;=$G35),1,"")</x:f>
      </x:c>
      <x:c r="Q35" s="167" t="str">
        <x:f>IF(AND(Q$6&lt;=$H35,Q$6+6&gt;=$G35),1,"")</x:f>
      </x:c>
      <x:c r="R35" s="167" t="str">
        <x:f>IF(AND(R$6&lt;=$H35,R$6+6&gt;=$G35),1,"")</x:f>
      </x:c>
      <x:c r="S35" s="167" t="str">
        <x:f>IF(AND(S$6&lt;=$H35,S$6+6&gt;=$G35),1,"")</x:f>
      </x:c>
      <x:c r="T35" s="167" t="str">
        <x:f>IF(AND(T$6&lt;=$H35,T$6+6&gt;=$G35),1,"")</x:f>
      </x:c>
      <x:c r="U35" s="167" t="str">
        <x:f>IF(AND(U$6&lt;=$H35,U$6+6&gt;=$G35),1,"")</x:f>
      </x:c>
      <x:c r="V35" s="167" t="str">
        <x:f>IF(AND(V$6&lt;=$H35,V$6+6&gt;=$G35),1,"")</x:f>
      </x:c>
      <x:c r="W35" s="167" t="str">
        <x:f>IF(AND(W$6&lt;=$H35,W$6+6&gt;=$G35),1,"")</x:f>
      </x:c>
      <x:c r="X35" s="167" t="str">
        <x:f>IF(AND(X$6&lt;=$H35,X$6+6&gt;=$G35),1,"")</x:f>
      </x:c>
      <x:c r="Y35" s="167" t="str">
        <x:f>IF(AND(Y$6&lt;=$H35,Y$6+6&gt;=$G35),1,"")</x:f>
      </x:c>
      <x:c r="Z35" s="167" t="str">
        <x:f>IF(AND(Z$6&lt;=$H35,Z$6+6&gt;=$G35),1,"")</x:f>
      </x:c>
      <x:c r="AA35" s="167" t="n">
        <x:f>IF(AND(AA$6&lt;=$H35,AA$6+6&gt;=$G35),1,"")</x:f>
        <x:v>1</x:v>
      </x:c>
      <x:c r="AB35" s="167" t="str">
        <x:f>IF(AND(AB$6&lt;=$H35,AB$6+6&gt;=$G35),1,"")</x:f>
      </x:c>
      <x:c r="AC35" s="167" t="str">
        <x:f>IF(AND(AC$6&lt;=$H35,AC$6+6&gt;=$G35),1,"")</x:f>
      </x:c>
      <x:c r="AD35" s="167" t="str">
        <x:f>IF(AND(AD$6&lt;=$H35,AD$6+6&gt;=$G35),1,"")</x:f>
      </x:c>
      <x:c r="AE35" s="167" t="str">
        <x:f>IF(AND(AE$6&lt;=$H35,AE$6+6&gt;=$G35),1,"")</x:f>
      </x:c>
      <x:c r="AF35" s="167" t="str">
        <x:f>IF(AND(AF$6&lt;=$H35,AF$6+6&gt;=$G35),1,"")</x:f>
      </x:c>
      <x:c r="AG35" s="167" t="str">
        <x:f>IF(AND(AG$6&lt;=$H35,AG$6+6&gt;=$G35),1,"")</x:f>
      </x:c>
      <x:c r="AH35" s="167" t="str">
        <x:f>IF(AND(AH$6&lt;=$H35,AH$6+6&gt;=$G35),1,"")</x:f>
      </x:c>
      <x:c r="AI35" s="167" t="str">
        <x:f>IF(AND(AI$6&lt;=$H35,AI$6+6&gt;=$G35),1,"")</x:f>
      </x:c>
      <x:c r="AJ35" s="167" t="str">
        <x:f>IF(AND(AJ$6&lt;=$H35,AJ$6+6&gt;=$G35),1,"")</x:f>
      </x:c>
      <x:c r="AK35" s="167" t="str">
        <x:f>IF(AND(AK$6&lt;=$H35,AK$6+6&gt;=$G35),1,"")</x:f>
      </x:c>
      <x:c r="AL35" s="167" t="str">
        <x:f>IF(AND(AL$6&lt;=$H35,AL$6+6&gt;=$G35),1,"")</x:f>
      </x:c>
      <x:c r="AM35" s="167" t="str">
        <x:f>IF(AND(AM$6&lt;=$H35,AM$6+6&gt;=$G35),1,"")</x:f>
      </x:c>
      <x:c r="AN35" s="167" t="str">
        <x:f>IF(AND(AN$6&lt;=$H35,AN$6+6&gt;=$G35),1,"")</x:f>
      </x:c>
      <x:c r="AO35" s="167" t="str">
        <x:f>IF(AND(AO$6&lt;=$H35,AO$6+6&gt;=$G35),1,"")</x:f>
      </x:c>
      <x:c r="AP35" s="167" t="str">
        <x:f>IF(AND(AP$6&lt;=$H35,AP$6+6&gt;=$G35),1,"")</x:f>
      </x:c>
      <x:c r="AQ35" s="167" t="str">
        <x:f>IF(AND(AQ$6&lt;=$H35,AQ$6+6&gt;=$G35),1,"")</x:f>
      </x:c>
      <x:c r="AR35" s="167" t="str">
        <x:f>IF(AND(AR$6&lt;=$H35,AR$6+6&gt;=$G35),1,"")</x:f>
      </x:c>
      <x:c r="AS35" s="167" t="str">
        <x:f>IF(AND(AS$6&lt;=$H35,AS$6+6&gt;=$G35),1,"")</x:f>
      </x:c>
      <x:c r="AT35" s="167" t="str">
        <x:f>IF(AND(AT$6&lt;=$H35,AT$6+6&gt;=$G35),1,"")</x:f>
      </x:c>
      <x:c r="AU35" s="167" t="str">
        <x:f>IF(AND(AU$6&lt;=$H35,AU$6+6&gt;=$G35),1,"")</x:f>
      </x:c>
      <x:c r="AV35" s="167" t="str">
        <x:f>IF(AND(AV$6&lt;=$H35,AV$6+6&gt;=$G35),1,"")</x:f>
      </x:c>
      <x:c r="AW35" s="167" t="str">
        <x:f>IF(AND(AW$6&lt;=$H35,AW$6+6&gt;=$G35),1,"")</x:f>
      </x:c>
      <x:c r="AX35" s="167" t="str">
        <x:f>IF(AND(AX$6&lt;=$H35,AX$6+6&gt;=$G35),1,"")</x:f>
      </x:c>
      <x:c r="AY35" s="168" t="str">
        <x:f>IF(AND(AY$6&lt;=$H35,AY$6+6&gt;=$G35),1,"")</x:f>
      </x:c>
    </x:row>
    <x:row r="36" ht="24" customHeight="1">
      <x:c r="A36" s="68" t="str">
        <x:f>'Hardware Tasks'!A34</x:f>
        <x:v>T-701</x:v>
      </x:c>
      <x:c r="B36" s="68" t="str">
        <x:f>'Hardware Tasks'!B34</x:f>
        <x:v>M7</x:v>
      </x:c>
      <x:c r="C36" s="68" t="str">
        <x:f>'Hardware Tasks'!C34</x:f>
        <x:v>Safety</x:v>
      </x:c>
      <x:c r="D36" s="68" t="str">
        <x:f>'Hardware Tasks'!D34</x:f>
        <x:v>Perform hazard analysis and define operating modes</x:v>
      </x:c>
      <x:c r="E36" s="68" t="str">
        <x:f>'Hardware Tasks'!E34</x:f>
        <x:v>T-503, T-505</x:v>
      </x:c>
      <x:c r="F36" s="68" t="str">
        <x:f>'Hardware Tasks'!F34</x:f>
        <x:v>Blocked</x:v>
      </x:c>
      <x:c r="G36" s="94" t="n">
        <x:f>'Hardware Tasks'!I34</x:f>
        <x:v>46300</x:v>
      </x:c>
      <x:c r="H36" s="94" t="n">
        <x:f>'Hardware Tasks'!J34</x:f>
        <x:v>46302</x:v>
      </x:c>
      <x:c r="I36" s="166" t="str">
        <x:f>IF(AND(I$6&lt;=$H36,I$6+6&gt;=$G36),1,"")</x:f>
      </x:c>
      <x:c r="J36" s="167" t="str">
        <x:f>IF(AND(J$6&lt;=$H36,J$6+6&gt;=$G36),1,"")</x:f>
      </x:c>
      <x:c r="K36" s="167" t="str">
        <x:f>IF(AND(K$6&lt;=$H36,K$6+6&gt;=$G36),1,"")</x:f>
      </x:c>
      <x:c r="L36" s="167" t="n">
        <x:f>IF(AND(L$6&lt;=$H36,L$6+6&gt;=$G36),1,"")</x:f>
        <x:v>1</x:v>
      </x:c>
      <x:c r="M36" s="167" t="str">
        <x:f>IF(AND(M$6&lt;=$H36,M$6+6&gt;=$G36),1,"")</x:f>
      </x:c>
      <x:c r="N36" s="167" t="str">
        <x:f>IF(AND(N$6&lt;=$H36,N$6+6&gt;=$G36),1,"")</x:f>
      </x:c>
      <x:c r="O36" s="167" t="str">
        <x:f>IF(AND(O$6&lt;=$H36,O$6+6&gt;=$G36),1,"")</x:f>
      </x:c>
      <x:c r="P36" s="167" t="str">
        <x:f>IF(AND(P$6&lt;=$H36,P$6+6&gt;=$G36),1,"")</x:f>
      </x:c>
      <x:c r="Q36" s="167" t="str">
        <x:f>IF(AND(Q$6&lt;=$H36,Q$6+6&gt;=$G36),1,"")</x:f>
      </x:c>
      <x:c r="R36" s="167" t="str">
        <x:f>IF(AND(R$6&lt;=$H36,R$6+6&gt;=$G36),1,"")</x:f>
      </x:c>
      <x:c r="S36" s="167" t="str">
        <x:f>IF(AND(S$6&lt;=$H36,S$6+6&gt;=$G36),1,"")</x:f>
      </x:c>
      <x:c r="T36" s="167" t="str">
        <x:f>IF(AND(T$6&lt;=$H36,T$6+6&gt;=$G36),1,"")</x:f>
      </x:c>
      <x:c r="U36" s="167" t="str">
        <x:f>IF(AND(U$6&lt;=$H36,U$6+6&gt;=$G36),1,"")</x:f>
      </x:c>
      <x:c r="V36" s="167" t="str">
        <x:f>IF(AND(V$6&lt;=$H36,V$6+6&gt;=$G36),1,"")</x:f>
      </x:c>
      <x:c r="W36" s="167" t="str">
        <x:f>IF(AND(W$6&lt;=$H36,W$6+6&gt;=$G36),1,"")</x:f>
      </x:c>
      <x:c r="X36" s="167" t="str">
        <x:f>IF(AND(X$6&lt;=$H36,X$6+6&gt;=$G36),1,"")</x:f>
      </x:c>
      <x:c r="Y36" s="167" t="str">
        <x:f>IF(AND(Y$6&lt;=$H36,Y$6+6&gt;=$G36),1,"")</x:f>
      </x:c>
      <x:c r="Z36" s="167" t="str">
        <x:f>IF(AND(Z$6&lt;=$H36,Z$6+6&gt;=$G36),1,"")</x:f>
      </x:c>
      <x:c r="AA36" s="167" t="str">
        <x:f>IF(AND(AA$6&lt;=$H36,AA$6+6&gt;=$G36),1,"")</x:f>
      </x:c>
      <x:c r="AB36" s="167" t="str">
        <x:f>IF(AND(AB$6&lt;=$H36,AB$6+6&gt;=$G36),1,"")</x:f>
      </x:c>
      <x:c r="AC36" s="167" t="str">
        <x:f>IF(AND(AC$6&lt;=$H36,AC$6+6&gt;=$G36),1,"")</x:f>
      </x:c>
      <x:c r="AD36" s="167" t="str">
        <x:f>IF(AND(AD$6&lt;=$H36,AD$6+6&gt;=$G36),1,"")</x:f>
      </x:c>
      <x:c r="AE36" s="167" t="str">
        <x:f>IF(AND(AE$6&lt;=$H36,AE$6+6&gt;=$G36),1,"")</x:f>
      </x:c>
      <x:c r="AF36" s="167" t="str">
        <x:f>IF(AND(AF$6&lt;=$H36,AF$6+6&gt;=$G36),1,"")</x:f>
      </x:c>
      <x:c r="AG36" s="167" t="str">
        <x:f>IF(AND(AG$6&lt;=$H36,AG$6+6&gt;=$G36),1,"")</x:f>
      </x:c>
      <x:c r="AH36" s="167" t="str">
        <x:f>IF(AND(AH$6&lt;=$H36,AH$6+6&gt;=$G36),1,"")</x:f>
      </x:c>
      <x:c r="AI36" s="167" t="str">
        <x:f>IF(AND(AI$6&lt;=$H36,AI$6+6&gt;=$G36),1,"")</x:f>
      </x:c>
      <x:c r="AJ36" s="167" t="str">
        <x:f>IF(AND(AJ$6&lt;=$H36,AJ$6+6&gt;=$G36),1,"")</x:f>
      </x:c>
      <x:c r="AK36" s="167" t="str">
        <x:f>IF(AND(AK$6&lt;=$H36,AK$6+6&gt;=$G36),1,"")</x:f>
      </x:c>
      <x:c r="AL36" s="167" t="str">
        <x:f>IF(AND(AL$6&lt;=$H36,AL$6+6&gt;=$G36),1,"")</x:f>
      </x:c>
      <x:c r="AM36" s="167" t="str">
        <x:f>IF(AND(AM$6&lt;=$H36,AM$6+6&gt;=$G36),1,"")</x:f>
      </x:c>
      <x:c r="AN36" s="167" t="str">
        <x:f>IF(AND(AN$6&lt;=$H36,AN$6+6&gt;=$G36),1,"")</x:f>
      </x:c>
      <x:c r="AO36" s="167" t="str">
        <x:f>IF(AND(AO$6&lt;=$H36,AO$6+6&gt;=$G36),1,"")</x:f>
      </x:c>
      <x:c r="AP36" s="167" t="str">
        <x:f>IF(AND(AP$6&lt;=$H36,AP$6+6&gt;=$G36),1,"")</x:f>
      </x:c>
      <x:c r="AQ36" s="167" t="str">
        <x:f>IF(AND(AQ$6&lt;=$H36,AQ$6+6&gt;=$G36),1,"")</x:f>
      </x:c>
      <x:c r="AR36" s="167" t="str">
        <x:f>IF(AND(AR$6&lt;=$H36,AR$6+6&gt;=$G36),1,"")</x:f>
      </x:c>
      <x:c r="AS36" s="167" t="str">
        <x:f>IF(AND(AS$6&lt;=$H36,AS$6+6&gt;=$G36),1,"")</x:f>
      </x:c>
      <x:c r="AT36" s="167" t="str">
        <x:f>IF(AND(AT$6&lt;=$H36,AT$6+6&gt;=$G36),1,"")</x:f>
      </x:c>
      <x:c r="AU36" s="167" t="str">
        <x:f>IF(AND(AU$6&lt;=$H36,AU$6+6&gt;=$G36),1,"")</x:f>
      </x:c>
      <x:c r="AV36" s="167" t="str">
        <x:f>IF(AND(AV$6&lt;=$H36,AV$6+6&gt;=$G36),1,"")</x:f>
      </x:c>
      <x:c r="AW36" s="167" t="str">
        <x:f>IF(AND(AW$6&lt;=$H36,AW$6+6&gt;=$G36),1,"")</x:f>
      </x:c>
      <x:c r="AX36" s="167" t="str">
        <x:f>IF(AND(AX$6&lt;=$H36,AX$6+6&gt;=$G36),1,"")</x:f>
      </x:c>
      <x:c r="AY36" s="168" t="str">
        <x:f>IF(AND(AY$6&lt;=$H36,AY$6+6&gt;=$G36),1,"")</x:f>
      </x:c>
    </x:row>
    <x:row r="37" ht="24" customHeight="1">
      <x:c r="A37" s="68" t="str">
        <x:f>'Hardware Tasks'!A35</x:f>
        <x:v>T-702</x:v>
      </x:c>
      <x:c r="B37" s="68" t="str">
        <x:f>'Hardware Tasks'!B35</x:f>
        <x:v>M7</x:v>
      </x:c>
      <x:c r="C37" s="68" t="str">
        <x:f>'Hardware Tasks'!C35</x:f>
        <x:v>Safety/Electrical</x:v>
      </x:c>
      <x:c r="D37" s="68" t="str">
        <x:f>'Hardware Tasks'!D35</x:f>
        <x:v>Design the independent safety architecture</x:v>
      </x:c>
      <x:c r="E37" s="68" t="str">
        <x:f>'Hardware Tasks'!E35</x:f>
        <x:v>T-701</x:v>
      </x:c>
      <x:c r="F37" s="68" t="str">
        <x:f>'Hardware Tasks'!F35</x:f>
        <x:v>Blocked</x:v>
      </x:c>
      <x:c r="G37" s="94" t="n">
        <x:f>'Hardware Tasks'!I35</x:f>
        <x:v>46303</x:v>
      </x:c>
      <x:c r="H37" s="94" t="n">
        <x:f>'Hardware Tasks'!J35</x:f>
        <x:v>46307</x:v>
      </x:c>
      <x:c r="I37" s="166" t="str">
        <x:f>IF(AND(I$6&lt;=$H37,I$6+6&gt;=$G37),1,"")</x:f>
      </x:c>
      <x:c r="J37" s="167" t="str">
        <x:f>IF(AND(J$6&lt;=$H37,J$6+6&gt;=$G37),1,"")</x:f>
      </x:c>
      <x:c r="K37" s="167" t="str">
        <x:f>IF(AND(K$6&lt;=$H37,K$6+6&gt;=$G37),1,"")</x:f>
      </x:c>
      <x:c r="L37" s="167" t="n">
        <x:f>IF(AND(L$6&lt;=$H37,L$6+6&gt;=$G37),1,"")</x:f>
        <x:v>1</x:v>
      </x:c>
      <x:c r="M37" s="167" t="n">
        <x:f>IF(AND(M$6&lt;=$H37,M$6+6&gt;=$G37),1,"")</x:f>
        <x:v>1</x:v>
      </x:c>
      <x:c r="N37" s="167" t="str">
        <x:f>IF(AND(N$6&lt;=$H37,N$6+6&gt;=$G37),1,"")</x:f>
      </x:c>
      <x:c r="O37" s="167" t="str">
        <x:f>IF(AND(O$6&lt;=$H37,O$6+6&gt;=$G37),1,"")</x:f>
      </x:c>
      <x:c r="P37" s="167" t="str">
        <x:f>IF(AND(P$6&lt;=$H37,P$6+6&gt;=$G37),1,"")</x:f>
      </x:c>
      <x:c r="Q37" s="167" t="str">
        <x:f>IF(AND(Q$6&lt;=$H37,Q$6+6&gt;=$G37),1,"")</x:f>
      </x:c>
      <x:c r="R37" s="167" t="str">
        <x:f>IF(AND(R$6&lt;=$H37,R$6+6&gt;=$G37),1,"")</x:f>
      </x:c>
      <x:c r="S37" s="167" t="str">
        <x:f>IF(AND(S$6&lt;=$H37,S$6+6&gt;=$G37),1,"")</x:f>
      </x:c>
      <x:c r="T37" s="167" t="str">
        <x:f>IF(AND(T$6&lt;=$H37,T$6+6&gt;=$G37),1,"")</x:f>
      </x:c>
      <x:c r="U37" s="167" t="str">
        <x:f>IF(AND(U$6&lt;=$H37,U$6+6&gt;=$G37),1,"")</x:f>
      </x:c>
      <x:c r="V37" s="167" t="str">
        <x:f>IF(AND(V$6&lt;=$H37,V$6+6&gt;=$G37),1,"")</x:f>
      </x:c>
      <x:c r="W37" s="167" t="str">
        <x:f>IF(AND(W$6&lt;=$H37,W$6+6&gt;=$G37),1,"")</x:f>
      </x:c>
      <x:c r="X37" s="167" t="str">
        <x:f>IF(AND(X$6&lt;=$H37,X$6+6&gt;=$G37),1,"")</x:f>
      </x:c>
      <x:c r="Y37" s="167" t="str">
        <x:f>IF(AND(Y$6&lt;=$H37,Y$6+6&gt;=$G37),1,"")</x:f>
      </x:c>
      <x:c r="Z37" s="167" t="str">
        <x:f>IF(AND(Z$6&lt;=$H37,Z$6+6&gt;=$G37),1,"")</x:f>
      </x:c>
      <x:c r="AA37" s="167" t="str">
        <x:f>IF(AND(AA$6&lt;=$H37,AA$6+6&gt;=$G37),1,"")</x:f>
      </x:c>
      <x:c r="AB37" s="167" t="str">
        <x:f>IF(AND(AB$6&lt;=$H37,AB$6+6&gt;=$G37),1,"")</x:f>
      </x:c>
      <x:c r="AC37" s="167" t="str">
        <x:f>IF(AND(AC$6&lt;=$H37,AC$6+6&gt;=$G37),1,"")</x:f>
      </x:c>
      <x:c r="AD37" s="167" t="str">
        <x:f>IF(AND(AD$6&lt;=$H37,AD$6+6&gt;=$G37),1,"")</x:f>
      </x:c>
      <x:c r="AE37" s="167" t="str">
        <x:f>IF(AND(AE$6&lt;=$H37,AE$6+6&gt;=$G37),1,"")</x:f>
      </x:c>
      <x:c r="AF37" s="167" t="str">
        <x:f>IF(AND(AF$6&lt;=$H37,AF$6+6&gt;=$G37),1,"")</x:f>
      </x:c>
      <x:c r="AG37" s="167" t="str">
        <x:f>IF(AND(AG$6&lt;=$H37,AG$6+6&gt;=$G37),1,"")</x:f>
      </x:c>
      <x:c r="AH37" s="167" t="str">
        <x:f>IF(AND(AH$6&lt;=$H37,AH$6+6&gt;=$G37),1,"")</x:f>
      </x:c>
      <x:c r="AI37" s="167" t="str">
        <x:f>IF(AND(AI$6&lt;=$H37,AI$6+6&gt;=$G37),1,"")</x:f>
      </x:c>
      <x:c r="AJ37" s="167" t="str">
        <x:f>IF(AND(AJ$6&lt;=$H37,AJ$6+6&gt;=$G37),1,"")</x:f>
      </x:c>
      <x:c r="AK37" s="167" t="str">
        <x:f>IF(AND(AK$6&lt;=$H37,AK$6+6&gt;=$G37),1,"")</x:f>
      </x:c>
      <x:c r="AL37" s="167" t="str">
        <x:f>IF(AND(AL$6&lt;=$H37,AL$6+6&gt;=$G37),1,"")</x:f>
      </x:c>
      <x:c r="AM37" s="167" t="str">
        <x:f>IF(AND(AM$6&lt;=$H37,AM$6+6&gt;=$G37),1,"")</x:f>
      </x:c>
      <x:c r="AN37" s="167" t="str">
        <x:f>IF(AND(AN$6&lt;=$H37,AN$6+6&gt;=$G37),1,"")</x:f>
      </x:c>
      <x:c r="AO37" s="167" t="str">
        <x:f>IF(AND(AO$6&lt;=$H37,AO$6+6&gt;=$G37),1,"")</x:f>
      </x:c>
      <x:c r="AP37" s="167" t="str">
        <x:f>IF(AND(AP$6&lt;=$H37,AP$6+6&gt;=$G37),1,"")</x:f>
      </x:c>
      <x:c r="AQ37" s="167" t="str">
        <x:f>IF(AND(AQ$6&lt;=$H37,AQ$6+6&gt;=$G37),1,"")</x:f>
      </x:c>
      <x:c r="AR37" s="167" t="str">
        <x:f>IF(AND(AR$6&lt;=$H37,AR$6+6&gt;=$G37),1,"")</x:f>
      </x:c>
      <x:c r="AS37" s="167" t="str">
        <x:f>IF(AND(AS$6&lt;=$H37,AS$6+6&gt;=$G37),1,"")</x:f>
      </x:c>
      <x:c r="AT37" s="167" t="str">
        <x:f>IF(AND(AT$6&lt;=$H37,AT$6+6&gt;=$G37),1,"")</x:f>
      </x:c>
      <x:c r="AU37" s="167" t="str">
        <x:f>IF(AND(AU$6&lt;=$H37,AU$6+6&gt;=$G37),1,"")</x:f>
      </x:c>
      <x:c r="AV37" s="167" t="str">
        <x:f>IF(AND(AV$6&lt;=$H37,AV$6+6&gt;=$G37),1,"")</x:f>
      </x:c>
      <x:c r="AW37" s="167" t="str">
        <x:f>IF(AND(AW$6&lt;=$H37,AW$6+6&gt;=$G37),1,"")</x:f>
      </x:c>
      <x:c r="AX37" s="167" t="str">
        <x:f>IF(AND(AX$6&lt;=$H37,AX$6+6&gt;=$G37),1,"")</x:f>
      </x:c>
      <x:c r="AY37" s="168" t="str">
        <x:f>IF(AND(AY$6&lt;=$H37,AY$6+6&gt;=$G37),1,"")</x:f>
      </x:c>
    </x:row>
    <x:row r="38" ht="24" customHeight="1">
      <x:c r="A38" s="68" t="str">
        <x:f>'Hardware Tasks'!A36</x:f>
        <x:v>T-703</x:v>
      </x:c>
      <x:c r="B38" s="68" t="str">
        <x:f>'Hardware Tasks'!B36</x:f>
        <x:v>M7</x:v>
      </x:c>
      <x:c r="C38" s="68" t="str">
        <x:f>'Hardware Tasks'!C36</x:f>
        <x:v>Safety/Operations</x:v>
      </x:c>
      <x:c r="D38" s="68" t="str">
        <x:f>'Hardware Tasks'!D36</x:f>
        <x:v>Specify emergency stop, recovery, and restart</x:v>
      </x:c>
      <x:c r="E38" s="68" t="str">
        <x:f>'Hardware Tasks'!E36</x:f>
        <x:v>T-702</x:v>
      </x:c>
      <x:c r="F38" s="68" t="str">
        <x:f>'Hardware Tasks'!F36</x:f>
        <x:v>Blocked</x:v>
      </x:c>
      <x:c r="G38" s="94" t="n">
        <x:f>'Hardware Tasks'!I36</x:f>
        <x:v>46308</x:v>
      </x:c>
      <x:c r="H38" s="94" t="n">
        <x:f>'Hardware Tasks'!J36</x:f>
        <x:v>46309</x:v>
      </x:c>
      <x:c r="I38" s="166" t="str">
        <x:f>IF(AND(I$6&lt;=$H38,I$6+6&gt;=$G38),1,"")</x:f>
      </x:c>
      <x:c r="J38" s="167" t="str">
        <x:f>IF(AND(J$6&lt;=$H38,J$6+6&gt;=$G38),1,"")</x:f>
      </x:c>
      <x:c r="K38" s="167" t="str">
        <x:f>IF(AND(K$6&lt;=$H38,K$6+6&gt;=$G38),1,"")</x:f>
      </x:c>
      <x:c r="L38" s="167" t="str">
        <x:f>IF(AND(L$6&lt;=$H38,L$6+6&gt;=$G38),1,"")</x:f>
      </x:c>
      <x:c r="M38" s="167" t="n">
        <x:f>IF(AND(M$6&lt;=$H38,M$6+6&gt;=$G38),1,"")</x:f>
        <x:v>1</x:v>
      </x:c>
      <x:c r="N38" s="167" t="str">
        <x:f>IF(AND(N$6&lt;=$H38,N$6+6&gt;=$G38),1,"")</x:f>
      </x:c>
      <x:c r="O38" s="167" t="str">
        <x:f>IF(AND(O$6&lt;=$H38,O$6+6&gt;=$G38),1,"")</x:f>
      </x:c>
      <x:c r="P38" s="167" t="str">
        <x:f>IF(AND(P$6&lt;=$H38,P$6+6&gt;=$G38),1,"")</x:f>
      </x:c>
      <x:c r="Q38" s="167" t="str">
        <x:f>IF(AND(Q$6&lt;=$H38,Q$6+6&gt;=$G38),1,"")</x:f>
      </x:c>
      <x:c r="R38" s="167" t="str">
        <x:f>IF(AND(R$6&lt;=$H38,R$6+6&gt;=$G38),1,"")</x:f>
      </x:c>
      <x:c r="S38" s="167" t="str">
        <x:f>IF(AND(S$6&lt;=$H38,S$6+6&gt;=$G38),1,"")</x:f>
      </x:c>
      <x:c r="T38" s="167" t="str">
        <x:f>IF(AND(T$6&lt;=$H38,T$6+6&gt;=$G38),1,"")</x:f>
      </x:c>
      <x:c r="U38" s="167" t="str">
        <x:f>IF(AND(U$6&lt;=$H38,U$6+6&gt;=$G38),1,"")</x:f>
      </x:c>
      <x:c r="V38" s="167" t="str">
        <x:f>IF(AND(V$6&lt;=$H38,V$6+6&gt;=$G38),1,"")</x:f>
      </x:c>
      <x:c r="W38" s="167" t="str">
        <x:f>IF(AND(W$6&lt;=$H38,W$6+6&gt;=$G38),1,"")</x:f>
      </x:c>
      <x:c r="X38" s="167" t="str">
        <x:f>IF(AND(X$6&lt;=$H38,X$6+6&gt;=$G38),1,"")</x:f>
      </x:c>
      <x:c r="Y38" s="167" t="str">
        <x:f>IF(AND(Y$6&lt;=$H38,Y$6+6&gt;=$G38),1,"")</x:f>
      </x:c>
      <x:c r="Z38" s="167" t="str">
        <x:f>IF(AND(Z$6&lt;=$H38,Z$6+6&gt;=$G38),1,"")</x:f>
      </x:c>
      <x:c r="AA38" s="167" t="str">
        <x:f>IF(AND(AA$6&lt;=$H38,AA$6+6&gt;=$G38),1,"")</x:f>
      </x:c>
      <x:c r="AB38" s="167" t="str">
        <x:f>IF(AND(AB$6&lt;=$H38,AB$6+6&gt;=$G38),1,"")</x:f>
      </x:c>
      <x:c r="AC38" s="167" t="str">
        <x:f>IF(AND(AC$6&lt;=$H38,AC$6+6&gt;=$G38),1,"")</x:f>
      </x:c>
      <x:c r="AD38" s="167" t="str">
        <x:f>IF(AND(AD$6&lt;=$H38,AD$6+6&gt;=$G38),1,"")</x:f>
      </x:c>
      <x:c r="AE38" s="167" t="str">
        <x:f>IF(AND(AE$6&lt;=$H38,AE$6+6&gt;=$G38),1,"")</x:f>
      </x:c>
      <x:c r="AF38" s="167" t="str">
        <x:f>IF(AND(AF$6&lt;=$H38,AF$6+6&gt;=$G38),1,"")</x:f>
      </x:c>
      <x:c r="AG38" s="167" t="str">
        <x:f>IF(AND(AG$6&lt;=$H38,AG$6+6&gt;=$G38),1,"")</x:f>
      </x:c>
      <x:c r="AH38" s="167" t="str">
        <x:f>IF(AND(AH$6&lt;=$H38,AH$6+6&gt;=$G38),1,"")</x:f>
      </x:c>
      <x:c r="AI38" s="167" t="str">
        <x:f>IF(AND(AI$6&lt;=$H38,AI$6+6&gt;=$G38),1,"")</x:f>
      </x:c>
      <x:c r="AJ38" s="167" t="str">
        <x:f>IF(AND(AJ$6&lt;=$H38,AJ$6+6&gt;=$G38),1,"")</x:f>
      </x:c>
      <x:c r="AK38" s="167" t="str">
        <x:f>IF(AND(AK$6&lt;=$H38,AK$6+6&gt;=$G38),1,"")</x:f>
      </x:c>
      <x:c r="AL38" s="167" t="str">
        <x:f>IF(AND(AL$6&lt;=$H38,AL$6+6&gt;=$G38),1,"")</x:f>
      </x:c>
      <x:c r="AM38" s="167" t="str">
        <x:f>IF(AND(AM$6&lt;=$H38,AM$6+6&gt;=$G38),1,"")</x:f>
      </x:c>
      <x:c r="AN38" s="167" t="str">
        <x:f>IF(AND(AN$6&lt;=$H38,AN$6+6&gt;=$G38),1,"")</x:f>
      </x:c>
      <x:c r="AO38" s="167" t="str">
        <x:f>IF(AND(AO$6&lt;=$H38,AO$6+6&gt;=$G38),1,"")</x:f>
      </x:c>
      <x:c r="AP38" s="167" t="str">
        <x:f>IF(AND(AP$6&lt;=$H38,AP$6+6&gt;=$G38),1,"")</x:f>
      </x:c>
      <x:c r="AQ38" s="167" t="str">
        <x:f>IF(AND(AQ$6&lt;=$H38,AQ$6+6&gt;=$G38),1,"")</x:f>
      </x:c>
      <x:c r="AR38" s="167" t="str">
        <x:f>IF(AND(AR$6&lt;=$H38,AR$6+6&gt;=$G38),1,"")</x:f>
      </x:c>
      <x:c r="AS38" s="167" t="str">
        <x:f>IF(AND(AS$6&lt;=$H38,AS$6+6&gt;=$G38),1,"")</x:f>
      </x:c>
      <x:c r="AT38" s="167" t="str">
        <x:f>IF(AND(AT$6&lt;=$H38,AT$6+6&gt;=$G38),1,"")</x:f>
      </x:c>
      <x:c r="AU38" s="167" t="str">
        <x:f>IF(AND(AU$6&lt;=$H38,AU$6+6&gt;=$G38),1,"")</x:f>
      </x:c>
      <x:c r="AV38" s="167" t="str">
        <x:f>IF(AND(AV$6&lt;=$H38,AV$6+6&gt;=$G38),1,"")</x:f>
      </x:c>
      <x:c r="AW38" s="167" t="str">
        <x:f>IF(AND(AW$6&lt;=$H38,AW$6+6&gt;=$G38),1,"")</x:f>
      </x:c>
      <x:c r="AX38" s="167" t="str">
        <x:f>IF(AND(AX$6&lt;=$H38,AX$6+6&gt;=$G38),1,"")</x:f>
      </x:c>
      <x:c r="AY38" s="168" t="str">
        <x:f>IF(AND(AY$6&lt;=$H38,AY$6+6&gt;=$G38),1,"")</x:f>
      </x:c>
    </x:row>
    <x:row r="39" ht="24" customHeight="1">
      <x:c r="A39" s="68" t="str">
        <x:f>'Hardware Tasks'!A37</x:f>
        <x:v>T-704</x:v>
      </x:c>
      <x:c r="B39" s="68" t="str">
        <x:f>'Hardware Tasks'!B37</x:f>
        <x:v>M7</x:v>
      </x:c>
      <x:c r="C39" s="68" t="str">
        <x:f>'Hardware Tasks'!C37</x:f>
        <x:v>Safety/Control</x:v>
      </x:c>
      <x:c r="D39" s="68" t="str">
        <x:f>'Hardware Tasks'!D37</x:f>
        <x:v>Define hard motion, electrical, thermal, and contact limits</x:v>
      </x:c>
      <x:c r="E39" s="68" t="str">
        <x:f>'Hardware Tasks'!E37</x:f>
        <x:v>T-508, T-701, T-702</x:v>
      </x:c>
      <x:c r="F39" s="68" t="str">
        <x:f>'Hardware Tasks'!F37</x:f>
        <x:v>Blocked</x:v>
      </x:c>
      <x:c r="G39" s="94" t="n">
        <x:f>'Hardware Tasks'!I37</x:f>
        <x:v>46310</x:v>
      </x:c>
      <x:c r="H39" s="94" t="n">
        <x:f>'Hardware Tasks'!J37</x:f>
        <x:v>46315</x:v>
      </x:c>
      <x:c r="I39" s="166" t="str">
        <x:f>IF(AND(I$6&lt;=$H39,I$6+6&gt;=$G39),1,"")</x:f>
      </x:c>
      <x:c r="J39" s="167" t="str">
        <x:f>IF(AND(J$6&lt;=$H39,J$6+6&gt;=$G39),1,"")</x:f>
      </x:c>
      <x:c r="K39" s="167" t="str">
        <x:f>IF(AND(K$6&lt;=$H39,K$6+6&gt;=$G39),1,"")</x:f>
      </x:c>
      <x:c r="L39" s="167" t="str">
        <x:f>IF(AND(L$6&lt;=$H39,L$6+6&gt;=$G39),1,"")</x:f>
      </x:c>
      <x:c r="M39" s="167" t="n">
        <x:f>IF(AND(M$6&lt;=$H39,M$6+6&gt;=$G39),1,"")</x:f>
        <x:v>1</x:v>
      </x:c>
      <x:c r="N39" s="167" t="n">
        <x:f>IF(AND(N$6&lt;=$H39,N$6+6&gt;=$G39),1,"")</x:f>
        <x:v>1</x:v>
      </x:c>
      <x:c r="O39" s="167" t="str">
        <x:f>IF(AND(O$6&lt;=$H39,O$6+6&gt;=$G39),1,"")</x:f>
      </x:c>
      <x:c r="P39" s="167" t="str">
        <x:f>IF(AND(P$6&lt;=$H39,P$6+6&gt;=$G39),1,"")</x:f>
      </x:c>
      <x:c r="Q39" s="167" t="str">
        <x:f>IF(AND(Q$6&lt;=$H39,Q$6+6&gt;=$G39),1,"")</x:f>
      </x:c>
      <x:c r="R39" s="167" t="str">
        <x:f>IF(AND(R$6&lt;=$H39,R$6+6&gt;=$G39),1,"")</x:f>
      </x:c>
      <x:c r="S39" s="167" t="str">
        <x:f>IF(AND(S$6&lt;=$H39,S$6+6&gt;=$G39),1,"")</x:f>
      </x:c>
      <x:c r="T39" s="167" t="str">
        <x:f>IF(AND(T$6&lt;=$H39,T$6+6&gt;=$G39),1,"")</x:f>
      </x:c>
      <x:c r="U39" s="167" t="str">
        <x:f>IF(AND(U$6&lt;=$H39,U$6+6&gt;=$G39),1,"")</x:f>
      </x:c>
      <x:c r="V39" s="167" t="str">
        <x:f>IF(AND(V$6&lt;=$H39,V$6+6&gt;=$G39),1,"")</x:f>
      </x:c>
      <x:c r="W39" s="167" t="str">
        <x:f>IF(AND(W$6&lt;=$H39,W$6+6&gt;=$G39),1,"")</x:f>
      </x:c>
      <x:c r="X39" s="167" t="str">
        <x:f>IF(AND(X$6&lt;=$H39,X$6+6&gt;=$G39),1,"")</x:f>
      </x:c>
      <x:c r="Y39" s="167" t="str">
        <x:f>IF(AND(Y$6&lt;=$H39,Y$6+6&gt;=$G39),1,"")</x:f>
      </x:c>
      <x:c r="Z39" s="167" t="str">
        <x:f>IF(AND(Z$6&lt;=$H39,Z$6+6&gt;=$G39),1,"")</x:f>
      </x:c>
      <x:c r="AA39" s="167" t="str">
        <x:f>IF(AND(AA$6&lt;=$H39,AA$6+6&gt;=$G39),1,"")</x:f>
      </x:c>
      <x:c r="AB39" s="167" t="str">
        <x:f>IF(AND(AB$6&lt;=$H39,AB$6+6&gt;=$G39),1,"")</x:f>
      </x:c>
      <x:c r="AC39" s="167" t="str">
        <x:f>IF(AND(AC$6&lt;=$H39,AC$6+6&gt;=$G39),1,"")</x:f>
      </x:c>
      <x:c r="AD39" s="167" t="str">
        <x:f>IF(AND(AD$6&lt;=$H39,AD$6+6&gt;=$G39),1,"")</x:f>
      </x:c>
      <x:c r="AE39" s="167" t="str">
        <x:f>IF(AND(AE$6&lt;=$H39,AE$6+6&gt;=$G39),1,"")</x:f>
      </x:c>
      <x:c r="AF39" s="167" t="str">
        <x:f>IF(AND(AF$6&lt;=$H39,AF$6+6&gt;=$G39),1,"")</x:f>
      </x:c>
      <x:c r="AG39" s="167" t="str">
        <x:f>IF(AND(AG$6&lt;=$H39,AG$6+6&gt;=$G39),1,"")</x:f>
      </x:c>
      <x:c r="AH39" s="167" t="str">
        <x:f>IF(AND(AH$6&lt;=$H39,AH$6+6&gt;=$G39),1,"")</x:f>
      </x:c>
      <x:c r="AI39" s="167" t="str">
        <x:f>IF(AND(AI$6&lt;=$H39,AI$6+6&gt;=$G39),1,"")</x:f>
      </x:c>
      <x:c r="AJ39" s="167" t="str">
        <x:f>IF(AND(AJ$6&lt;=$H39,AJ$6+6&gt;=$G39),1,"")</x:f>
      </x:c>
      <x:c r="AK39" s="167" t="str">
        <x:f>IF(AND(AK$6&lt;=$H39,AK$6+6&gt;=$G39),1,"")</x:f>
      </x:c>
      <x:c r="AL39" s="167" t="str">
        <x:f>IF(AND(AL$6&lt;=$H39,AL$6+6&gt;=$G39),1,"")</x:f>
      </x:c>
      <x:c r="AM39" s="167" t="str">
        <x:f>IF(AND(AM$6&lt;=$H39,AM$6+6&gt;=$G39),1,"")</x:f>
      </x:c>
      <x:c r="AN39" s="167" t="str">
        <x:f>IF(AND(AN$6&lt;=$H39,AN$6+6&gt;=$G39),1,"")</x:f>
      </x:c>
      <x:c r="AO39" s="167" t="str">
        <x:f>IF(AND(AO$6&lt;=$H39,AO$6+6&gt;=$G39),1,"")</x:f>
      </x:c>
      <x:c r="AP39" s="167" t="str">
        <x:f>IF(AND(AP$6&lt;=$H39,AP$6+6&gt;=$G39),1,"")</x:f>
      </x:c>
      <x:c r="AQ39" s="167" t="str">
        <x:f>IF(AND(AQ$6&lt;=$H39,AQ$6+6&gt;=$G39),1,"")</x:f>
      </x:c>
      <x:c r="AR39" s="167" t="str">
        <x:f>IF(AND(AR$6&lt;=$H39,AR$6+6&gt;=$G39),1,"")</x:f>
      </x:c>
      <x:c r="AS39" s="167" t="str">
        <x:f>IF(AND(AS$6&lt;=$H39,AS$6+6&gt;=$G39),1,"")</x:f>
      </x:c>
      <x:c r="AT39" s="167" t="str">
        <x:f>IF(AND(AT$6&lt;=$H39,AT$6+6&gt;=$G39),1,"")</x:f>
      </x:c>
      <x:c r="AU39" s="167" t="str">
        <x:f>IF(AND(AU$6&lt;=$H39,AU$6+6&gt;=$G39),1,"")</x:f>
      </x:c>
      <x:c r="AV39" s="167" t="str">
        <x:f>IF(AND(AV$6&lt;=$H39,AV$6+6&gt;=$G39),1,"")</x:f>
      </x:c>
      <x:c r="AW39" s="167" t="str">
        <x:f>IF(AND(AW$6&lt;=$H39,AW$6+6&gt;=$G39),1,"")</x:f>
      </x:c>
      <x:c r="AX39" s="167" t="str">
        <x:f>IF(AND(AX$6&lt;=$H39,AX$6+6&gt;=$G39),1,"")</x:f>
      </x:c>
      <x:c r="AY39" s="168" t="str">
        <x:f>IF(AND(AY$6&lt;=$H39,AY$6+6&gt;=$G39),1,"")</x:f>
      </x:c>
    </x:row>
    <x:row r="40" ht="24" customHeight="1">
      <x:c r="A40" s="68" t="str">
        <x:f>'Hardware Tasks'!A38</x:f>
        <x:v>T-705</x:v>
      </x:c>
      <x:c r="B40" s="68" t="str">
        <x:f>'Hardware Tasks'!B38</x:f>
        <x:v>M7</x:v>
      </x:c>
      <x:c r="C40" s="68" t="str">
        <x:f>'Hardware Tasks'!C38</x:f>
        <x:v>Safety/Software</x:v>
      </x:c>
      <x:c r="D40" s="68" t="str">
        <x:f>'Hardware Tasks'!D38</x:f>
        <x:v>Implement watchdog and state-validity rules</x:v>
      </x:c>
      <x:c r="E40" s="68" t="str">
        <x:f>'Hardware Tasks'!E38</x:f>
        <x:v>T-702, T-704</x:v>
      </x:c>
      <x:c r="F40" s="68" t="str">
        <x:f>'Hardware Tasks'!F38</x:f>
        <x:v>Blocked</x:v>
      </x:c>
      <x:c r="G40" s="94" t="n">
        <x:f>'Hardware Tasks'!I38</x:f>
        <x:v>46316</x:v>
      </x:c>
      <x:c r="H40" s="94" t="n">
        <x:f>'Hardware Tasks'!J38</x:f>
        <x:v>46318</x:v>
      </x:c>
      <x:c r="I40" s="166" t="str">
        <x:f>IF(AND(I$6&lt;=$H40,I$6+6&gt;=$G40),1,"")</x:f>
      </x:c>
      <x:c r="J40" s="167" t="str">
        <x:f>IF(AND(J$6&lt;=$H40,J$6+6&gt;=$G40),1,"")</x:f>
      </x:c>
      <x:c r="K40" s="167" t="str">
        <x:f>IF(AND(K$6&lt;=$H40,K$6+6&gt;=$G40),1,"")</x:f>
      </x:c>
      <x:c r="L40" s="167" t="str">
        <x:f>IF(AND(L$6&lt;=$H40,L$6+6&gt;=$G40),1,"")</x:f>
      </x:c>
      <x:c r="M40" s="167" t="str">
        <x:f>IF(AND(M$6&lt;=$H40,M$6+6&gt;=$G40),1,"")</x:f>
      </x:c>
      <x:c r="N40" s="167" t="n">
        <x:f>IF(AND(N$6&lt;=$H40,N$6+6&gt;=$G40),1,"")</x:f>
        <x:v>1</x:v>
      </x:c>
      <x:c r="O40" s="167" t="str">
        <x:f>IF(AND(O$6&lt;=$H40,O$6+6&gt;=$G40),1,"")</x:f>
      </x:c>
      <x:c r="P40" s="167" t="str">
        <x:f>IF(AND(P$6&lt;=$H40,P$6+6&gt;=$G40),1,"")</x:f>
      </x:c>
      <x:c r="Q40" s="167" t="str">
        <x:f>IF(AND(Q$6&lt;=$H40,Q$6+6&gt;=$G40),1,"")</x:f>
      </x:c>
      <x:c r="R40" s="167" t="str">
        <x:f>IF(AND(R$6&lt;=$H40,R$6+6&gt;=$G40),1,"")</x:f>
      </x:c>
      <x:c r="S40" s="167" t="str">
        <x:f>IF(AND(S$6&lt;=$H40,S$6+6&gt;=$G40),1,"")</x:f>
      </x:c>
      <x:c r="T40" s="167" t="str">
        <x:f>IF(AND(T$6&lt;=$H40,T$6+6&gt;=$G40),1,"")</x:f>
      </x:c>
      <x:c r="U40" s="167" t="str">
        <x:f>IF(AND(U$6&lt;=$H40,U$6+6&gt;=$G40),1,"")</x:f>
      </x:c>
      <x:c r="V40" s="167" t="str">
        <x:f>IF(AND(V$6&lt;=$H40,V$6+6&gt;=$G40),1,"")</x:f>
      </x:c>
      <x:c r="W40" s="167" t="str">
        <x:f>IF(AND(W$6&lt;=$H40,W$6+6&gt;=$G40),1,"")</x:f>
      </x:c>
      <x:c r="X40" s="167" t="str">
        <x:f>IF(AND(X$6&lt;=$H40,X$6+6&gt;=$G40),1,"")</x:f>
      </x:c>
      <x:c r="Y40" s="167" t="str">
        <x:f>IF(AND(Y$6&lt;=$H40,Y$6+6&gt;=$G40),1,"")</x:f>
      </x:c>
      <x:c r="Z40" s="167" t="str">
        <x:f>IF(AND(Z$6&lt;=$H40,Z$6+6&gt;=$G40),1,"")</x:f>
      </x:c>
      <x:c r="AA40" s="167" t="str">
        <x:f>IF(AND(AA$6&lt;=$H40,AA$6+6&gt;=$G40),1,"")</x:f>
      </x:c>
      <x:c r="AB40" s="167" t="str">
        <x:f>IF(AND(AB$6&lt;=$H40,AB$6+6&gt;=$G40),1,"")</x:f>
      </x:c>
      <x:c r="AC40" s="167" t="str">
        <x:f>IF(AND(AC$6&lt;=$H40,AC$6+6&gt;=$G40),1,"")</x:f>
      </x:c>
      <x:c r="AD40" s="167" t="str">
        <x:f>IF(AND(AD$6&lt;=$H40,AD$6+6&gt;=$G40),1,"")</x:f>
      </x:c>
      <x:c r="AE40" s="167" t="str">
        <x:f>IF(AND(AE$6&lt;=$H40,AE$6+6&gt;=$G40),1,"")</x:f>
      </x:c>
      <x:c r="AF40" s="167" t="str">
        <x:f>IF(AND(AF$6&lt;=$H40,AF$6+6&gt;=$G40),1,"")</x:f>
      </x:c>
      <x:c r="AG40" s="167" t="str">
        <x:f>IF(AND(AG$6&lt;=$H40,AG$6+6&gt;=$G40),1,"")</x:f>
      </x:c>
      <x:c r="AH40" s="167" t="str">
        <x:f>IF(AND(AH$6&lt;=$H40,AH$6+6&gt;=$G40),1,"")</x:f>
      </x:c>
      <x:c r="AI40" s="167" t="str">
        <x:f>IF(AND(AI$6&lt;=$H40,AI$6+6&gt;=$G40),1,"")</x:f>
      </x:c>
      <x:c r="AJ40" s="167" t="str">
        <x:f>IF(AND(AJ$6&lt;=$H40,AJ$6+6&gt;=$G40),1,"")</x:f>
      </x:c>
      <x:c r="AK40" s="167" t="str">
        <x:f>IF(AND(AK$6&lt;=$H40,AK$6+6&gt;=$G40),1,"")</x:f>
      </x:c>
      <x:c r="AL40" s="167" t="str">
        <x:f>IF(AND(AL$6&lt;=$H40,AL$6+6&gt;=$G40),1,"")</x:f>
      </x:c>
      <x:c r="AM40" s="167" t="str">
        <x:f>IF(AND(AM$6&lt;=$H40,AM$6+6&gt;=$G40),1,"")</x:f>
      </x:c>
      <x:c r="AN40" s="167" t="str">
        <x:f>IF(AND(AN$6&lt;=$H40,AN$6+6&gt;=$G40),1,"")</x:f>
      </x:c>
      <x:c r="AO40" s="167" t="str">
        <x:f>IF(AND(AO$6&lt;=$H40,AO$6+6&gt;=$G40),1,"")</x:f>
      </x:c>
      <x:c r="AP40" s="167" t="str">
        <x:f>IF(AND(AP$6&lt;=$H40,AP$6+6&gt;=$G40),1,"")</x:f>
      </x:c>
      <x:c r="AQ40" s="167" t="str">
        <x:f>IF(AND(AQ$6&lt;=$H40,AQ$6+6&gt;=$G40),1,"")</x:f>
      </x:c>
      <x:c r="AR40" s="167" t="str">
        <x:f>IF(AND(AR$6&lt;=$H40,AR$6+6&gt;=$G40),1,"")</x:f>
      </x:c>
      <x:c r="AS40" s="167" t="str">
        <x:f>IF(AND(AS$6&lt;=$H40,AS$6+6&gt;=$G40),1,"")</x:f>
      </x:c>
      <x:c r="AT40" s="167" t="str">
        <x:f>IF(AND(AT$6&lt;=$H40,AT$6+6&gt;=$G40),1,"")</x:f>
      </x:c>
      <x:c r="AU40" s="167" t="str">
        <x:f>IF(AND(AU$6&lt;=$H40,AU$6+6&gt;=$G40),1,"")</x:f>
      </x:c>
      <x:c r="AV40" s="167" t="str">
        <x:f>IF(AND(AV$6&lt;=$H40,AV$6+6&gt;=$G40),1,"")</x:f>
      </x:c>
      <x:c r="AW40" s="167" t="str">
        <x:f>IF(AND(AW$6&lt;=$H40,AW$6+6&gt;=$G40),1,"")</x:f>
      </x:c>
      <x:c r="AX40" s="167" t="str">
        <x:f>IF(AND(AX$6&lt;=$H40,AX$6+6&gt;=$G40),1,"")</x:f>
      </x:c>
      <x:c r="AY40" s="168" t="str">
        <x:f>IF(AND(AY$6&lt;=$H40,AY$6+6&gt;=$G40),1,"")</x:f>
      </x:c>
    </x:row>
    <x:row r="41" ht="24" customHeight="1">
      <x:c r="A41" s="68" t="str">
        <x:f>'Hardware Tasks'!A39</x:f>
        <x:v>T-706</x:v>
      </x:c>
      <x:c r="B41" s="68" t="str">
        <x:f>'Hardware Tasks'!B39</x:f>
        <x:v>M7</x:v>
      </x:c>
      <x:c r="C41" s="68" t="str">
        <x:f>'Hardware Tasks'!C39</x:f>
        <x:v>Calibration/Operations</x:v>
      </x:c>
      <x:c r="D41" s="68" t="str">
        <x:f>'Hardware Tasks'!D39</x:f>
        <x:v>Define hardware calibration and encoder-zero procedure</x:v>
      </x:c>
      <x:c r="E41" s="68" t="str">
        <x:f>'Hardware Tasks'!E39</x:f>
        <x:v>T-510, T-703, T-704</x:v>
      </x:c>
      <x:c r="F41" s="68" t="str">
        <x:f>'Hardware Tasks'!F39</x:f>
        <x:v>Blocked</x:v>
      </x:c>
      <x:c r="G41" s="94" t="n">
        <x:f>'Hardware Tasks'!I39</x:f>
        <x:v>46321</x:v>
      </x:c>
      <x:c r="H41" s="94" t="n">
        <x:f>'Hardware Tasks'!J39</x:f>
        <x:v>46323</x:v>
      </x:c>
      <x:c r="I41" s="166" t="str">
        <x:f>IF(AND(I$6&lt;=$H41,I$6+6&gt;=$G41),1,"")</x:f>
      </x:c>
      <x:c r="J41" s="167" t="str">
        <x:f>IF(AND(J$6&lt;=$H41,J$6+6&gt;=$G41),1,"")</x:f>
      </x:c>
      <x:c r="K41" s="167" t="str">
        <x:f>IF(AND(K$6&lt;=$H41,K$6+6&gt;=$G41),1,"")</x:f>
      </x:c>
      <x:c r="L41" s="167" t="str">
        <x:f>IF(AND(L$6&lt;=$H41,L$6+6&gt;=$G41),1,"")</x:f>
      </x:c>
      <x:c r="M41" s="167" t="str">
        <x:f>IF(AND(M$6&lt;=$H41,M$6+6&gt;=$G41),1,"")</x:f>
      </x:c>
      <x:c r="N41" s="167" t="str">
        <x:f>IF(AND(N$6&lt;=$H41,N$6+6&gt;=$G41),1,"")</x:f>
      </x:c>
      <x:c r="O41" s="167" t="n">
        <x:f>IF(AND(O$6&lt;=$H41,O$6+6&gt;=$G41),1,"")</x:f>
        <x:v>1</x:v>
      </x:c>
      <x:c r="P41" s="167" t="str">
        <x:f>IF(AND(P$6&lt;=$H41,P$6+6&gt;=$G41),1,"")</x:f>
      </x:c>
      <x:c r="Q41" s="167" t="str">
        <x:f>IF(AND(Q$6&lt;=$H41,Q$6+6&gt;=$G41),1,"")</x:f>
      </x:c>
      <x:c r="R41" s="167" t="str">
        <x:f>IF(AND(R$6&lt;=$H41,R$6+6&gt;=$G41),1,"")</x:f>
      </x:c>
      <x:c r="S41" s="167" t="str">
        <x:f>IF(AND(S$6&lt;=$H41,S$6+6&gt;=$G41),1,"")</x:f>
      </x:c>
      <x:c r="T41" s="167" t="str">
        <x:f>IF(AND(T$6&lt;=$H41,T$6+6&gt;=$G41),1,"")</x:f>
      </x:c>
      <x:c r="U41" s="167" t="str">
        <x:f>IF(AND(U$6&lt;=$H41,U$6+6&gt;=$G41),1,"")</x:f>
      </x:c>
      <x:c r="V41" s="167" t="str">
        <x:f>IF(AND(V$6&lt;=$H41,V$6+6&gt;=$G41),1,"")</x:f>
      </x:c>
      <x:c r="W41" s="167" t="str">
        <x:f>IF(AND(W$6&lt;=$H41,W$6+6&gt;=$G41),1,"")</x:f>
      </x:c>
      <x:c r="X41" s="167" t="str">
        <x:f>IF(AND(X$6&lt;=$H41,X$6+6&gt;=$G41),1,"")</x:f>
      </x:c>
      <x:c r="Y41" s="167" t="str">
        <x:f>IF(AND(Y$6&lt;=$H41,Y$6+6&gt;=$G41),1,"")</x:f>
      </x:c>
      <x:c r="Z41" s="167" t="str">
        <x:f>IF(AND(Z$6&lt;=$H41,Z$6+6&gt;=$G41),1,"")</x:f>
      </x:c>
      <x:c r="AA41" s="167" t="str">
        <x:f>IF(AND(AA$6&lt;=$H41,AA$6+6&gt;=$G41),1,"")</x:f>
      </x:c>
      <x:c r="AB41" s="167" t="str">
        <x:f>IF(AND(AB$6&lt;=$H41,AB$6+6&gt;=$G41),1,"")</x:f>
      </x:c>
      <x:c r="AC41" s="167" t="str">
        <x:f>IF(AND(AC$6&lt;=$H41,AC$6+6&gt;=$G41),1,"")</x:f>
      </x:c>
      <x:c r="AD41" s="167" t="str">
        <x:f>IF(AND(AD$6&lt;=$H41,AD$6+6&gt;=$G41),1,"")</x:f>
      </x:c>
      <x:c r="AE41" s="167" t="str">
        <x:f>IF(AND(AE$6&lt;=$H41,AE$6+6&gt;=$G41),1,"")</x:f>
      </x:c>
      <x:c r="AF41" s="167" t="str">
        <x:f>IF(AND(AF$6&lt;=$H41,AF$6+6&gt;=$G41),1,"")</x:f>
      </x:c>
      <x:c r="AG41" s="167" t="str">
        <x:f>IF(AND(AG$6&lt;=$H41,AG$6+6&gt;=$G41),1,"")</x:f>
      </x:c>
      <x:c r="AH41" s="167" t="str">
        <x:f>IF(AND(AH$6&lt;=$H41,AH$6+6&gt;=$G41),1,"")</x:f>
      </x:c>
      <x:c r="AI41" s="167" t="str">
        <x:f>IF(AND(AI$6&lt;=$H41,AI$6+6&gt;=$G41),1,"")</x:f>
      </x:c>
      <x:c r="AJ41" s="167" t="str">
        <x:f>IF(AND(AJ$6&lt;=$H41,AJ$6+6&gt;=$G41),1,"")</x:f>
      </x:c>
      <x:c r="AK41" s="167" t="str">
        <x:f>IF(AND(AK$6&lt;=$H41,AK$6+6&gt;=$G41),1,"")</x:f>
      </x:c>
      <x:c r="AL41" s="167" t="str">
        <x:f>IF(AND(AL$6&lt;=$H41,AL$6+6&gt;=$G41),1,"")</x:f>
      </x:c>
      <x:c r="AM41" s="167" t="str">
        <x:f>IF(AND(AM$6&lt;=$H41,AM$6+6&gt;=$G41),1,"")</x:f>
      </x:c>
      <x:c r="AN41" s="167" t="str">
        <x:f>IF(AND(AN$6&lt;=$H41,AN$6+6&gt;=$G41),1,"")</x:f>
      </x:c>
      <x:c r="AO41" s="167" t="str">
        <x:f>IF(AND(AO$6&lt;=$H41,AO$6+6&gt;=$G41),1,"")</x:f>
      </x:c>
      <x:c r="AP41" s="167" t="str">
        <x:f>IF(AND(AP$6&lt;=$H41,AP$6+6&gt;=$G41),1,"")</x:f>
      </x:c>
      <x:c r="AQ41" s="167" t="str">
        <x:f>IF(AND(AQ$6&lt;=$H41,AQ$6+6&gt;=$G41),1,"")</x:f>
      </x:c>
      <x:c r="AR41" s="167" t="str">
        <x:f>IF(AND(AR$6&lt;=$H41,AR$6+6&gt;=$G41),1,"")</x:f>
      </x:c>
      <x:c r="AS41" s="167" t="str">
        <x:f>IF(AND(AS$6&lt;=$H41,AS$6+6&gt;=$G41),1,"")</x:f>
      </x:c>
      <x:c r="AT41" s="167" t="str">
        <x:f>IF(AND(AT$6&lt;=$H41,AT$6+6&gt;=$G41),1,"")</x:f>
      </x:c>
      <x:c r="AU41" s="167" t="str">
        <x:f>IF(AND(AU$6&lt;=$H41,AU$6+6&gt;=$G41),1,"")</x:f>
      </x:c>
      <x:c r="AV41" s="167" t="str">
        <x:f>IF(AND(AV$6&lt;=$H41,AV$6+6&gt;=$G41),1,"")</x:f>
      </x:c>
      <x:c r="AW41" s="167" t="str">
        <x:f>IF(AND(AW$6&lt;=$H41,AW$6+6&gt;=$G41),1,"")</x:f>
      </x:c>
      <x:c r="AX41" s="167" t="str">
        <x:f>IF(AND(AX$6&lt;=$H41,AX$6+6&gt;=$G41),1,"")</x:f>
      </x:c>
      <x:c r="AY41" s="168" t="str">
        <x:f>IF(AND(AY$6&lt;=$H41,AY$6+6&gt;=$G41),1,"")</x:f>
      </x:c>
    </x:row>
    <x:row r="42" ht="24" customHeight="1">
      <x:c r="A42" s="68" t="str">
        <x:f>'Hardware Tasks'!A40</x:f>
        <x:v>T-707</x:v>
      </x:c>
      <x:c r="B42" s="68" t="str">
        <x:f>'Hardware Tasks'!B40</x:f>
        <x:v>M7</x:v>
      </x:c>
      <x:c r="C42" s="68" t="str">
        <x:f>'Hardware Tasks'!C40</x:f>
        <x:v>Hardware Bring-Up</x:v>
      </x:c>
      <x:c r="D42" s="68" t="str">
        <x:f>'Hardware Tasks'!D40</x:f>
        <x:v>Commission and validate one powered joint</x:v>
      </x:c>
      <x:c r="E42" s="68" t="str">
        <x:f>'Hardware Tasks'!E40</x:f>
        <x:v>T-611, T-702, T-704, T-705, T-706</x:v>
      </x:c>
      <x:c r="F42" s="68" t="str">
        <x:f>'Hardware Tasks'!F40</x:f>
        <x:v>Blocked</x:v>
      </x:c>
      <x:c r="G42" s="94" t="n">
        <x:f>'Hardware Tasks'!I40</x:f>
        <x:v>46440</x:v>
      </x:c>
      <x:c r="H42" s="94" t="n">
        <x:f>'Hardware Tasks'!J40</x:f>
        <x:v>46443</x:v>
      </x:c>
      <x:c r="I42" s="166" t="str">
        <x:f>IF(AND(I$6&lt;=$H42,I$6+6&gt;=$G42),1,"")</x:f>
      </x:c>
      <x:c r="J42" s="167" t="str">
        <x:f>IF(AND(J$6&lt;=$H42,J$6+6&gt;=$G42),1,"")</x:f>
      </x:c>
      <x:c r="K42" s="167" t="str">
        <x:f>IF(AND(K$6&lt;=$H42,K$6+6&gt;=$G42),1,"")</x:f>
      </x:c>
      <x:c r="L42" s="167" t="str">
        <x:f>IF(AND(L$6&lt;=$H42,L$6+6&gt;=$G42),1,"")</x:f>
      </x:c>
      <x:c r="M42" s="167" t="str">
        <x:f>IF(AND(M$6&lt;=$H42,M$6+6&gt;=$G42),1,"")</x:f>
      </x:c>
      <x:c r="N42" s="167" t="str">
        <x:f>IF(AND(N$6&lt;=$H42,N$6+6&gt;=$G42),1,"")</x:f>
      </x:c>
      <x:c r="O42" s="167" t="str">
        <x:f>IF(AND(O$6&lt;=$H42,O$6+6&gt;=$G42),1,"")</x:f>
      </x:c>
      <x:c r="P42" s="167" t="str">
        <x:f>IF(AND(P$6&lt;=$H42,P$6+6&gt;=$G42),1,"")</x:f>
      </x:c>
      <x:c r="Q42" s="167" t="str">
        <x:f>IF(AND(Q$6&lt;=$H42,Q$6+6&gt;=$G42),1,"")</x:f>
      </x:c>
      <x:c r="R42" s="167" t="str">
        <x:f>IF(AND(R$6&lt;=$H42,R$6+6&gt;=$G42),1,"")</x:f>
      </x:c>
      <x:c r="S42" s="167" t="str">
        <x:f>IF(AND(S$6&lt;=$H42,S$6+6&gt;=$G42),1,"")</x:f>
      </x:c>
      <x:c r="T42" s="167" t="str">
        <x:f>IF(AND(T$6&lt;=$H42,T$6+6&gt;=$G42),1,"")</x:f>
      </x:c>
      <x:c r="U42" s="167" t="str">
        <x:f>IF(AND(U$6&lt;=$H42,U$6+6&gt;=$G42),1,"")</x:f>
      </x:c>
      <x:c r="V42" s="167" t="str">
        <x:f>IF(AND(V$6&lt;=$H42,V$6+6&gt;=$G42),1,"")</x:f>
      </x:c>
      <x:c r="W42" s="167" t="str">
        <x:f>IF(AND(W$6&lt;=$H42,W$6+6&gt;=$G42),1,"")</x:f>
      </x:c>
      <x:c r="X42" s="167" t="str">
        <x:f>IF(AND(X$6&lt;=$H42,X$6+6&gt;=$G42),1,"")</x:f>
      </x:c>
      <x:c r="Y42" s="167" t="str">
        <x:f>IF(AND(Y$6&lt;=$H42,Y$6+6&gt;=$G42),1,"")</x:f>
      </x:c>
      <x:c r="Z42" s="167" t="str">
        <x:f>IF(AND(Z$6&lt;=$H42,Z$6+6&gt;=$G42),1,"")</x:f>
      </x:c>
      <x:c r="AA42" s="167" t="str">
        <x:f>IF(AND(AA$6&lt;=$H42,AA$6+6&gt;=$G42),1,"")</x:f>
      </x:c>
      <x:c r="AB42" s="167" t="str">
        <x:f>IF(AND(AB$6&lt;=$H42,AB$6+6&gt;=$G42),1,"")</x:f>
      </x:c>
      <x:c r="AC42" s="167" t="str">
        <x:f>IF(AND(AC$6&lt;=$H42,AC$6+6&gt;=$G42),1,"")</x:f>
      </x:c>
      <x:c r="AD42" s="167" t="str">
        <x:f>IF(AND(AD$6&lt;=$H42,AD$6+6&gt;=$G42),1,"")</x:f>
      </x:c>
      <x:c r="AE42" s="167" t="str">
        <x:f>IF(AND(AE$6&lt;=$H42,AE$6+6&gt;=$G42),1,"")</x:f>
      </x:c>
      <x:c r="AF42" s="167" t="n">
        <x:f>IF(AND(AF$6&lt;=$H42,AF$6+6&gt;=$G42),1,"")</x:f>
        <x:v>1</x:v>
      </x:c>
      <x:c r="AG42" s="167" t="str">
        <x:f>IF(AND(AG$6&lt;=$H42,AG$6+6&gt;=$G42),1,"")</x:f>
      </x:c>
      <x:c r="AH42" s="167" t="str">
        <x:f>IF(AND(AH$6&lt;=$H42,AH$6+6&gt;=$G42),1,"")</x:f>
      </x:c>
      <x:c r="AI42" s="167" t="str">
        <x:f>IF(AND(AI$6&lt;=$H42,AI$6+6&gt;=$G42),1,"")</x:f>
      </x:c>
      <x:c r="AJ42" s="167" t="str">
        <x:f>IF(AND(AJ$6&lt;=$H42,AJ$6+6&gt;=$G42),1,"")</x:f>
      </x:c>
      <x:c r="AK42" s="167" t="str">
        <x:f>IF(AND(AK$6&lt;=$H42,AK$6+6&gt;=$G42),1,"")</x:f>
      </x:c>
      <x:c r="AL42" s="167" t="str">
        <x:f>IF(AND(AL$6&lt;=$H42,AL$6+6&gt;=$G42),1,"")</x:f>
      </x:c>
      <x:c r="AM42" s="167" t="str">
        <x:f>IF(AND(AM$6&lt;=$H42,AM$6+6&gt;=$G42),1,"")</x:f>
      </x:c>
      <x:c r="AN42" s="167" t="str">
        <x:f>IF(AND(AN$6&lt;=$H42,AN$6+6&gt;=$G42),1,"")</x:f>
      </x:c>
      <x:c r="AO42" s="167" t="str">
        <x:f>IF(AND(AO$6&lt;=$H42,AO$6+6&gt;=$G42),1,"")</x:f>
      </x:c>
      <x:c r="AP42" s="167" t="str">
        <x:f>IF(AND(AP$6&lt;=$H42,AP$6+6&gt;=$G42),1,"")</x:f>
      </x:c>
      <x:c r="AQ42" s="167" t="str">
        <x:f>IF(AND(AQ$6&lt;=$H42,AQ$6+6&gt;=$G42),1,"")</x:f>
      </x:c>
      <x:c r="AR42" s="167" t="str">
        <x:f>IF(AND(AR$6&lt;=$H42,AR$6+6&gt;=$G42),1,"")</x:f>
      </x:c>
      <x:c r="AS42" s="167" t="str">
        <x:f>IF(AND(AS$6&lt;=$H42,AS$6+6&gt;=$G42),1,"")</x:f>
      </x:c>
      <x:c r="AT42" s="167" t="str">
        <x:f>IF(AND(AT$6&lt;=$H42,AT$6+6&gt;=$G42),1,"")</x:f>
      </x:c>
      <x:c r="AU42" s="167" t="str">
        <x:f>IF(AND(AU$6&lt;=$H42,AU$6+6&gt;=$G42),1,"")</x:f>
      </x:c>
      <x:c r="AV42" s="167" t="str">
        <x:f>IF(AND(AV$6&lt;=$H42,AV$6+6&gt;=$G42),1,"")</x:f>
      </x:c>
      <x:c r="AW42" s="167" t="str">
        <x:f>IF(AND(AW$6&lt;=$H42,AW$6+6&gt;=$G42),1,"")</x:f>
      </x:c>
      <x:c r="AX42" s="167" t="str">
        <x:f>IF(AND(AX$6&lt;=$H42,AX$6+6&gt;=$G42),1,"")</x:f>
      </x:c>
      <x:c r="AY42" s="168" t="str">
        <x:f>IF(AND(AY$6&lt;=$H42,AY$6+6&gt;=$G42),1,"")</x:f>
      </x:c>
    </x:row>
    <x:row r="43" ht="24" customHeight="1">
      <x:c r="A43" s="68" t="str">
        <x:f>'Hardware Tasks'!A41</x:f>
        <x:v>T-708</x:v>
      </x:c>
      <x:c r="B43" s="68" t="str">
        <x:f>'Hardware Tasks'!B41</x:f>
        <x:v>M7</x:v>
      </x:c>
      <x:c r="C43" s="68" t="str">
        <x:f>'Hardware Tasks'!C41</x:f>
        <x:v>Hardware Bring-Up/Dynamics</x:v>
      </x:c>
      <x:c r="D43" s="68" t="str">
        <x:f>'Hardware Tasks'!D41</x:f>
        <x:v>Commission and validate a two-link chain</x:v>
      </x:c>
      <x:c r="E43" s="68" t="str">
        <x:f>'Hardware Tasks'!E41</x:f>
        <x:v>T-707, T-613</x:v>
      </x:c>
      <x:c r="F43" s="68" t="str">
        <x:f>'Hardware Tasks'!F41</x:f>
        <x:v>Blocked</x:v>
      </x:c>
      <x:c r="G43" s="94" t="n">
        <x:f>'Hardware Tasks'!I41</x:f>
        <x:v>46444</x:v>
      </x:c>
      <x:c r="H43" s="94" t="n">
        <x:f>'Hardware Tasks'!J41</x:f>
        <x:v>46451</x:v>
      </x:c>
      <x:c r="I43" s="166" t="str">
        <x:f>IF(AND(I$6&lt;=$H43,I$6+6&gt;=$G43),1,"")</x:f>
      </x:c>
      <x:c r="J43" s="167" t="str">
        <x:f>IF(AND(J$6&lt;=$H43,J$6+6&gt;=$G43),1,"")</x:f>
      </x:c>
      <x:c r="K43" s="167" t="str">
        <x:f>IF(AND(K$6&lt;=$H43,K$6+6&gt;=$G43),1,"")</x:f>
      </x:c>
      <x:c r="L43" s="167" t="str">
        <x:f>IF(AND(L$6&lt;=$H43,L$6+6&gt;=$G43),1,"")</x:f>
      </x:c>
      <x:c r="M43" s="167" t="str">
        <x:f>IF(AND(M$6&lt;=$H43,M$6+6&gt;=$G43),1,"")</x:f>
      </x:c>
      <x:c r="N43" s="167" t="str">
        <x:f>IF(AND(N$6&lt;=$H43,N$6+6&gt;=$G43),1,"")</x:f>
      </x:c>
      <x:c r="O43" s="167" t="str">
        <x:f>IF(AND(O$6&lt;=$H43,O$6+6&gt;=$G43),1,"")</x:f>
      </x:c>
      <x:c r="P43" s="167" t="str">
        <x:f>IF(AND(P$6&lt;=$H43,P$6+6&gt;=$G43),1,"")</x:f>
      </x:c>
      <x:c r="Q43" s="167" t="str">
        <x:f>IF(AND(Q$6&lt;=$H43,Q$6+6&gt;=$G43),1,"")</x:f>
      </x:c>
      <x:c r="R43" s="167" t="str">
        <x:f>IF(AND(R$6&lt;=$H43,R$6+6&gt;=$G43),1,"")</x:f>
      </x:c>
      <x:c r="S43" s="167" t="str">
        <x:f>IF(AND(S$6&lt;=$H43,S$6+6&gt;=$G43),1,"")</x:f>
      </x:c>
      <x:c r="T43" s="167" t="str">
        <x:f>IF(AND(T$6&lt;=$H43,T$6+6&gt;=$G43),1,"")</x:f>
      </x:c>
      <x:c r="U43" s="167" t="str">
        <x:f>IF(AND(U$6&lt;=$H43,U$6+6&gt;=$G43),1,"")</x:f>
      </x:c>
      <x:c r="V43" s="167" t="str">
        <x:f>IF(AND(V$6&lt;=$H43,V$6+6&gt;=$G43),1,"")</x:f>
      </x:c>
      <x:c r="W43" s="167" t="str">
        <x:f>IF(AND(W$6&lt;=$H43,W$6+6&gt;=$G43),1,"")</x:f>
      </x:c>
      <x:c r="X43" s="167" t="str">
        <x:f>IF(AND(X$6&lt;=$H43,X$6+6&gt;=$G43),1,"")</x:f>
      </x:c>
      <x:c r="Y43" s="167" t="str">
        <x:f>IF(AND(Y$6&lt;=$H43,Y$6+6&gt;=$G43),1,"")</x:f>
      </x:c>
      <x:c r="Z43" s="167" t="str">
        <x:f>IF(AND(Z$6&lt;=$H43,Z$6+6&gt;=$G43),1,"")</x:f>
      </x:c>
      <x:c r="AA43" s="167" t="str">
        <x:f>IF(AND(AA$6&lt;=$H43,AA$6+6&gt;=$G43),1,"")</x:f>
      </x:c>
      <x:c r="AB43" s="167" t="str">
        <x:f>IF(AND(AB$6&lt;=$H43,AB$6+6&gt;=$G43),1,"")</x:f>
      </x:c>
      <x:c r="AC43" s="167" t="str">
        <x:f>IF(AND(AC$6&lt;=$H43,AC$6+6&gt;=$G43),1,"")</x:f>
      </x:c>
      <x:c r="AD43" s="167" t="str">
        <x:f>IF(AND(AD$6&lt;=$H43,AD$6+6&gt;=$G43),1,"")</x:f>
      </x:c>
      <x:c r="AE43" s="167" t="str">
        <x:f>IF(AND(AE$6&lt;=$H43,AE$6+6&gt;=$G43),1,"")</x:f>
      </x:c>
      <x:c r="AF43" s="167" t="n">
        <x:f>IF(AND(AF$6&lt;=$H43,AF$6+6&gt;=$G43),1,"")</x:f>
        <x:v>1</x:v>
      </x:c>
      <x:c r="AG43" s="167" t="n">
        <x:f>IF(AND(AG$6&lt;=$H43,AG$6+6&gt;=$G43),1,"")</x:f>
        <x:v>1</x:v>
      </x:c>
      <x:c r="AH43" s="167" t="str">
        <x:f>IF(AND(AH$6&lt;=$H43,AH$6+6&gt;=$G43),1,"")</x:f>
      </x:c>
      <x:c r="AI43" s="167" t="str">
        <x:f>IF(AND(AI$6&lt;=$H43,AI$6+6&gt;=$G43),1,"")</x:f>
      </x:c>
      <x:c r="AJ43" s="167" t="str">
        <x:f>IF(AND(AJ$6&lt;=$H43,AJ$6+6&gt;=$G43),1,"")</x:f>
      </x:c>
      <x:c r="AK43" s="167" t="str">
        <x:f>IF(AND(AK$6&lt;=$H43,AK$6+6&gt;=$G43),1,"")</x:f>
      </x:c>
      <x:c r="AL43" s="167" t="str">
        <x:f>IF(AND(AL$6&lt;=$H43,AL$6+6&gt;=$G43),1,"")</x:f>
      </x:c>
      <x:c r="AM43" s="167" t="str">
        <x:f>IF(AND(AM$6&lt;=$H43,AM$6+6&gt;=$G43),1,"")</x:f>
      </x:c>
      <x:c r="AN43" s="167" t="str">
        <x:f>IF(AND(AN$6&lt;=$H43,AN$6+6&gt;=$G43),1,"")</x:f>
      </x:c>
      <x:c r="AO43" s="167" t="str">
        <x:f>IF(AND(AO$6&lt;=$H43,AO$6+6&gt;=$G43),1,"")</x:f>
      </x:c>
      <x:c r="AP43" s="167" t="str">
        <x:f>IF(AND(AP$6&lt;=$H43,AP$6+6&gt;=$G43),1,"")</x:f>
      </x:c>
      <x:c r="AQ43" s="167" t="str">
        <x:f>IF(AND(AQ$6&lt;=$H43,AQ$6+6&gt;=$G43),1,"")</x:f>
      </x:c>
      <x:c r="AR43" s="167" t="str">
        <x:f>IF(AND(AR$6&lt;=$H43,AR$6+6&gt;=$G43),1,"")</x:f>
      </x:c>
      <x:c r="AS43" s="167" t="str">
        <x:f>IF(AND(AS$6&lt;=$H43,AS$6+6&gt;=$G43),1,"")</x:f>
      </x:c>
      <x:c r="AT43" s="167" t="str">
        <x:f>IF(AND(AT$6&lt;=$H43,AT$6+6&gt;=$G43),1,"")</x:f>
      </x:c>
      <x:c r="AU43" s="167" t="str">
        <x:f>IF(AND(AU$6&lt;=$H43,AU$6+6&gt;=$G43),1,"")</x:f>
      </x:c>
      <x:c r="AV43" s="167" t="str">
        <x:f>IF(AND(AV$6&lt;=$H43,AV$6+6&gt;=$G43),1,"")</x:f>
      </x:c>
      <x:c r="AW43" s="167" t="str">
        <x:f>IF(AND(AW$6&lt;=$H43,AW$6+6&gt;=$G43),1,"")</x:f>
      </x:c>
      <x:c r="AX43" s="167" t="str">
        <x:f>IF(AND(AX$6&lt;=$H43,AX$6+6&gt;=$G43),1,"")</x:f>
      </x:c>
      <x:c r="AY43" s="168" t="str">
        <x:f>IF(AND(AY$6&lt;=$H43,AY$6+6&gt;=$G43),1,"")</x:f>
      </x:c>
    </x:row>
    <x:row r="44" ht="24" customHeight="1">
      <x:c r="A44" s="68" t="str">
        <x:f>'Hardware Tasks'!A42</x:f>
        <x:v>T-709</x:v>
      </x:c>
      <x:c r="B44" s="68" t="str">
        <x:f>'Hardware Tasks'!B42</x:f>
        <x:v>M7</x:v>
      </x:c>
      <x:c r="C44" s="68" t="str">
        <x:f>'Hardware Tasks'!C42</x:f>
        <x:v>Hardware Bring-Up</x:v>
      </x:c>
      <x:c r="D44" s="68" t="str">
        <x:f>'Hardware Tasks'!D42</x:f>
        <x:v>Commission the integrated arm in dry free space</x:v>
      </x:c>
      <x:c r="E44" s="68" t="str">
        <x:f>'Hardware Tasks'!E42</x:f>
        <x:v>T-614, T-708</x:v>
      </x:c>
      <x:c r="F44" s="68" t="str">
        <x:f>'Hardware Tasks'!F42</x:f>
        <x:v>Blocked</x:v>
      </x:c>
      <x:c r="G44" s="94" t="n">
        <x:f>'Hardware Tasks'!I42</x:f>
        <x:v>46454</x:v>
      </x:c>
      <x:c r="H44" s="94" t="n">
        <x:f>'Hardware Tasks'!J42</x:f>
        <x:v>46462</x:v>
      </x:c>
      <x:c r="I44" s="166" t="str">
        <x:f>IF(AND(I$6&lt;=$H44,I$6+6&gt;=$G44),1,"")</x:f>
      </x:c>
      <x:c r="J44" s="167" t="str">
        <x:f>IF(AND(J$6&lt;=$H44,J$6+6&gt;=$G44),1,"")</x:f>
      </x:c>
      <x:c r="K44" s="167" t="str">
        <x:f>IF(AND(K$6&lt;=$H44,K$6+6&gt;=$G44),1,"")</x:f>
      </x:c>
      <x:c r="L44" s="167" t="str">
        <x:f>IF(AND(L$6&lt;=$H44,L$6+6&gt;=$G44),1,"")</x:f>
      </x:c>
      <x:c r="M44" s="167" t="str">
        <x:f>IF(AND(M$6&lt;=$H44,M$6+6&gt;=$G44),1,"")</x:f>
      </x:c>
      <x:c r="N44" s="167" t="str">
        <x:f>IF(AND(N$6&lt;=$H44,N$6+6&gt;=$G44),1,"")</x:f>
      </x:c>
      <x:c r="O44" s="167" t="str">
        <x:f>IF(AND(O$6&lt;=$H44,O$6+6&gt;=$G44),1,"")</x:f>
      </x:c>
      <x:c r="P44" s="167" t="str">
        <x:f>IF(AND(P$6&lt;=$H44,P$6+6&gt;=$G44),1,"")</x:f>
      </x:c>
      <x:c r="Q44" s="167" t="str">
        <x:f>IF(AND(Q$6&lt;=$H44,Q$6+6&gt;=$G44),1,"")</x:f>
      </x:c>
      <x:c r="R44" s="167" t="str">
        <x:f>IF(AND(R$6&lt;=$H44,R$6+6&gt;=$G44),1,"")</x:f>
      </x:c>
      <x:c r="S44" s="167" t="str">
        <x:f>IF(AND(S$6&lt;=$H44,S$6+6&gt;=$G44),1,"")</x:f>
      </x:c>
      <x:c r="T44" s="167" t="str">
        <x:f>IF(AND(T$6&lt;=$H44,T$6+6&gt;=$G44),1,"")</x:f>
      </x:c>
      <x:c r="U44" s="167" t="str">
        <x:f>IF(AND(U$6&lt;=$H44,U$6+6&gt;=$G44),1,"")</x:f>
      </x:c>
      <x:c r="V44" s="167" t="str">
        <x:f>IF(AND(V$6&lt;=$H44,V$6+6&gt;=$G44),1,"")</x:f>
      </x:c>
      <x:c r="W44" s="167" t="str">
        <x:f>IF(AND(W$6&lt;=$H44,W$6+6&gt;=$G44),1,"")</x:f>
      </x:c>
      <x:c r="X44" s="167" t="str">
        <x:f>IF(AND(X$6&lt;=$H44,X$6+6&gt;=$G44),1,"")</x:f>
      </x:c>
      <x:c r="Y44" s="167" t="str">
        <x:f>IF(AND(Y$6&lt;=$H44,Y$6+6&gt;=$G44),1,"")</x:f>
      </x:c>
      <x:c r="Z44" s="167" t="str">
        <x:f>IF(AND(Z$6&lt;=$H44,Z$6+6&gt;=$G44),1,"")</x:f>
      </x:c>
      <x:c r="AA44" s="167" t="str">
        <x:f>IF(AND(AA$6&lt;=$H44,AA$6+6&gt;=$G44),1,"")</x:f>
      </x:c>
      <x:c r="AB44" s="167" t="str">
        <x:f>IF(AND(AB$6&lt;=$H44,AB$6+6&gt;=$G44),1,"")</x:f>
      </x:c>
      <x:c r="AC44" s="167" t="str">
        <x:f>IF(AND(AC$6&lt;=$H44,AC$6+6&gt;=$G44),1,"")</x:f>
      </x:c>
      <x:c r="AD44" s="167" t="str">
        <x:f>IF(AND(AD$6&lt;=$H44,AD$6+6&gt;=$G44),1,"")</x:f>
      </x:c>
      <x:c r="AE44" s="167" t="str">
        <x:f>IF(AND(AE$6&lt;=$H44,AE$6+6&gt;=$G44),1,"")</x:f>
      </x:c>
      <x:c r="AF44" s="167" t="str">
        <x:f>IF(AND(AF$6&lt;=$H44,AF$6+6&gt;=$G44),1,"")</x:f>
      </x:c>
      <x:c r="AG44" s="167" t="str">
        <x:f>IF(AND(AG$6&lt;=$H44,AG$6+6&gt;=$G44),1,"")</x:f>
      </x:c>
      <x:c r="AH44" s="167" t="n">
        <x:f>IF(AND(AH$6&lt;=$H44,AH$6+6&gt;=$G44),1,"")</x:f>
        <x:v>1</x:v>
      </x:c>
      <x:c r="AI44" s="167" t="n">
        <x:f>IF(AND(AI$6&lt;=$H44,AI$6+6&gt;=$G44),1,"")</x:f>
        <x:v>1</x:v>
      </x:c>
      <x:c r="AJ44" s="167" t="str">
        <x:f>IF(AND(AJ$6&lt;=$H44,AJ$6+6&gt;=$G44),1,"")</x:f>
      </x:c>
      <x:c r="AK44" s="167" t="str">
        <x:f>IF(AND(AK$6&lt;=$H44,AK$6+6&gt;=$G44),1,"")</x:f>
      </x:c>
      <x:c r="AL44" s="167" t="str">
        <x:f>IF(AND(AL$6&lt;=$H44,AL$6+6&gt;=$G44),1,"")</x:f>
      </x:c>
      <x:c r="AM44" s="167" t="str">
        <x:f>IF(AND(AM$6&lt;=$H44,AM$6+6&gt;=$G44),1,"")</x:f>
      </x:c>
      <x:c r="AN44" s="167" t="str">
        <x:f>IF(AND(AN$6&lt;=$H44,AN$6+6&gt;=$G44),1,"")</x:f>
      </x:c>
      <x:c r="AO44" s="167" t="str">
        <x:f>IF(AND(AO$6&lt;=$H44,AO$6+6&gt;=$G44),1,"")</x:f>
      </x:c>
      <x:c r="AP44" s="167" t="str">
        <x:f>IF(AND(AP$6&lt;=$H44,AP$6+6&gt;=$G44),1,"")</x:f>
      </x:c>
      <x:c r="AQ44" s="167" t="str">
        <x:f>IF(AND(AQ$6&lt;=$H44,AQ$6+6&gt;=$G44),1,"")</x:f>
      </x:c>
      <x:c r="AR44" s="167" t="str">
        <x:f>IF(AND(AR$6&lt;=$H44,AR$6+6&gt;=$G44),1,"")</x:f>
      </x:c>
      <x:c r="AS44" s="167" t="str">
        <x:f>IF(AND(AS$6&lt;=$H44,AS$6+6&gt;=$G44),1,"")</x:f>
      </x:c>
      <x:c r="AT44" s="167" t="str">
        <x:f>IF(AND(AT$6&lt;=$H44,AT$6+6&gt;=$G44),1,"")</x:f>
      </x:c>
      <x:c r="AU44" s="167" t="str">
        <x:f>IF(AND(AU$6&lt;=$H44,AU$6+6&gt;=$G44),1,"")</x:f>
      </x:c>
      <x:c r="AV44" s="167" t="str">
        <x:f>IF(AND(AV$6&lt;=$H44,AV$6+6&gt;=$G44),1,"")</x:f>
      </x:c>
      <x:c r="AW44" s="167" t="str">
        <x:f>IF(AND(AW$6&lt;=$H44,AW$6+6&gt;=$G44),1,"")</x:f>
      </x:c>
      <x:c r="AX44" s="167" t="str">
        <x:f>IF(AND(AX$6&lt;=$H44,AX$6+6&gt;=$G44),1,"")</x:f>
      </x:c>
      <x:c r="AY44" s="168" t="str">
        <x:f>IF(AND(AY$6&lt;=$H44,AY$6+6&gt;=$G44),1,"")</x:f>
      </x:c>
    </x:row>
    <x:row r="45" ht="24" customHeight="1">
      <x:c r="A45" s="68" t="str">
        <x:f>'Hardware Tasks'!A43</x:f>
        <x:v>T-710</x:v>
      </x:c>
      <x:c r="B45" s="68" t="str">
        <x:f>'Hardware Tasks'!B43</x:f>
        <x:v>M7</x:v>
      </x:c>
      <x:c r="C45" s="68" t="str">
        <x:f>'Hardware Tasks'!C43</x:f>
        <x:v>Contact/Safety</x:v>
      </x:c>
      <x:c r="D45" s="68" t="str">
        <x:f>'Hardware Tasks'!D43</x:f>
        <x:v>Validate brush approach, contact, release, and retract</x:v>
      </x:c>
      <x:c r="E45" s="68" t="str">
        <x:f>'Hardware Tasks'!E43</x:f>
        <x:v>T-612, T-709</x:v>
      </x:c>
      <x:c r="F45" s="68" t="str">
        <x:f>'Hardware Tasks'!F43</x:f>
        <x:v>Blocked</x:v>
      </x:c>
      <x:c r="G45" s="94" t="n">
        <x:f>'Hardware Tasks'!I43</x:f>
        <x:v>46463</x:v>
      </x:c>
      <x:c r="H45" s="94" t="n">
        <x:f>'Hardware Tasks'!J43</x:f>
        <x:v>46470</x:v>
      </x:c>
      <x:c r="I45" s="166" t="str">
        <x:f>IF(AND(I$6&lt;=$H45,I$6+6&gt;=$G45),1,"")</x:f>
      </x:c>
      <x:c r="J45" s="167" t="str">
        <x:f>IF(AND(J$6&lt;=$H45,J$6+6&gt;=$G45),1,"")</x:f>
      </x:c>
      <x:c r="K45" s="167" t="str">
        <x:f>IF(AND(K$6&lt;=$H45,K$6+6&gt;=$G45),1,"")</x:f>
      </x:c>
      <x:c r="L45" s="167" t="str">
        <x:f>IF(AND(L$6&lt;=$H45,L$6+6&gt;=$G45),1,"")</x:f>
      </x:c>
      <x:c r="M45" s="167" t="str">
        <x:f>IF(AND(M$6&lt;=$H45,M$6+6&gt;=$G45),1,"")</x:f>
      </x:c>
      <x:c r="N45" s="167" t="str">
        <x:f>IF(AND(N$6&lt;=$H45,N$6+6&gt;=$G45),1,"")</x:f>
      </x:c>
      <x:c r="O45" s="167" t="str">
        <x:f>IF(AND(O$6&lt;=$H45,O$6+6&gt;=$G45),1,"")</x:f>
      </x:c>
      <x:c r="P45" s="167" t="str">
        <x:f>IF(AND(P$6&lt;=$H45,P$6+6&gt;=$G45),1,"")</x:f>
      </x:c>
      <x:c r="Q45" s="167" t="str">
        <x:f>IF(AND(Q$6&lt;=$H45,Q$6+6&gt;=$G45),1,"")</x:f>
      </x:c>
      <x:c r="R45" s="167" t="str">
        <x:f>IF(AND(R$6&lt;=$H45,R$6+6&gt;=$G45),1,"")</x:f>
      </x:c>
      <x:c r="S45" s="167" t="str">
        <x:f>IF(AND(S$6&lt;=$H45,S$6+6&gt;=$G45),1,"")</x:f>
      </x:c>
      <x:c r="T45" s="167" t="str">
        <x:f>IF(AND(T$6&lt;=$H45,T$6+6&gt;=$G45),1,"")</x:f>
      </x:c>
      <x:c r="U45" s="167" t="str">
        <x:f>IF(AND(U$6&lt;=$H45,U$6+6&gt;=$G45),1,"")</x:f>
      </x:c>
      <x:c r="V45" s="167" t="str">
        <x:f>IF(AND(V$6&lt;=$H45,V$6+6&gt;=$G45),1,"")</x:f>
      </x:c>
      <x:c r="W45" s="167" t="str">
        <x:f>IF(AND(W$6&lt;=$H45,W$6+6&gt;=$G45),1,"")</x:f>
      </x:c>
      <x:c r="X45" s="167" t="str">
        <x:f>IF(AND(X$6&lt;=$H45,X$6+6&gt;=$G45),1,"")</x:f>
      </x:c>
      <x:c r="Y45" s="167" t="str">
        <x:f>IF(AND(Y$6&lt;=$H45,Y$6+6&gt;=$G45),1,"")</x:f>
      </x:c>
      <x:c r="Z45" s="167" t="str">
        <x:f>IF(AND(Z$6&lt;=$H45,Z$6+6&gt;=$G45),1,"")</x:f>
      </x:c>
      <x:c r="AA45" s="167" t="str">
        <x:f>IF(AND(AA$6&lt;=$H45,AA$6+6&gt;=$G45),1,"")</x:f>
      </x:c>
      <x:c r="AB45" s="167" t="str">
        <x:f>IF(AND(AB$6&lt;=$H45,AB$6+6&gt;=$G45),1,"")</x:f>
      </x:c>
      <x:c r="AC45" s="167" t="str">
        <x:f>IF(AND(AC$6&lt;=$H45,AC$6+6&gt;=$G45),1,"")</x:f>
      </x:c>
      <x:c r="AD45" s="167" t="str">
        <x:f>IF(AND(AD$6&lt;=$H45,AD$6+6&gt;=$G45),1,"")</x:f>
      </x:c>
      <x:c r="AE45" s="167" t="str">
        <x:f>IF(AND(AE$6&lt;=$H45,AE$6+6&gt;=$G45),1,"")</x:f>
      </x:c>
      <x:c r="AF45" s="167" t="str">
        <x:f>IF(AND(AF$6&lt;=$H45,AF$6+6&gt;=$G45),1,"")</x:f>
      </x:c>
      <x:c r="AG45" s="167" t="str">
        <x:f>IF(AND(AG$6&lt;=$H45,AG$6+6&gt;=$G45),1,"")</x:f>
      </x:c>
      <x:c r="AH45" s="167" t="str">
        <x:f>IF(AND(AH$6&lt;=$H45,AH$6+6&gt;=$G45),1,"")</x:f>
      </x:c>
      <x:c r="AI45" s="167" t="n">
        <x:f>IF(AND(AI$6&lt;=$H45,AI$6+6&gt;=$G45),1,"")</x:f>
        <x:v>1</x:v>
      </x:c>
      <x:c r="AJ45" s="167" t="n">
        <x:f>IF(AND(AJ$6&lt;=$H45,AJ$6+6&gt;=$G45),1,"")</x:f>
        <x:v>1</x:v>
      </x:c>
      <x:c r="AK45" s="167" t="str">
        <x:f>IF(AND(AK$6&lt;=$H45,AK$6+6&gt;=$G45),1,"")</x:f>
      </x:c>
      <x:c r="AL45" s="167" t="str">
        <x:f>IF(AND(AL$6&lt;=$H45,AL$6+6&gt;=$G45),1,"")</x:f>
      </x:c>
      <x:c r="AM45" s="167" t="str">
        <x:f>IF(AND(AM$6&lt;=$H45,AM$6+6&gt;=$G45),1,"")</x:f>
      </x:c>
      <x:c r="AN45" s="167" t="str">
        <x:f>IF(AND(AN$6&lt;=$H45,AN$6+6&gt;=$G45),1,"")</x:f>
      </x:c>
      <x:c r="AO45" s="167" t="str">
        <x:f>IF(AND(AO$6&lt;=$H45,AO$6+6&gt;=$G45),1,"")</x:f>
      </x:c>
      <x:c r="AP45" s="167" t="str">
        <x:f>IF(AND(AP$6&lt;=$H45,AP$6+6&gt;=$G45),1,"")</x:f>
      </x:c>
      <x:c r="AQ45" s="167" t="str">
        <x:f>IF(AND(AQ$6&lt;=$H45,AQ$6+6&gt;=$G45),1,"")</x:f>
      </x:c>
      <x:c r="AR45" s="167" t="str">
        <x:f>IF(AND(AR$6&lt;=$H45,AR$6+6&gt;=$G45),1,"")</x:f>
      </x:c>
      <x:c r="AS45" s="167" t="str">
        <x:f>IF(AND(AS$6&lt;=$H45,AS$6+6&gt;=$G45),1,"")</x:f>
      </x:c>
      <x:c r="AT45" s="167" t="str">
        <x:f>IF(AND(AT$6&lt;=$H45,AT$6+6&gt;=$G45),1,"")</x:f>
      </x:c>
      <x:c r="AU45" s="167" t="str">
        <x:f>IF(AND(AU$6&lt;=$H45,AU$6+6&gt;=$G45),1,"")</x:f>
      </x:c>
      <x:c r="AV45" s="167" t="str">
        <x:f>IF(AND(AV$6&lt;=$H45,AV$6+6&gt;=$G45),1,"")</x:f>
      </x:c>
      <x:c r="AW45" s="167" t="str">
        <x:f>IF(AND(AW$6&lt;=$H45,AW$6+6&gt;=$G45),1,"")</x:f>
      </x:c>
      <x:c r="AX45" s="167" t="str">
        <x:f>IF(AND(AX$6&lt;=$H45,AX$6+6&gt;=$G45),1,"")</x:f>
      </x:c>
      <x:c r="AY45" s="168" t="str">
        <x:f>IF(AND(AY$6&lt;=$H45,AY$6+6&gt;=$G45),1,"")</x:f>
      </x:c>
    </x:row>
    <x:row r="46" ht="24" customHeight="1">
      <x:c r="A46" s="68" t="str">
        <x:f>'Hardware Tasks'!A44</x:f>
        <x:v>T-711</x:v>
      </x:c>
      <x:c r="B46" s="68" t="str">
        <x:f>'Hardware Tasks'!B44</x:f>
        <x:v>M7</x:v>
      </x:c>
      <x:c r="C46" s="68" t="str">
        <x:f>'Hardware Tasks'!C44</x:f>
        <x:v>Workcell/Safety</x:v>
      </x:c>
      <x:c r="D46" s="68" t="str">
        <x:f>'Hardware Tasks'!D44</x:f>
        <x:v>Define paint and solvent operating procedures</x:v>
      </x:c>
      <x:c r="E46" s="68" t="str">
        <x:f>'Hardware Tasks'!E44</x:f>
        <x:v>T-608, T-701</x:v>
      </x:c>
      <x:c r="F46" s="68" t="str">
        <x:f>'Hardware Tasks'!F44</x:f>
        <x:v>Blocked</x:v>
      </x:c>
      <x:c r="G46" s="94" t="n">
        <x:f>'Hardware Tasks'!I44</x:f>
        <x:v>46471</x:v>
      </x:c>
      <x:c r="H46" s="94" t="n">
        <x:f>'Hardware Tasks'!J44</x:f>
        <x:v>46475</x:v>
      </x:c>
      <x:c r="I46" s="166" t="str">
        <x:f>IF(AND(I$6&lt;=$H46,I$6+6&gt;=$G46),1,"")</x:f>
      </x:c>
      <x:c r="J46" s="167" t="str">
        <x:f>IF(AND(J$6&lt;=$H46,J$6+6&gt;=$G46),1,"")</x:f>
      </x:c>
      <x:c r="K46" s="167" t="str">
        <x:f>IF(AND(K$6&lt;=$H46,K$6+6&gt;=$G46),1,"")</x:f>
      </x:c>
      <x:c r="L46" s="167" t="str">
        <x:f>IF(AND(L$6&lt;=$H46,L$6+6&gt;=$G46),1,"")</x:f>
      </x:c>
      <x:c r="M46" s="167" t="str">
        <x:f>IF(AND(M$6&lt;=$H46,M$6+6&gt;=$G46),1,"")</x:f>
      </x:c>
      <x:c r="N46" s="167" t="str">
        <x:f>IF(AND(N$6&lt;=$H46,N$6+6&gt;=$G46),1,"")</x:f>
      </x:c>
      <x:c r="O46" s="167" t="str">
        <x:f>IF(AND(O$6&lt;=$H46,O$6+6&gt;=$G46),1,"")</x:f>
      </x:c>
      <x:c r="P46" s="167" t="str">
        <x:f>IF(AND(P$6&lt;=$H46,P$6+6&gt;=$G46),1,"")</x:f>
      </x:c>
      <x:c r="Q46" s="167" t="str">
        <x:f>IF(AND(Q$6&lt;=$H46,Q$6+6&gt;=$G46),1,"")</x:f>
      </x:c>
      <x:c r="R46" s="167" t="str">
        <x:f>IF(AND(R$6&lt;=$H46,R$6+6&gt;=$G46),1,"")</x:f>
      </x:c>
      <x:c r="S46" s="167" t="str">
        <x:f>IF(AND(S$6&lt;=$H46,S$6+6&gt;=$G46),1,"")</x:f>
      </x:c>
      <x:c r="T46" s="167" t="str">
        <x:f>IF(AND(T$6&lt;=$H46,T$6+6&gt;=$G46),1,"")</x:f>
      </x:c>
      <x:c r="U46" s="167" t="str">
        <x:f>IF(AND(U$6&lt;=$H46,U$6+6&gt;=$G46),1,"")</x:f>
      </x:c>
      <x:c r="V46" s="167" t="str">
        <x:f>IF(AND(V$6&lt;=$H46,V$6+6&gt;=$G46),1,"")</x:f>
      </x:c>
      <x:c r="W46" s="167" t="str">
        <x:f>IF(AND(W$6&lt;=$H46,W$6+6&gt;=$G46),1,"")</x:f>
      </x:c>
      <x:c r="X46" s="167" t="str">
        <x:f>IF(AND(X$6&lt;=$H46,X$6+6&gt;=$G46),1,"")</x:f>
      </x:c>
      <x:c r="Y46" s="167" t="str">
        <x:f>IF(AND(Y$6&lt;=$H46,Y$6+6&gt;=$G46),1,"")</x:f>
      </x:c>
      <x:c r="Z46" s="167" t="str">
        <x:f>IF(AND(Z$6&lt;=$H46,Z$6+6&gt;=$G46),1,"")</x:f>
      </x:c>
      <x:c r="AA46" s="167" t="str">
        <x:f>IF(AND(AA$6&lt;=$H46,AA$6+6&gt;=$G46),1,"")</x:f>
      </x:c>
      <x:c r="AB46" s="167" t="str">
        <x:f>IF(AND(AB$6&lt;=$H46,AB$6+6&gt;=$G46),1,"")</x:f>
      </x:c>
      <x:c r="AC46" s="167" t="str">
        <x:f>IF(AND(AC$6&lt;=$H46,AC$6+6&gt;=$G46),1,"")</x:f>
      </x:c>
      <x:c r="AD46" s="167" t="str">
        <x:f>IF(AND(AD$6&lt;=$H46,AD$6+6&gt;=$G46),1,"")</x:f>
      </x:c>
      <x:c r="AE46" s="167" t="str">
        <x:f>IF(AND(AE$6&lt;=$H46,AE$6+6&gt;=$G46),1,"")</x:f>
      </x:c>
      <x:c r="AF46" s="167" t="str">
        <x:f>IF(AND(AF$6&lt;=$H46,AF$6+6&gt;=$G46),1,"")</x:f>
      </x:c>
      <x:c r="AG46" s="167" t="str">
        <x:f>IF(AND(AG$6&lt;=$H46,AG$6+6&gt;=$G46),1,"")</x:f>
      </x:c>
      <x:c r="AH46" s="167" t="str">
        <x:f>IF(AND(AH$6&lt;=$H46,AH$6+6&gt;=$G46),1,"")</x:f>
      </x:c>
      <x:c r="AI46" s="167" t="str">
        <x:f>IF(AND(AI$6&lt;=$H46,AI$6+6&gt;=$G46),1,"")</x:f>
      </x:c>
      <x:c r="AJ46" s="167" t="n">
        <x:f>IF(AND(AJ$6&lt;=$H46,AJ$6+6&gt;=$G46),1,"")</x:f>
        <x:v>1</x:v>
      </x:c>
      <x:c r="AK46" s="167" t="n">
        <x:f>IF(AND(AK$6&lt;=$H46,AK$6+6&gt;=$G46),1,"")</x:f>
        <x:v>1</x:v>
      </x:c>
      <x:c r="AL46" s="167" t="str">
        <x:f>IF(AND(AL$6&lt;=$H46,AL$6+6&gt;=$G46),1,"")</x:f>
      </x:c>
      <x:c r="AM46" s="167" t="str">
        <x:f>IF(AND(AM$6&lt;=$H46,AM$6+6&gt;=$G46),1,"")</x:f>
      </x:c>
      <x:c r="AN46" s="167" t="str">
        <x:f>IF(AND(AN$6&lt;=$H46,AN$6+6&gt;=$G46),1,"")</x:f>
      </x:c>
      <x:c r="AO46" s="167" t="str">
        <x:f>IF(AND(AO$6&lt;=$H46,AO$6+6&gt;=$G46),1,"")</x:f>
      </x:c>
      <x:c r="AP46" s="167" t="str">
        <x:f>IF(AND(AP$6&lt;=$H46,AP$6+6&gt;=$G46),1,"")</x:f>
      </x:c>
      <x:c r="AQ46" s="167" t="str">
        <x:f>IF(AND(AQ$6&lt;=$H46,AQ$6+6&gt;=$G46),1,"")</x:f>
      </x:c>
      <x:c r="AR46" s="167" t="str">
        <x:f>IF(AND(AR$6&lt;=$H46,AR$6+6&gt;=$G46),1,"")</x:f>
      </x:c>
      <x:c r="AS46" s="167" t="str">
        <x:f>IF(AND(AS$6&lt;=$H46,AS$6+6&gt;=$G46),1,"")</x:f>
      </x:c>
      <x:c r="AT46" s="167" t="str">
        <x:f>IF(AND(AT$6&lt;=$H46,AT$6+6&gt;=$G46),1,"")</x:f>
      </x:c>
      <x:c r="AU46" s="167" t="str">
        <x:f>IF(AND(AU$6&lt;=$H46,AU$6+6&gt;=$G46),1,"")</x:f>
      </x:c>
      <x:c r="AV46" s="167" t="str">
        <x:f>IF(AND(AV$6&lt;=$H46,AV$6+6&gt;=$G46),1,"")</x:f>
      </x:c>
      <x:c r="AW46" s="167" t="str">
        <x:f>IF(AND(AW$6&lt;=$H46,AW$6+6&gt;=$G46),1,"")</x:f>
      </x:c>
      <x:c r="AX46" s="167" t="str">
        <x:f>IF(AND(AX$6&lt;=$H46,AX$6+6&gt;=$G46),1,"")</x:f>
      </x:c>
      <x:c r="AY46" s="168" t="str">
        <x:f>IF(AND(AY$6&lt;=$H46,AY$6+6&gt;=$G46),1,"")</x:f>
      </x:c>
    </x:row>
    <x:row r="47" ht="24" customHeight="1">
      <x:c r="A47" s="68" t="str">
        <x:f>'Hardware Tasks'!A45</x:f>
        <x:v>T-712</x:v>
      </x:c>
      <x:c r="B47" s="68" t="str">
        <x:f>'Hardware Tasks'!B45</x:f>
        <x:v>M7</x:v>
      </x:c>
      <x:c r="C47" s="68" t="str">
        <x:f>'Hardware Tasks'!C45</x:f>
        <x:v>Sensors/Calibration</x:v>
      </x:c>
      <x:c r="D47" s="68" t="str">
        <x:f>'Hardware Tasks'!D45</x:f>
        <x:v>Validate physical sensors and fixed-camera observations</x:v>
      </x:c>
      <x:c r="E47" s="68" t="str">
        <x:f>'Hardware Tasks'!E45</x:f>
        <x:v>AI-201, T-509, T-706, T-709</x:v>
      </x:c>
      <x:c r="F47" s="68" t="str">
        <x:f>'Hardware Tasks'!F45</x:f>
        <x:v>Blocked</x:v>
      </x:c>
      <x:c r="G47" s="94" t="n">
        <x:f>'Hardware Tasks'!I45</x:f>
        <x:v>46476</x:v>
      </x:c>
      <x:c r="H47" s="94" t="n">
        <x:f>'Hardware Tasks'!J45</x:f>
        <x:v>46482</x:v>
      </x:c>
      <x:c r="I47" s="166" t="str">
        <x:f>IF(AND(I$6&lt;=$H47,I$6+6&gt;=$G47),1,"")</x:f>
      </x:c>
      <x:c r="J47" s="167" t="str">
        <x:f>IF(AND(J$6&lt;=$H47,J$6+6&gt;=$G47),1,"")</x:f>
      </x:c>
      <x:c r="K47" s="167" t="str">
        <x:f>IF(AND(K$6&lt;=$H47,K$6+6&gt;=$G47),1,"")</x:f>
      </x:c>
      <x:c r="L47" s="167" t="str">
        <x:f>IF(AND(L$6&lt;=$H47,L$6+6&gt;=$G47),1,"")</x:f>
      </x:c>
      <x:c r="M47" s="167" t="str">
        <x:f>IF(AND(M$6&lt;=$H47,M$6+6&gt;=$G47),1,"")</x:f>
      </x:c>
      <x:c r="N47" s="167" t="str">
        <x:f>IF(AND(N$6&lt;=$H47,N$6+6&gt;=$G47),1,"")</x:f>
      </x:c>
      <x:c r="O47" s="167" t="str">
        <x:f>IF(AND(O$6&lt;=$H47,O$6+6&gt;=$G47),1,"")</x:f>
      </x:c>
      <x:c r="P47" s="167" t="str">
        <x:f>IF(AND(P$6&lt;=$H47,P$6+6&gt;=$G47),1,"")</x:f>
      </x:c>
      <x:c r="Q47" s="167" t="str">
        <x:f>IF(AND(Q$6&lt;=$H47,Q$6+6&gt;=$G47),1,"")</x:f>
      </x:c>
      <x:c r="R47" s="167" t="str">
        <x:f>IF(AND(R$6&lt;=$H47,R$6+6&gt;=$G47),1,"")</x:f>
      </x:c>
      <x:c r="S47" s="167" t="str">
        <x:f>IF(AND(S$6&lt;=$H47,S$6+6&gt;=$G47),1,"")</x:f>
      </x:c>
      <x:c r="T47" s="167" t="str">
        <x:f>IF(AND(T$6&lt;=$H47,T$6+6&gt;=$G47),1,"")</x:f>
      </x:c>
      <x:c r="U47" s="167" t="str">
        <x:f>IF(AND(U$6&lt;=$H47,U$6+6&gt;=$G47),1,"")</x:f>
      </x:c>
      <x:c r="V47" s="167" t="str">
        <x:f>IF(AND(V$6&lt;=$H47,V$6+6&gt;=$G47),1,"")</x:f>
      </x:c>
      <x:c r="W47" s="167" t="str">
        <x:f>IF(AND(W$6&lt;=$H47,W$6+6&gt;=$G47),1,"")</x:f>
      </x:c>
      <x:c r="X47" s="167" t="str">
        <x:f>IF(AND(X$6&lt;=$H47,X$6+6&gt;=$G47),1,"")</x:f>
      </x:c>
      <x:c r="Y47" s="167" t="str">
        <x:f>IF(AND(Y$6&lt;=$H47,Y$6+6&gt;=$G47),1,"")</x:f>
      </x:c>
      <x:c r="Z47" s="167" t="str">
        <x:f>IF(AND(Z$6&lt;=$H47,Z$6+6&gt;=$G47),1,"")</x:f>
      </x:c>
      <x:c r="AA47" s="167" t="str">
        <x:f>IF(AND(AA$6&lt;=$H47,AA$6+6&gt;=$G47),1,"")</x:f>
      </x:c>
      <x:c r="AB47" s="167" t="str">
        <x:f>IF(AND(AB$6&lt;=$H47,AB$6+6&gt;=$G47),1,"")</x:f>
      </x:c>
      <x:c r="AC47" s="167" t="str">
        <x:f>IF(AND(AC$6&lt;=$H47,AC$6+6&gt;=$G47),1,"")</x:f>
      </x:c>
      <x:c r="AD47" s="167" t="str">
        <x:f>IF(AND(AD$6&lt;=$H47,AD$6+6&gt;=$G47),1,"")</x:f>
      </x:c>
      <x:c r="AE47" s="167" t="str">
        <x:f>IF(AND(AE$6&lt;=$H47,AE$6+6&gt;=$G47),1,"")</x:f>
      </x:c>
      <x:c r="AF47" s="167" t="str">
        <x:f>IF(AND(AF$6&lt;=$H47,AF$6+6&gt;=$G47),1,"")</x:f>
      </x:c>
      <x:c r="AG47" s="167" t="str">
        <x:f>IF(AND(AG$6&lt;=$H47,AG$6+6&gt;=$G47),1,"")</x:f>
      </x:c>
      <x:c r="AH47" s="167" t="str">
        <x:f>IF(AND(AH$6&lt;=$H47,AH$6+6&gt;=$G47),1,"")</x:f>
      </x:c>
      <x:c r="AI47" s="167" t="str">
        <x:f>IF(AND(AI$6&lt;=$H47,AI$6+6&gt;=$G47),1,"")</x:f>
      </x:c>
      <x:c r="AJ47" s="167" t="str">
        <x:f>IF(AND(AJ$6&lt;=$H47,AJ$6+6&gt;=$G47),1,"")</x:f>
      </x:c>
      <x:c r="AK47" s="167" t="n">
        <x:f>IF(AND(AK$6&lt;=$H47,AK$6+6&gt;=$G47),1,"")</x:f>
        <x:v>1</x:v>
      </x:c>
      <x:c r="AL47" s="167" t="n">
        <x:f>IF(AND(AL$6&lt;=$H47,AL$6+6&gt;=$G47),1,"")</x:f>
        <x:v>1</x:v>
      </x:c>
      <x:c r="AM47" s="167" t="str">
        <x:f>IF(AND(AM$6&lt;=$H47,AM$6+6&gt;=$G47),1,"")</x:f>
      </x:c>
      <x:c r="AN47" s="167" t="str">
        <x:f>IF(AND(AN$6&lt;=$H47,AN$6+6&gt;=$G47),1,"")</x:f>
      </x:c>
      <x:c r="AO47" s="167" t="str">
        <x:f>IF(AND(AO$6&lt;=$H47,AO$6+6&gt;=$G47),1,"")</x:f>
      </x:c>
      <x:c r="AP47" s="167" t="str">
        <x:f>IF(AND(AP$6&lt;=$H47,AP$6+6&gt;=$G47),1,"")</x:f>
      </x:c>
      <x:c r="AQ47" s="167" t="str">
        <x:f>IF(AND(AQ$6&lt;=$H47,AQ$6+6&gt;=$G47),1,"")</x:f>
      </x:c>
      <x:c r="AR47" s="167" t="str">
        <x:f>IF(AND(AR$6&lt;=$H47,AR$6+6&gt;=$G47),1,"")</x:f>
      </x:c>
      <x:c r="AS47" s="167" t="str">
        <x:f>IF(AND(AS$6&lt;=$H47,AS$6+6&gt;=$G47),1,"")</x:f>
      </x:c>
      <x:c r="AT47" s="167" t="str">
        <x:f>IF(AND(AT$6&lt;=$H47,AT$6+6&gt;=$G47),1,"")</x:f>
      </x:c>
      <x:c r="AU47" s="167" t="str">
        <x:f>IF(AND(AU$6&lt;=$H47,AU$6+6&gt;=$G47),1,"")</x:f>
      </x:c>
      <x:c r="AV47" s="167" t="str">
        <x:f>IF(AND(AV$6&lt;=$H47,AV$6+6&gt;=$G47),1,"")</x:f>
      </x:c>
      <x:c r="AW47" s="167" t="str">
        <x:f>IF(AND(AW$6&lt;=$H47,AW$6+6&gt;=$G47),1,"")</x:f>
      </x:c>
      <x:c r="AX47" s="167" t="str">
        <x:f>IF(AND(AX$6&lt;=$H47,AX$6+6&gt;=$G47),1,"")</x:f>
      </x:c>
      <x:c r="AY47" s="168" t="str">
        <x:f>IF(AND(AY$6&lt;=$H47,AY$6+6&gt;=$G47),1,"")</x:f>
      </x:c>
    </x:row>
    <x:row r="48" ht="24" customHeight="1">
      <x:c r="A48" s="68" t="str">
        <x:f>'Hardware Tasks'!A46</x:f>
        <x:v>T-713</x:v>
      </x:c>
      <x:c r="B48" s="68" t="str">
        <x:f>'Hardware Tasks'!B46</x:f>
        <x:v>M7</x:v>
      </x:c>
      <x:c r="C48" s="68" t="str">
        <x:f>'Hardware Tasks'!C46</x:f>
        <x:v>Runtime/Hardware</x:v>
      </x:c>
      <x:c r="D48" s="68" t="str">
        <x:f>'Hardware Tasks'!D46</x:f>
        <x:v>Implement the hardware backend and provenance path</x:v>
      </x:c>
      <x:c r="E48" s="68" t="str">
        <x:f>'Hardware Tasks'!E46</x:f>
        <x:v>T-103, T-401, T-705, T-709, T-712</x:v>
      </x:c>
      <x:c r="F48" s="68" t="str">
        <x:f>'Hardware Tasks'!F46</x:f>
        <x:v>Blocked</x:v>
      </x:c>
      <x:c r="G48" s="94" t="n">
        <x:f>'Hardware Tasks'!I46</x:f>
        <x:v>46483</x:v>
      </x:c>
      <x:c r="H48" s="94" t="n">
        <x:f>'Hardware Tasks'!J46</x:f>
        <x:v>46491</x:v>
      </x:c>
      <x:c r="I48" s="166" t="str">
        <x:f>IF(AND(I$6&lt;=$H48,I$6+6&gt;=$G48),1,"")</x:f>
      </x:c>
      <x:c r="J48" s="167" t="str">
        <x:f>IF(AND(J$6&lt;=$H48,J$6+6&gt;=$G48),1,"")</x:f>
      </x:c>
      <x:c r="K48" s="167" t="str">
        <x:f>IF(AND(K$6&lt;=$H48,K$6+6&gt;=$G48),1,"")</x:f>
      </x:c>
      <x:c r="L48" s="167" t="str">
        <x:f>IF(AND(L$6&lt;=$H48,L$6+6&gt;=$G48),1,"")</x:f>
      </x:c>
      <x:c r="M48" s="167" t="str">
        <x:f>IF(AND(M$6&lt;=$H48,M$6+6&gt;=$G48),1,"")</x:f>
      </x:c>
      <x:c r="N48" s="167" t="str">
        <x:f>IF(AND(N$6&lt;=$H48,N$6+6&gt;=$G48),1,"")</x:f>
      </x:c>
      <x:c r="O48" s="167" t="str">
        <x:f>IF(AND(O$6&lt;=$H48,O$6+6&gt;=$G48),1,"")</x:f>
      </x:c>
      <x:c r="P48" s="167" t="str">
        <x:f>IF(AND(P$6&lt;=$H48,P$6+6&gt;=$G48),1,"")</x:f>
      </x:c>
      <x:c r="Q48" s="167" t="str">
        <x:f>IF(AND(Q$6&lt;=$H48,Q$6+6&gt;=$G48),1,"")</x:f>
      </x:c>
      <x:c r="R48" s="167" t="str">
        <x:f>IF(AND(R$6&lt;=$H48,R$6+6&gt;=$G48),1,"")</x:f>
      </x:c>
      <x:c r="S48" s="167" t="str">
        <x:f>IF(AND(S$6&lt;=$H48,S$6+6&gt;=$G48),1,"")</x:f>
      </x:c>
      <x:c r="T48" s="167" t="str">
        <x:f>IF(AND(T$6&lt;=$H48,T$6+6&gt;=$G48),1,"")</x:f>
      </x:c>
      <x:c r="U48" s="167" t="str">
        <x:f>IF(AND(U$6&lt;=$H48,U$6+6&gt;=$G48),1,"")</x:f>
      </x:c>
      <x:c r="V48" s="167" t="str">
        <x:f>IF(AND(V$6&lt;=$H48,V$6+6&gt;=$G48),1,"")</x:f>
      </x:c>
      <x:c r="W48" s="167" t="str">
        <x:f>IF(AND(W$6&lt;=$H48,W$6+6&gt;=$G48),1,"")</x:f>
      </x:c>
      <x:c r="X48" s="167" t="str">
        <x:f>IF(AND(X$6&lt;=$H48,X$6+6&gt;=$G48),1,"")</x:f>
      </x:c>
      <x:c r="Y48" s="167" t="str">
        <x:f>IF(AND(Y$6&lt;=$H48,Y$6+6&gt;=$G48),1,"")</x:f>
      </x:c>
      <x:c r="Z48" s="167" t="str">
        <x:f>IF(AND(Z$6&lt;=$H48,Z$6+6&gt;=$G48),1,"")</x:f>
      </x:c>
      <x:c r="AA48" s="167" t="str">
        <x:f>IF(AND(AA$6&lt;=$H48,AA$6+6&gt;=$G48),1,"")</x:f>
      </x:c>
      <x:c r="AB48" s="167" t="str">
        <x:f>IF(AND(AB$6&lt;=$H48,AB$6+6&gt;=$G48),1,"")</x:f>
      </x:c>
      <x:c r="AC48" s="167" t="str">
        <x:f>IF(AND(AC$6&lt;=$H48,AC$6+6&gt;=$G48),1,"")</x:f>
      </x:c>
      <x:c r="AD48" s="167" t="str">
        <x:f>IF(AND(AD$6&lt;=$H48,AD$6+6&gt;=$G48),1,"")</x:f>
      </x:c>
      <x:c r="AE48" s="167" t="str">
        <x:f>IF(AND(AE$6&lt;=$H48,AE$6+6&gt;=$G48),1,"")</x:f>
      </x:c>
      <x:c r="AF48" s="167" t="str">
        <x:f>IF(AND(AF$6&lt;=$H48,AF$6+6&gt;=$G48),1,"")</x:f>
      </x:c>
      <x:c r="AG48" s="167" t="str">
        <x:f>IF(AND(AG$6&lt;=$H48,AG$6+6&gt;=$G48),1,"")</x:f>
      </x:c>
      <x:c r="AH48" s="167" t="str">
        <x:f>IF(AND(AH$6&lt;=$H48,AH$6+6&gt;=$G48),1,"")</x:f>
      </x:c>
      <x:c r="AI48" s="167" t="str">
        <x:f>IF(AND(AI$6&lt;=$H48,AI$6+6&gt;=$G48),1,"")</x:f>
      </x:c>
      <x:c r="AJ48" s="167" t="str">
        <x:f>IF(AND(AJ$6&lt;=$H48,AJ$6+6&gt;=$G48),1,"")</x:f>
      </x:c>
      <x:c r="AK48" s="167" t="str">
        <x:f>IF(AND(AK$6&lt;=$H48,AK$6+6&gt;=$G48),1,"")</x:f>
      </x:c>
      <x:c r="AL48" s="167" t="n">
        <x:f>IF(AND(AL$6&lt;=$H48,AL$6+6&gt;=$G48),1,"")</x:f>
        <x:v>1</x:v>
      </x:c>
      <x:c r="AM48" s="167" t="n">
        <x:f>IF(AND(AM$6&lt;=$H48,AM$6+6&gt;=$G48),1,"")</x:f>
        <x:v>1</x:v>
      </x:c>
      <x:c r="AN48" s="167" t="str">
        <x:f>IF(AND(AN$6&lt;=$H48,AN$6+6&gt;=$G48),1,"")</x:f>
      </x:c>
      <x:c r="AO48" s="167" t="str">
        <x:f>IF(AND(AO$6&lt;=$H48,AO$6+6&gt;=$G48),1,"")</x:f>
      </x:c>
      <x:c r="AP48" s="167" t="str">
        <x:f>IF(AND(AP$6&lt;=$H48,AP$6+6&gt;=$G48),1,"")</x:f>
      </x:c>
      <x:c r="AQ48" s="167" t="str">
        <x:f>IF(AND(AQ$6&lt;=$H48,AQ$6+6&gt;=$G48),1,"")</x:f>
      </x:c>
      <x:c r="AR48" s="167" t="str">
        <x:f>IF(AND(AR$6&lt;=$H48,AR$6+6&gt;=$G48),1,"")</x:f>
      </x:c>
      <x:c r="AS48" s="167" t="str">
        <x:f>IF(AND(AS$6&lt;=$H48,AS$6+6&gt;=$G48),1,"")</x:f>
      </x:c>
      <x:c r="AT48" s="167" t="str">
        <x:f>IF(AND(AT$6&lt;=$H48,AT$6+6&gt;=$G48),1,"")</x:f>
      </x:c>
      <x:c r="AU48" s="167" t="str">
        <x:f>IF(AND(AU$6&lt;=$H48,AU$6+6&gt;=$G48),1,"")</x:f>
      </x:c>
      <x:c r="AV48" s="167" t="str">
        <x:f>IF(AND(AV$6&lt;=$H48,AV$6+6&gt;=$G48),1,"")</x:f>
      </x:c>
      <x:c r="AW48" s="167" t="str">
        <x:f>IF(AND(AW$6&lt;=$H48,AW$6+6&gt;=$G48),1,"")</x:f>
      </x:c>
      <x:c r="AX48" s="167" t="str">
        <x:f>IF(AND(AX$6&lt;=$H48,AX$6+6&gt;=$G48),1,"")</x:f>
      </x:c>
      <x:c r="AY48" s="168" t="str">
        <x:f>IF(AND(AY$6&lt;=$H48,AY$6+6&gt;=$G48),1,"")</x:f>
      </x:c>
    </x:row>
    <x:row r="49" ht="24" customHeight="1">
      <x:c r="A49" s="68" t="str">
        <x:f>'Hardware Tasks'!A47</x:f>
        <x:v>T-714</x:v>
      </x:c>
      <x:c r="B49" s="68" t="str">
        <x:f>'Hardware Tasks'!B47</x:f>
        <x:v>M7</x:v>
      </x:c>
      <x:c r="C49" s="68" t="str">
        <x:f>'Hardware Tasks'!C47</x:f>
        <x:v>Safety Validation</x:v>
      </x:c>
      <x:c r="D49" s="68" t="str">
        <x:f>'Hardware Tasks'!D47</x:f>
        <x:v>Run fault-injection and recovery tests</x:v>
      </x:c>
      <x:c r="E49" s="68" t="str">
        <x:f>'Hardware Tasks'!E47</x:f>
        <x:v>T-703, T-705, T-709, T-713</x:v>
      </x:c>
      <x:c r="F49" s="68" t="str">
        <x:f>'Hardware Tasks'!F47</x:f>
        <x:v>Blocked</x:v>
      </x:c>
      <x:c r="G49" s="94" t="n">
        <x:f>'Hardware Tasks'!I47</x:f>
        <x:v>46492</x:v>
      </x:c>
      <x:c r="H49" s="94" t="n">
        <x:f>'Hardware Tasks'!J47</x:f>
        <x:v>46497</x:v>
      </x:c>
      <x:c r="I49" s="166" t="str">
        <x:f>IF(AND(I$6&lt;=$H49,I$6+6&gt;=$G49),1,"")</x:f>
      </x:c>
      <x:c r="J49" s="167" t="str">
        <x:f>IF(AND(J$6&lt;=$H49,J$6+6&gt;=$G49),1,"")</x:f>
      </x:c>
      <x:c r="K49" s="167" t="str">
        <x:f>IF(AND(K$6&lt;=$H49,K$6+6&gt;=$G49),1,"")</x:f>
      </x:c>
      <x:c r="L49" s="167" t="str">
        <x:f>IF(AND(L$6&lt;=$H49,L$6+6&gt;=$G49),1,"")</x:f>
      </x:c>
      <x:c r="M49" s="167" t="str">
        <x:f>IF(AND(M$6&lt;=$H49,M$6+6&gt;=$G49),1,"")</x:f>
      </x:c>
      <x:c r="N49" s="167" t="str">
        <x:f>IF(AND(N$6&lt;=$H49,N$6+6&gt;=$G49),1,"")</x:f>
      </x:c>
      <x:c r="O49" s="167" t="str">
        <x:f>IF(AND(O$6&lt;=$H49,O$6+6&gt;=$G49),1,"")</x:f>
      </x:c>
      <x:c r="P49" s="167" t="str">
        <x:f>IF(AND(P$6&lt;=$H49,P$6+6&gt;=$G49),1,"")</x:f>
      </x:c>
      <x:c r="Q49" s="167" t="str">
        <x:f>IF(AND(Q$6&lt;=$H49,Q$6+6&gt;=$G49),1,"")</x:f>
      </x:c>
      <x:c r="R49" s="167" t="str">
        <x:f>IF(AND(R$6&lt;=$H49,R$6+6&gt;=$G49),1,"")</x:f>
      </x:c>
      <x:c r="S49" s="167" t="str">
        <x:f>IF(AND(S$6&lt;=$H49,S$6+6&gt;=$G49),1,"")</x:f>
      </x:c>
      <x:c r="T49" s="167" t="str">
        <x:f>IF(AND(T$6&lt;=$H49,T$6+6&gt;=$G49),1,"")</x:f>
      </x:c>
      <x:c r="U49" s="167" t="str">
        <x:f>IF(AND(U$6&lt;=$H49,U$6+6&gt;=$G49),1,"")</x:f>
      </x:c>
      <x:c r="V49" s="167" t="str">
        <x:f>IF(AND(V$6&lt;=$H49,V$6+6&gt;=$G49),1,"")</x:f>
      </x:c>
      <x:c r="W49" s="167" t="str">
        <x:f>IF(AND(W$6&lt;=$H49,W$6+6&gt;=$G49),1,"")</x:f>
      </x:c>
      <x:c r="X49" s="167" t="str">
        <x:f>IF(AND(X$6&lt;=$H49,X$6+6&gt;=$G49),1,"")</x:f>
      </x:c>
      <x:c r="Y49" s="167" t="str">
        <x:f>IF(AND(Y$6&lt;=$H49,Y$6+6&gt;=$G49),1,"")</x:f>
      </x:c>
      <x:c r="Z49" s="167" t="str">
        <x:f>IF(AND(Z$6&lt;=$H49,Z$6+6&gt;=$G49),1,"")</x:f>
      </x:c>
      <x:c r="AA49" s="167" t="str">
        <x:f>IF(AND(AA$6&lt;=$H49,AA$6+6&gt;=$G49),1,"")</x:f>
      </x:c>
      <x:c r="AB49" s="167" t="str">
        <x:f>IF(AND(AB$6&lt;=$H49,AB$6+6&gt;=$G49),1,"")</x:f>
      </x:c>
      <x:c r="AC49" s="167" t="str">
        <x:f>IF(AND(AC$6&lt;=$H49,AC$6+6&gt;=$G49),1,"")</x:f>
      </x:c>
      <x:c r="AD49" s="167" t="str">
        <x:f>IF(AND(AD$6&lt;=$H49,AD$6+6&gt;=$G49),1,"")</x:f>
      </x:c>
      <x:c r="AE49" s="167" t="str">
        <x:f>IF(AND(AE$6&lt;=$H49,AE$6+6&gt;=$G49),1,"")</x:f>
      </x:c>
      <x:c r="AF49" s="167" t="str">
        <x:f>IF(AND(AF$6&lt;=$H49,AF$6+6&gt;=$G49),1,"")</x:f>
      </x:c>
      <x:c r="AG49" s="167" t="str">
        <x:f>IF(AND(AG$6&lt;=$H49,AG$6+6&gt;=$G49),1,"")</x:f>
      </x:c>
      <x:c r="AH49" s="167" t="str">
        <x:f>IF(AND(AH$6&lt;=$H49,AH$6+6&gt;=$G49),1,"")</x:f>
      </x:c>
      <x:c r="AI49" s="167" t="str">
        <x:f>IF(AND(AI$6&lt;=$H49,AI$6+6&gt;=$G49),1,"")</x:f>
      </x:c>
      <x:c r="AJ49" s="167" t="str">
        <x:f>IF(AND(AJ$6&lt;=$H49,AJ$6+6&gt;=$G49),1,"")</x:f>
      </x:c>
      <x:c r="AK49" s="167" t="str">
        <x:f>IF(AND(AK$6&lt;=$H49,AK$6+6&gt;=$G49),1,"")</x:f>
      </x:c>
      <x:c r="AL49" s="167" t="str">
        <x:f>IF(AND(AL$6&lt;=$H49,AL$6+6&gt;=$G49),1,"")</x:f>
      </x:c>
      <x:c r="AM49" s="167" t="n">
        <x:f>IF(AND(AM$6&lt;=$H49,AM$6+6&gt;=$G49),1,"")</x:f>
        <x:v>1</x:v>
      </x:c>
      <x:c r="AN49" s="167" t="n">
        <x:f>IF(AND(AN$6&lt;=$H49,AN$6+6&gt;=$G49),1,"")</x:f>
        <x:v>1</x:v>
      </x:c>
      <x:c r="AO49" s="167" t="str">
        <x:f>IF(AND(AO$6&lt;=$H49,AO$6+6&gt;=$G49),1,"")</x:f>
      </x:c>
      <x:c r="AP49" s="167" t="str">
        <x:f>IF(AND(AP$6&lt;=$H49,AP$6+6&gt;=$G49),1,"")</x:f>
      </x:c>
      <x:c r="AQ49" s="167" t="str">
        <x:f>IF(AND(AQ$6&lt;=$H49,AQ$6+6&gt;=$G49),1,"")</x:f>
      </x:c>
      <x:c r="AR49" s="167" t="str">
        <x:f>IF(AND(AR$6&lt;=$H49,AR$6+6&gt;=$G49),1,"")</x:f>
      </x:c>
      <x:c r="AS49" s="167" t="str">
        <x:f>IF(AND(AS$6&lt;=$H49,AS$6+6&gt;=$G49),1,"")</x:f>
      </x:c>
      <x:c r="AT49" s="167" t="str">
        <x:f>IF(AND(AT$6&lt;=$H49,AT$6+6&gt;=$G49),1,"")</x:f>
      </x:c>
      <x:c r="AU49" s="167" t="str">
        <x:f>IF(AND(AU$6&lt;=$H49,AU$6+6&gt;=$G49),1,"")</x:f>
      </x:c>
      <x:c r="AV49" s="167" t="str">
        <x:f>IF(AND(AV$6&lt;=$H49,AV$6+6&gt;=$G49),1,"")</x:f>
      </x:c>
      <x:c r="AW49" s="167" t="str">
        <x:f>IF(AND(AW$6&lt;=$H49,AW$6+6&gt;=$G49),1,"")</x:f>
      </x:c>
      <x:c r="AX49" s="167" t="str">
        <x:f>IF(AND(AX$6&lt;=$H49,AX$6+6&gt;=$G49),1,"")</x:f>
      </x:c>
      <x:c r="AY49" s="168" t="str">
        <x:f>IF(AND(AY$6&lt;=$H49,AY$6+6&gt;=$G49),1,"")</x:f>
      </x:c>
    </x:row>
    <x:row r="50" ht="24" customHeight="1">
      <x:c r="A50" s="68" t="str">
        <x:f>'Hardware Tasks'!A48</x:f>
        <x:v>T-715</x:v>
      </x:c>
      <x:c r="B50" s="68" t="str">
        <x:f>'Hardware Tasks'!B48</x:f>
        <x:v>M7</x:v>
      </x:c>
      <x:c r="C50" s="68" t="str">
        <x:f>'Hardware Tasks'!C48</x:f>
        <x:v>Hardware Validation/Painting</x:v>
      </x:c>
      <x:c r="D50" s="68" t="str">
        <x:f>'Hardware Tasks'!D48</x:f>
        <x:v>Conduct supervised wet painting trials</x:v>
      </x:c>
      <x:c r="E50" s="68" t="str">
        <x:f>'Hardware Tasks'!E48</x:f>
        <x:v>T-710, T-711, T-712, T-714</x:v>
      </x:c>
      <x:c r="F50" s="68" t="str">
        <x:f>'Hardware Tasks'!F48</x:f>
        <x:v>Blocked</x:v>
      </x:c>
      <x:c r="G50" s="94" t="n">
        <x:f>'Hardware Tasks'!I48</x:f>
        <x:v>46498</x:v>
      </x:c>
      <x:c r="H50" s="94" t="n">
        <x:f>'Hardware Tasks'!J48</x:f>
        <x:v>46505</x:v>
      </x:c>
      <x:c r="I50" s="166" t="str">
        <x:f>IF(AND(I$6&lt;=$H50,I$6+6&gt;=$G50),1,"")</x:f>
      </x:c>
      <x:c r="J50" s="167" t="str">
        <x:f>IF(AND(J$6&lt;=$H50,J$6+6&gt;=$G50),1,"")</x:f>
      </x:c>
      <x:c r="K50" s="167" t="str">
        <x:f>IF(AND(K$6&lt;=$H50,K$6+6&gt;=$G50),1,"")</x:f>
      </x:c>
      <x:c r="L50" s="167" t="str">
        <x:f>IF(AND(L$6&lt;=$H50,L$6+6&gt;=$G50),1,"")</x:f>
      </x:c>
      <x:c r="M50" s="167" t="str">
        <x:f>IF(AND(M$6&lt;=$H50,M$6+6&gt;=$G50),1,"")</x:f>
      </x:c>
      <x:c r="N50" s="167" t="str">
        <x:f>IF(AND(N$6&lt;=$H50,N$6+6&gt;=$G50),1,"")</x:f>
      </x:c>
      <x:c r="O50" s="167" t="str">
        <x:f>IF(AND(O$6&lt;=$H50,O$6+6&gt;=$G50),1,"")</x:f>
      </x:c>
      <x:c r="P50" s="167" t="str">
        <x:f>IF(AND(P$6&lt;=$H50,P$6+6&gt;=$G50),1,"")</x:f>
      </x:c>
      <x:c r="Q50" s="167" t="str">
        <x:f>IF(AND(Q$6&lt;=$H50,Q$6+6&gt;=$G50),1,"")</x:f>
      </x:c>
      <x:c r="R50" s="167" t="str">
        <x:f>IF(AND(R$6&lt;=$H50,R$6+6&gt;=$G50),1,"")</x:f>
      </x:c>
      <x:c r="S50" s="167" t="str">
        <x:f>IF(AND(S$6&lt;=$H50,S$6+6&gt;=$G50),1,"")</x:f>
      </x:c>
      <x:c r="T50" s="167" t="str">
        <x:f>IF(AND(T$6&lt;=$H50,T$6+6&gt;=$G50),1,"")</x:f>
      </x:c>
      <x:c r="U50" s="167" t="str">
        <x:f>IF(AND(U$6&lt;=$H50,U$6+6&gt;=$G50),1,"")</x:f>
      </x:c>
      <x:c r="V50" s="167" t="str">
        <x:f>IF(AND(V$6&lt;=$H50,V$6+6&gt;=$G50),1,"")</x:f>
      </x:c>
      <x:c r="W50" s="167" t="str">
        <x:f>IF(AND(W$6&lt;=$H50,W$6+6&gt;=$G50),1,"")</x:f>
      </x:c>
      <x:c r="X50" s="167" t="str">
        <x:f>IF(AND(X$6&lt;=$H50,X$6+6&gt;=$G50),1,"")</x:f>
      </x:c>
      <x:c r="Y50" s="167" t="str">
        <x:f>IF(AND(Y$6&lt;=$H50,Y$6+6&gt;=$G50),1,"")</x:f>
      </x:c>
      <x:c r="Z50" s="167" t="str">
        <x:f>IF(AND(Z$6&lt;=$H50,Z$6+6&gt;=$G50),1,"")</x:f>
      </x:c>
      <x:c r="AA50" s="167" t="str">
        <x:f>IF(AND(AA$6&lt;=$H50,AA$6+6&gt;=$G50),1,"")</x:f>
      </x:c>
      <x:c r="AB50" s="167" t="str">
        <x:f>IF(AND(AB$6&lt;=$H50,AB$6+6&gt;=$G50),1,"")</x:f>
      </x:c>
      <x:c r="AC50" s="167" t="str">
        <x:f>IF(AND(AC$6&lt;=$H50,AC$6+6&gt;=$G50),1,"")</x:f>
      </x:c>
      <x:c r="AD50" s="167" t="str">
        <x:f>IF(AND(AD$6&lt;=$H50,AD$6+6&gt;=$G50),1,"")</x:f>
      </x:c>
      <x:c r="AE50" s="167" t="str">
        <x:f>IF(AND(AE$6&lt;=$H50,AE$6+6&gt;=$G50),1,"")</x:f>
      </x:c>
      <x:c r="AF50" s="167" t="str">
        <x:f>IF(AND(AF$6&lt;=$H50,AF$6+6&gt;=$G50),1,"")</x:f>
      </x:c>
      <x:c r="AG50" s="167" t="str">
        <x:f>IF(AND(AG$6&lt;=$H50,AG$6+6&gt;=$G50),1,"")</x:f>
      </x:c>
      <x:c r="AH50" s="167" t="str">
        <x:f>IF(AND(AH$6&lt;=$H50,AH$6+6&gt;=$G50),1,"")</x:f>
      </x:c>
      <x:c r="AI50" s="167" t="str">
        <x:f>IF(AND(AI$6&lt;=$H50,AI$6+6&gt;=$G50),1,"")</x:f>
      </x:c>
      <x:c r="AJ50" s="167" t="str">
        <x:f>IF(AND(AJ$6&lt;=$H50,AJ$6+6&gt;=$G50),1,"")</x:f>
      </x:c>
      <x:c r="AK50" s="167" t="str">
        <x:f>IF(AND(AK$6&lt;=$H50,AK$6+6&gt;=$G50),1,"")</x:f>
      </x:c>
      <x:c r="AL50" s="167" t="str">
        <x:f>IF(AND(AL$6&lt;=$H50,AL$6+6&gt;=$G50),1,"")</x:f>
      </x:c>
      <x:c r="AM50" s="167" t="str">
        <x:f>IF(AND(AM$6&lt;=$H50,AM$6+6&gt;=$G50),1,"")</x:f>
      </x:c>
      <x:c r="AN50" s="167" t="n">
        <x:f>IF(AND(AN$6&lt;=$H50,AN$6+6&gt;=$G50),1,"")</x:f>
        <x:v>1</x:v>
      </x:c>
      <x:c r="AO50" s="167" t="n">
        <x:f>IF(AND(AO$6&lt;=$H50,AO$6+6&gt;=$G50),1,"")</x:f>
        <x:v>1</x:v>
      </x:c>
      <x:c r="AP50" s="167" t="str">
        <x:f>IF(AND(AP$6&lt;=$H50,AP$6+6&gt;=$G50),1,"")</x:f>
      </x:c>
      <x:c r="AQ50" s="167" t="str">
        <x:f>IF(AND(AQ$6&lt;=$H50,AQ$6+6&gt;=$G50),1,"")</x:f>
      </x:c>
      <x:c r="AR50" s="167" t="str">
        <x:f>IF(AND(AR$6&lt;=$H50,AR$6+6&gt;=$G50),1,"")</x:f>
      </x:c>
      <x:c r="AS50" s="167" t="str">
        <x:f>IF(AND(AS$6&lt;=$H50,AS$6+6&gt;=$G50),1,"")</x:f>
      </x:c>
      <x:c r="AT50" s="167" t="str">
        <x:f>IF(AND(AT$6&lt;=$H50,AT$6+6&gt;=$G50),1,"")</x:f>
      </x:c>
      <x:c r="AU50" s="167" t="str">
        <x:f>IF(AND(AU$6&lt;=$H50,AU$6+6&gt;=$G50),1,"")</x:f>
      </x:c>
      <x:c r="AV50" s="167" t="str">
        <x:f>IF(AND(AV$6&lt;=$H50,AV$6+6&gt;=$G50),1,"")</x:f>
      </x:c>
      <x:c r="AW50" s="167" t="str">
        <x:f>IF(AND(AW$6&lt;=$H50,AW$6+6&gt;=$G50),1,"")</x:f>
      </x:c>
      <x:c r="AX50" s="167" t="str">
        <x:f>IF(AND(AX$6&lt;=$H50,AX$6+6&gt;=$G50),1,"")</x:f>
      </x:c>
      <x:c r="AY50" s="168" t="str">
        <x:f>IF(AND(AY$6&lt;=$H50,AY$6+6&gt;=$G50),1,"")</x:f>
      </x:c>
    </x:row>
    <x:row r="51" ht="24" customHeight="1">
      <x:c r="A51" s="68" t="str">
        <x:f>'Hardware Tasks'!A49</x:f>
        <x:v>T-716</x:v>
      </x:c>
      <x:c r="B51" s="68" t="str">
        <x:f>'Hardware Tasks'!B49</x:f>
        <x:v>M7</x:v>
      </x:c>
      <x:c r="C51" s="68" t="str">
        <x:f>'Hardware Tasks'!C49</x:f>
        <x:v>Active-Inference Transfer Validation</x:v>
      </x:c>
      <x:c r="D51" s="68" t="str">
        <x:f>'Hardware Tasks'!D49</x:f>
        <x:v>Run sensor-equivalent inference in shadow mode</x:v>
      </x:c>
      <x:c r="E51" s="68" t="str">
        <x:f>'Hardware Tasks'!E49</x:f>
        <x:v>M2, T-713, T-715</x:v>
      </x:c>
      <x:c r="F51" s="68" t="str">
        <x:f>'Hardware Tasks'!F49</x:f>
        <x:v>Blocked</x:v>
      </x:c>
      <x:c r="G51" s="94" t="n">
        <x:f>'Hardware Tasks'!I49</x:f>
        <x:v>46506</x:v>
      </x:c>
      <x:c r="H51" s="94" t="n">
        <x:f>'Hardware Tasks'!J49</x:f>
        <x:v>46512</x:v>
      </x:c>
      <x:c r="I51" s="166" t="str">
        <x:f>IF(AND(I$6&lt;=$H51,I$6+6&gt;=$G51),1,"")</x:f>
      </x:c>
      <x:c r="J51" s="167" t="str">
        <x:f>IF(AND(J$6&lt;=$H51,J$6+6&gt;=$G51),1,"")</x:f>
      </x:c>
      <x:c r="K51" s="167" t="str">
        <x:f>IF(AND(K$6&lt;=$H51,K$6+6&gt;=$G51),1,"")</x:f>
      </x:c>
      <x:c r="L51" s="167" t="str">
        <x:f>IF(AND(L$6&lt;=$H51,L$6+6&gt;=$G51),1,"")</x:f>
      </x:c>
      <x:c r="M51" s="167" t="str">
        <x:f>IF(AND(M$6&lt;=$H51,M$6+6&gt;=$G51),1,"")</x:f>
      </x:c>
      <x:c r="N51" s="167" t="str">
        <x:f>IF(AND(N$6&lt;=$H51,N$6+6&gt;=$G51),1,"")</x:f>
      </x:c>
      <x:c r="O51" s="167" t="str">
        <x:f>IF(AND(O$6&lt;=$H51,O$6+6&gt;=$G51),1,"")</x:f>
      </x:c>
      <x:c r="P51" s="167" t="str">
        <x:f>IF(AND(P$6&lt;=$H51,P$6+6&gt;=$G51),1,"")</x:f>
      </x:c>
      <x:c r="Q51" s="167" t="str">
        <x:f>IF(AND(Q$6&lt;=$H51,Q$6+6&gt;=$G51),1,"")</x:f>
      </x:c>
      <x:c r="R51" s="167" t="str">
        <x:f>IF(AND(R$6&lt;=$H51,R$6+6&gt;=$G51),1,"")</x:f>
      </x:c>
      <x:c r="S51" s="167" t="str">
        <x:f>IF(AND(S$6&lt;=$H51,S$6+6&gt;=$G51),1,"")</x:f>
      </x:c>
      <x:c r="T51" s="167" t="str">
        <x:f>IF(AND(T$6&lt;=$H51,T$6+6&gt;=$G51),1,"")</x:f>
      </x:c>
      <x:c r="U51" s="167" t="str">
        <x:f>IF(AND(U$6&lt;=$H51,U$6+6&gt;=$G51),1,"")</x:f>
      </x:c>
      <x:c r="V51" s="167" t="str">
        <x:f>IF(AND(V$6&lt;=$H51,V$6+6&gt;=$G51),1,"")</x:f>
      </x:c>
      <x:c r="W51" s="167" t="str">
        <x:f>IF(AND(W$6&lt;=$H51,W$6+6&gt;=$G51),1,"")</x:f>
      </x:c>
      <x:c r="X51" s="167" t="str">
        <x:f>IF(AND(X$6&lt;=$H51,X$6+6&gt;=$G51),1,"")</x:f>
      </x:c>
      <x:c r="Y51" s="167" t="str">
        <x:f>IF(AND(Y$6&lt;=$H51,Y$6+6&gt;=$G51),1,"")</x:f>
      </x:c>
      <x:c r="Z51" s="167" t="str">
        <x:f>IF(AND(Z$6&lt;=$H51,Z$6+6&gt;=$G51),1,"")</x:f>
      </x:c>
      <x:c r="AA51" s="167" t="str">
        <x:f>IF(AND(AA$6&lt;=$H51,AA$6+6&gt;=$G51),1,"")</x:f>
      </x:c>
      <x:c r="AB51" s="167" t="str">
        <x:f>IF(AND(AB$6&lt;=$H51,AB$6+6&gt;=$G51),1,"")</x:f>
      </x:c>
      <x:c r="AC51" s="167" t="str">
        <x:f>IF(AND(AC$6&lt;=$H51,AC$6+6&gt;=$G51),1,"")</x:f>
      </x:c>
      <x:c r="AD51" s="167" t="str">
        <x:f>IF(AND(AD$6&lt;=$H51,AD$6+6&gt;=$G51),1,"")</x:f>
      </x:c>
      <x:c r="AE51" s="167" t="str">
        <x:f>IF(AND(AE$6&lt;=$H51,AE$6+6&gt;=$G51),1,"")</x:f>
      </x:c>
      <x:c r="AF51" s="167" t="str">
        <x:f>IF(AND(AF$6&lt;=$H51,AF$6+6&gt;=$G51),1,"")</x:f>
      </x:c>
      <x:c r="AG51" s="167" t="str">
        <x:f>IF(AND(AG$6&lt;=$H51,AG$6+6&gt;=$G51),1,"")</x:f>
      </x:c>
      <x:c r="AH51" s="167" t="str">
        <x:f>IF(AND(AH$6&lt;=$H51,AH$6+6&gt;=$G51),1,"")</x:f>
      </x:c>
      <x:c r="AI51" s="167" t="str">
        <x:f>IF(AND(AI$6&lt;=$H51,AI$6+6&gt;=$G51),1,"")</x:f>
      </x:c>
      <x:c r="AJ51" s="167" t="str">
        <x:f>IF(AND(AJ$6&lt;=$H51,AJ$6+6&gt;=$G51),1,"")</x:f>
      </x:c>
      <x:c r="AK51" s="167" t="str">
        <x:f>IF(AND(AK$6&lt;=$H51,AK$6+6&gt;=$G51),1,"")</x:f>
      </x:c>
      <x:c r="AL51" s="167" t="str">
        <x:f>IF(AND(AL$6&lt;=$H51,AL$6+6&gt;=$G51),1,"")</x:f>
      </x:c>
      <x:c r="AM51" s="167" t="str">
        <x:f>IF(AND(AM$6&lt;=$H51,AM$6+6&gt;=$G51),1,"")</x:f>
      </x:c>
      <x:c r="AN51" s="167" t="str">
        <x:f>IF(AND(AN$6&lt;=$H51,AN$6+6&gt;=$G51),1,"")</x:f>
      </x:c>
      <x:c r="AO51" s="167" t="n">
        <x:f>IF(AND(AO$6&lt;=$H51,AO$6+6&gt;=$G51),1,"")</x:f>
        <x:v>1</x:v>
      </x:c>
      <x:c r="AP51" s="167" t="n">
        <x:f>IF(AND(AP$6&lt;=$H51,AP$6+6&gt;=$G51),1,"")</x:f>
        <x:v>1</x:v>
      </x:c>
      <x:c r="AQ51" s="167" t="str">
        <x:f>IF(AND(AQ$6&lt;=$H51,AQ$6+6&gt;=$G51),1,"")</x:f>
      </x:c>
      <x:c r="AR51" s="167" t="str">
        <x:f>IF(AND(AR$6&lt;=$H51,AR$6+6&gt;=$G51),1,"")</x:f>
      </x:c>
      <x:c r="AS51" s="167" t="str">
        <x:f>IF(AND(AS$6&lt;=$H51,AS$6+6&gt;=$G51),1,"")</x:f>
      </x:c>
      <x:c r="AT51" s="167" t="str">
        <x:f>IF(AND(AT$6&lt;=$H51,AT$6+6&gt;=$G51),1,"")</x:f>
      </x:c>
      <x:c r="AU51" s="167" t="str">
        <x:f>IF(AND(AU$6&lt;=$H51,AU$6+6&gt;=$G51),1,"")</x:f>
      </x:c>
      <x:c r="AV51" s="167" t="str">
        <x:f>IF(AND(AV$6&lt;=$H51,AV$6+6&gt;=$G51),1,"")</x:f>
      </x:c>
      <x:c r="AW51" s="167" t="str">
        <x:f>IF(AND(AW$6&lt;=$H51,AW$6+6&gt;=$G51),1,"")</x:f>
      </x:c>
      <x:c r="AX51" s="167" t="str">
        <x:f>IF(AND(AX$6&lt;=$H51,AX$6+6&gt;=$G51),1,"")</x:f>
      </x:c>
      <x:c r="AY51" s="168" t="str">
        <x:f>IF(AND(AY$6&lt;=$H51,AY$6+6&gt;=$G51),1,"")</x:f>
      </x:c>
    </x:row>
    <x:row r="52" ht="24" customHeight="1">
      <x:c r="A52" s="68" t="str">
        <x:f>'Hardware Tasks'!A50</x:f>
        <x:v>T-717</x:v>
      </x:c>
      <x:c r="B52" s="68" t="str">
        <x:f>'Hardware Tasks'!B50</x:f>
        <x:v>M7</x:v>
      </x:c>
      <x:c r="C52" s="68" t="str">
        <x:f>'Hardware Tasks'!C50</x:f>
        <x:v>Hardware Research/Safety</x:v>
      </x:c>
      <x:c r="D52" s="68" t="str">
        <x:f>'Hardware Tasks'!D50</x:f>
        <x:v>Conduct bounded autonomous research runs</x:v>
      </x:c>
      <x:c r="E52" s="68" t="str">
        <x:f>'Hardware Tasks'!E50</x:f>
        <x:v>AI-315, T-714, T-716</x:v>
      </x:c>
      <x:c r="F52" s="68" t="str">
        <x:f>'Hardware Tasks'!F50</x:f>
        <x:v>Blocked</x:v>
      </x:c>
      <x:c r="G52" s="94" t="n">
        <x:f>'Hardware Tasks'!I50</x:f>
        <x:v>46513</x:v>
      </x:c>
      <x:c r="H52" s="94" t="n">
        <x:f>'Hardware Tasks'!J50</x:f>
        <x:v>46518</x:v>
      </x:c>
      <x:c r="I52" s="166" t="str">
        <x:f>IF(AND(I$6&lt;=$H52,I$6+6&gt;=$G52),1,"")</x:f>
      </x:c>
      <x:c r="J52" s="167" t="str">
        <x:f>IF(AND(J$6&lt;=$H52,J$6+6&gt;=$G52),1,"")</x:f>
      </x:c>
      <x:c r="K52" s="167" t="str">
        <x:f>IF(AND(K$6&lt;=$H52,K$6+6&gt;=$G52),1,"")</x:f>
      </x:c>
      <x:c r="L52" s="167" t="str">
        <x:f>IF(AND(L$6&lt;=$H52,L$6+6&gt;=$G52),1,"")</x:f>
      </x:c>
      <x:c r="M52" s="167" t="str">
        <x:f>IF(AND(M$6&lt;=$H52,M$6+6&gt;=$G52),1,"")</x:f>
      </x:c>
      <x:c r="N52" s="167" t="str">
        <x:f>IF(AND(N$6&lt;=$H52,N$6+6&gt;=$G52),1,"")</x:f>
      </x:c>
      <x:c r="O52" s="167" t="str">
        <x:f>IF(AND(O$6&lt;=$H52,O$6+6&gt;=$G52),1,"")</x:f>
      </x:c>
      <x:c r="P52" s="167" t="str">
        <x:f>IF(AND(P$6&lt;=$H52,P$6+6&gt;=$G52),1,"")</x:f>
      </x:c>
      <x:c r="Q52" s="167" t="str">
        <x:f>IF(AND(Q$6&lt;=$H52,Q$6+6&gt;=$G52),1,"")</x:f>
      </x:c>
      <x:c r="R52" s="167" t="str">
        <x:f>IF(AND(R$6&lt;=$H52,R$6+6&gt;=$G52),1,"")</x:f>
      </x:c>
      <x:c r="S52" s="167" t="str">
        <x:f>IF(AND(S$6&lt;=$H52,S$6+6&gt;=$G52),1,"")</x:f>
      </x:c>
      <x:c r="T52" s="167" t="str">
        <x:f>IF(AND(T$6&lt;=$H52,T$6+6&gt;=$G52),1,"")</x:f>
      </x:c>
      <x:c r="U52" s="167" t="str">
        <x:f>IF(AND(U$6&lt;=$H52,U$6+6&gt;=$G52),1,"")</x:f>
      </x:c>
      <x:c r="V52" s="167" t="str">
        <x:f>IF(AND(V$6&lt;=$H52,V$6+6&gt;=$G52),1,"")</x:f>
      </x:c>
      <x:c r="W52" s="167" t="str">
        <x:f>IF(AND(W$6&lt;=$H52,W$6+6&gt;=$G52),1,"")</x:f>
      </x:c>
      <x:c r="X52" s="167" t="str">
        <x:f>IF(AND(X$6&lt;=$H52,X$6+6&gt;=$G52),1,"")</x:f>
      </x:c>
      <x:c r="Y52" s="167" t="str">
        <x:f>IF(AND(Y$6&lt;=$H52,Y$6+6&gt;=$G52),1,"")</x:f>
      </x:c>
      <x:c r="Z52" s="167" t="str">
        <x:f>IF(AND(Z$6&lt;=$H52,Z$6+6&gt;=$G52),1,"")</x:f>
      </x:c>
      <x:c r="AA52" s="167" t="str">
        <x:f>IF(AND(AA$6&lt;=$H52,AA$6+6&gt;=$G52),1,"")</x:f>
      </x:c>
      <x:c r="AB52" s="167" t="str">
        <x:f>IF(AND(AB$6&lt;=$H52,AB$6+6&gt;=$G52),1,"")</x:f>
      </x:c>
      <x:c r="AC52" s="167" t="str">
        <x:f>IF(AND(AC$6&lt;=$H52,AC$6+6&gt;=$G52),1,"")</x:f>
      </x:c>
      <x:c r="AD52" s="167" t="str">
        <x:f>IF(AND(AD$6&lt;=$H52,AD$6+6&gt;=$G52),1,"")</x:f>
      </x:c>
      <x:c r="AE52" s="167" t="str">
        <x:f>IF(AND(AE$6&lt;=$H52,AE$6+6&gt;=$G52),1,"")</x:f>
      </x:c>
      <x:c r="AF52" s="167" t="str">
        <x:f>IF(AND(AF$6&lt;=$H52,AF$6+6&gt;=$G52),1,"")</x:f>
      </x:c>
      <x:c r="AG52" s="167" t="str">
        <x:f>IF(AND(AG$6&lt;=$H52,AG$6+6&gt;=$G52),1,"")</x:f>
      </x:c>
      <x:c r="AH52" s="167" t="str">
        <x:f>IF(AND(AH$6&lt;=$H52,AH$6+6&gt;=$G52),1,"")</x:f>
      </x:c>
      <x:c r="AI52" s="167" t="str">
        <x:f>IF(AND(AI$6&lt;=$H52,AI$6+6&gt;=$G52),1,"")</x:f>
      </x:c>
      <x:c r="AJ52" s="167" t="str">
        <x:f>IF(AND(AJ$6&lt;=$H52,AJ$6+6&gt;=$G52),1,"")</x:f>
      </x:c>
      <x:c r="AK52" s="167" t="str">
        <x:f>IF(AND(AK$6&lt;=$H52,AK$6+6&gt;=$G52),1,"")</x:f>
      </x:c>
      <x:c r="AL52" s="167" t="str">
        <x:f>IF(AND(AL$6&lt;=$H52,AL$6+6&gt;=$G52),1,"")</x:f>
      </x:c>
      <x:c r="AM52" s="167" t="str">
        <x:f>IF(AND(AM$6&lt;=$H52,AM$6+6&gt;=$G52),1,"")</x:f>
      </x:c>
      <x:c r="AN52" s="167" t="str">
        <x:f>IF(AND(AN$6&lt;=$H52,AN$6+6&gt;=$G52),1,"")</x:f>
      </x:c>
      <x:c r="AO52" s="167" t="str">
        <x:f>IF(AND(AO$6&lt;=$H52,AO$6+6&gt;=$G52),1,"")</x:f>
      </x:c>
      <x:c r="AP52" s="167" t="n">
        <x:f>IF(AND(AP$6&lt;=$H52,AP$6+6&gt;=$G52),1,"")</x:f>
        <x:v>1</x:v>
      </x:c>
      <x:c r="AQ52" s="167" t="n">
        <x:f>IF(AND(AQ$6&lt;=$H52,AQ$6+6&gt;=$G52),1,"")</x:f>
        <x:v>1</x:v>
      </x:c>
      <x:c r="AR52" s="167" t="str">
        <x:f>IF(AND(AR$6&lt;=$H52,AR$6+6&gt;=$G52),1,"")</x:f>
      </x:c>
      <x:c r="AS52" s="167" t="str">
        <x:f>IF(AND(AS$6&lt;=$H52,AS$6+6&gt;=$G52),1,"")</x:f>
      </x:c>
      <x:c r="AT52" s="167" t="str">
        <x:f>IF(AND(AT$6&lt;=$H52,AT$6+6&gt;=$G52),1,"")</x:f>
      </x:c>
      <x:c r="AU52" s="167" t="str">
        <x:f>IF(AND(AU$6&lt;=$H52,AU$6+6&gt;=$G52),1,"")</x:f>
      </x:c>
      <x:c r="AV52" s="167" t="str">
        <x:f>IF(AND(AV$6&lt;=$H52,AV$6+6&gt;=$G52),1,"")</x:f>
      </x:c>
      <x:c r="AW52" s="167" t="str">
        <x:f>IF(AND(AW$6&lt;=$H52,AW$6+6&gt;=$G52),1,"")</x:f>
      </x:c>
      <x:c r="AX52" s="167" t="str">
        <x:f>IF(AND(AX$6&lt;=$H52,AX$6+6&gt;=$G52),1,"")</x:f>
      </x:c>
      <x:c r="AY52" s="168" t="str">
        <x:f>IF(AND(AY$6&lt;=$H52,AY$6+6&gt;=$G52),1,"")</x:f>
      </x:c>
    </x:row>
    <x:row r="53" ht="24" customHeight="1">
      <x:c r="A53" s="68" t="str">
        <x:f>'Hardware Tasks'!A51</x:f>
        <x:v>T-718</x:v>
      </x:c>
      <x:c r="B53" s="68" t="str">
        <x:f>'Hardware Tasks'!B51</x:f>
        <x:v>M7</x:v>
      </x:c>
      <x:c r="C53" s="68" t="str">
        <x:f>'Hardware Tasks'!C51</x:f>
        <x:v>Validation</x:v>
      </x:c>
      <x:c r="D53" s="68" t="str">
        <x:f>'Hardware Tasks'!D51</x:f>
        <x:v>M7 hardware-readiness gate</x:v>
      </x:c>
      <x:c r="E53" s="68" t="str">
        <x:f>'Hardware Tasks'!E51</x:f>
        <x:v>T-714, T-715, T-716, T-717</x:v>
      </x:c>
      <x:c r="F53" s="68" t="str">
        <x:f>'Hardware Tasks'!F51</x:f>
        <x:v>Blocked</x:v>
      </x:c>
      <x:c r="G53" s="94" t="n">
        <x:f>'Hardware Tasks'!I51</x:f>
        <x:v>46519</x:v>
      </x:c>
      <x:c r="H53" s="94" t="n">
        <x:f>'Hardware Tasks'!J51</x:f>
        <x:v>46519</x:v>
      </x:c>
      <x:c r="I53" s="169" t="str">
        <x:f>IF(AND(I$6&lt;=$H53,I$6+6&gt;=$G53),1,"")</x:f>
      </x:c>
      <x:c r="J53" s="170" t="str">
        <x:f>IF(AND(J$6&lt;=$H53,J$6+6&gt;=$G53),1,"")</x:f>
      </x:c>
      <x:c r="K53" s="170" t="str">
        <x:f>IF(AND(K$6&lt;=$H53,K$6+6&gt;=$G53),1,"")</x:f>
      </x:c>
      <x:c r="L53" s="170" t="str">
        <x:f>IF(AND(L$6&lt;=$H53,L$6+6&gt;=$G53),1,"")</x:f>
      </x:c>
      <x:c r="M53" s="170" t="str">
        <x:f>IF(AND(M$6&lt;=$H53,M$6+6&gt;=$G53),1,"")</x:f>
      </x:c>
      <x:c r="N53" s="170" t="str">
        <x:f>IF(AND(N$6&lt;=$H53,N$6+6&gt;=$G53),1,"")</x:f>
      </x:c>
      <x:c r="O53" s="170" t="str">
        <x:f>IF(AND(O$6&lt;=$H53,O$6+6&gt;=$G53),1,"")</x:f>
      </x:c>
      <x:c r="P53" s="170" t="str">
        <x:f>IF(AND(P$6&lt;=$H53,P$6+6&gt;=$G53),1,"")</x:f>
      </x:c>
      <x:c r="Q53" s="170" t="str">
        <x:f>IF(AND(Q$6&lt;=$H53,Q$6+6&gt;=$G53),1,"")</x:f>
      </x:c>
      <x:c r="R53" s="170" t="str">
        <x:f>IF(AND(R$6&lt;=$H53,R$6+6&gt;=$G53),1,"")</x:f>
      </x:c>
      <x:c r="S53" s="170" t="str">
        <x:f>IF(AND(S$6&lt;=$H53,S$6+6&gt;=$G53),1,"")</x:f>
      </x:c>
      <x:c r="T53" s="170" t="str">
        <x:f>IF(AND(T$6&lt;=$H53,T$6+6&gt;=$G53),1,"")</x:f>
      </x:c>
      <x:c r="U53" s="170" t="str">
        <x:f>IF(AND(U$6&lt;=$H53,U$6+6&gt;=$G53),1,"")</x:f>
      </x:c>
      <x:c r="V53" s="170" t="str">
        <x:f>IF(AND(V$6&lt;=$H53,V$6+6&gt;=$G53),1,"")</x:f>
      </x:c>
      <x:c r="W53" s="170" t="str">
        <x:f>IF(AND(W$6&lt;=$H53,W$6+6&gt;=$G53),1,"")</x:f>
      </x:c>
      <x:c r="X53" s="170" t="str">
        <x:f>IF(AND(X$6&lt;=$H53,X$6+6&gt;=$G53),1,"")</x:f>
      </x:c>
      <x:c r="Y53" s="170" t="str">
        <x:f>IF(AND(Y$6&lt;=$H53,Y$6+6&gt;=$G53),1,"")</x:f>
      </x:c>
      <x:c r="Z53" s="170" t="str">
        <x:f>IF(AND(Z$6&lt;=$H53,Z$6+6&gt;=$G53),1,"")</x:f>
      </x:c>
      <x:c r="AA53" s="170" t="str">
        <x:f>IF(AND(AA$6&lt;=$H53,AA$6+6&gt;=$G53),1,"")</x:f>
      </x:c>
      <x:c r="AB53" s="170" t="str">
        <x:f>IF(AND(AB$6&lt;=$H53,AB$6+6&gt;=$G53),1,"")</x:f>
      </x:c>
      <x:c r="AC53" s="170" t="str">
        <x:f>IF(AND(AC$6&lt;=$H53,AC$6+6&gt;=$G53),1,"")</x:f>
      </x:c>
      <x:c r="AD53" s="170" t="str">
        <x:f>IF(AND(AD$6&lt;=$H53,AD$6+6&gt;=$G53),1,"")</x:f>
      </x:c>
      <x:c r="AE53" s="170" t="str">
        <x:f>IF(AND(AE$6&lt;=$H53,AE$6+6&gt;=$G53),1,"")</x:f>
      </x:c>
      <x:c r="AF53" s="170" t="str">
        <x:f>IF(AND(AF$6&lt;=$H53,AF$6+6&gt;=$G53),1,"")</x:f>
      </x:c>
      <x:c r="AG53" s="170" t="str">
        <x:f>IF(AND(AG$6&lt;=$H53,AG$6+6&gt;=$G53),1,"")</x:f>
      </x:c>
      <x:c r="AH53" s="170" t="str">
        <x:f>IF(AND(AH$6&lt;=$H53,AH$6+6&gt;=$G53),1,"")</x:f>
      </x:c>
      <x:c r="AI53" s="170" t="str">
        <x:f>IF(AND(AI$6&lt;=$H53,AI$6+6&gt;=$G53),1,"")</x:f>
      </x:c>
      <x:c r="AJ53" s="170" t="str">
        <x:f>IF(AND(AJ$6&lt;=$H53,AJ$6+6&gt;=$G53),1,"")</x:f>
      </x:c>
      <x:c r="AK53" s="170" t="str">
        <x:f>IF(AND(AK$6&lt;=$H53,AK$6+6&gt;=$G53),1,"")</x:f>
      </x:c>
      <x:c r="AL53" s="170" t="str">
        <x:f>IF(AND(AL$6&lt;=$H53,AL$6+6&gt;=$G53),1,"")</x:f>
      </x:c>
      <x:c r="AM53" s="170" t="str">
        <x:f>IF(AND(AM$6&lt;=$H53,AM$6+6&gt;=$G53),1,"")</x:f>
      </x:c>
      <x:c r="AN53" s="170" t="str">
        <x:f>IF(AND(AN$6&lt;=$H53,AN$6+6&gt;=$G53),1,"")</x:f>
      </x:c>
      <x:c r="AO53" s="170" t="str">
        <x:f>IF(AND(AO$6&lt;=$H53,AO$6+6&gt;=$G53),1,"")</x:f>
      </x:c>
      <x:c r="AP53" s="170" t="str">
        <x:f>IF(AND(AP$6&lt;=$H53,AP$6+6&gt;=$G53),1,"")</x:f>
      </x:c>
      <x:c r="AQ53" s="170" t="n">
        <x:f>IF(AND(AQ$6&lt;=$H53,AQ$6+6&gt;=$G53),1,"")</x:f>
        <x:v>1</x:v>
      </x:c>
      <x:c r="AR53" s="170" t="str">
        <x:f>IF(AND(AR$6&lt;=$H53,AR$6+6&gt;=$G53),1,"")</x:f>
      </x:c>
      <x:c r="AS53" s="170" t="str">
        <x:f>IF(AND(AS$6&lt;=$H53,AS$6+6&gt;=$G53),1,"")</x:f>
      </x:c>
      <x:c r="AT53" s="170" t="str">
        <x:f>IF(AND(AT$6&lt;=$H53,AT$6+6&gt;=$G53),1,"")</x:f>
      </x:c>
      <x:c r="AU53" s="170" t="str">
        <x:f>IF(AND(AU$6&lt;=$H53,AU$6+6&gt;=$G53),1,"")</x:f>
      </x:c>
      <x:c r="AV53" s="170" t="str">
        <x:f>IF(AND(AV$6&lt;=$H53,AV$6+6&gt;=$G53),1,"")</x:f>
      </x:c>
      <x:c r="AW53" s="170" t="str">
        <x:f>IF(AND(AW$6&lt;=$H53,AW$6+6&gt;=$G53),1,"")</x:f>
      </x:c>
      <x:c r="AX53" s="170" t="str">
        <x:f>IF(AND(AX$6&lt;=$H53,AX$6+6&gt;=$G53),1,"")</x:f>
      </x:c>
      <x:c r="AY53" s="171" t="str">
        <x:f>IF(AND(AY$6&lt;=$H53,AY$6+6&gt;=$G53),1,"")</x:f>
      </x:c>
    </x:row>
  </x:sheetData>
  <x:mergeCells>
    <x:mergeCell ref="A1:AY1"/>
    <x:mergeCell ref="A2:AY2"/>
    <x:mergeCell ref="A4:A6"/>
    <x:mergeCell ref="B4:B6"/>
    <x:mergeCell ref="C4:C6"/>
    <x:mergeCell ref="D4:D6"/>
    <x:mergeCell ref="E4:E6"/>
    <x:mergeCell ref="F4:F6"/>
    <x:mergeCell ref="G4:G6"/>
    <x:mergeCell ref="H4:H6"/>
    <x:mergeCell ref="I4:K4"/>
    <x:mergeCell ref="L4:O4"/>
    <x:mergeCell ref="P4:T4"/>
    <x:mergeCell ref="U4:X4"/>
    <x:mergeCell ref="Y4:AB4"/>
    <x:mergeCell ref="AC4:AF4"/>
    <x:mergeCell ref="AG4:AK4"/>
    <x:mergeCell ref="AL4:AO4"/>
    <x:mergeCell ref="AP4:AT4"/>
    <x:mergeCell ref="AU4:AX4"/>
    <x:mergeCell ref="I5:AY5"/>
  </x:mergeCells>
  <x:conditionalFormatting sqref="I7:AY7">
    <x:cfRule type="cellIs" dxfId="109" priority="1" operator="equal">
      <x:formula>1</x:formula>
    </x:cfRule>
  </x:conditionalFormatting>
  <x:conditionalFormatting sqref="I8:AY8">
    <x:cfRule type="cellIs" dxfId="110" priority="2" operator="equal">
      <x:formula>1</x:formula>
    </x:cfRule>
  </x:conditionalFormatting>
  <x:conditionalFormatting sqref="I9:AY9">
    <x:cfRule type="cellIs" dxfId="111" priority="3" operator="equal">
      <x:formula>1</x:formula>
    </x:cfRule>
  </x:conditionalFormatting>
  <x:conditionalFormatting sqref="I10:AY10">
    <x:cfRule type="cellIs" dxfId="112" priority="4" operator="equal">
      <x:formula>1</x:formula>
    </x:cfRule>
  </x:conditionalFormatting>
  <x:conditionalFormatting sqref="I11:AY11">
    <x:cfRule type="cellIs" dxfId="113" priority="5" operator="equal">
      <x:formula>1</x:formula>
    </x:cfRule>
  </x:conditionalFormatting>
  <x:conditionalFormatting sqref="I12:AY12">
    <x:cfRule type="cellIs" dxfId="114" priority="6" operator="equal">
      <x:formula>1</x:formula>
    </x:cfRule>
  </x:conditionalFormatting>
  <x:conditionalFormatting sqref="I13:AY13">
    <x:cfRule type="cellIs" dxfId="115" priority="7" operator="equal">
      <x:formula>1</x:formula>
    </x:cfRule>
  </x:conditionalFormatting>
  <x:conditionalFormatting sqref="I14:AY14">
    <x:cfRule type="cellIs" dxfId="116" priority="8" operator="equal">
      <x:formula>1</x:formula>
    </x:cfRule>
  </x:conditionalFormatting>
  <x:conditionalFormatting sqref="I15:AY15">
    <x:cfRule type="cellIs" dxfId="117" priority="9" operator="equal">
      <x:formula>1</x:formula>
    </x:cfRule>
  </x:conditionalFormatting>
  <x:conditionalFormatting sqref="I16:AY16">
    <x:cfRule type="cellIs" dxfId="118" priority="10" operator="equal">
      <x:formula>1</x:formula>
    </x:cfRule>
  </x:conditionalFormatting>
  <x:conditionalFormatting sqref="I17:AY17">
    <x:cfRule type="cellIs" dxfId="119" priority="11" operator="equal">
      <x:formula>1</x:formula>
    </x:cfRule>
  </x:conditionalFormatting>
  <x:conditionalFormatting sqref="I18:AY18">
    <x:cfRule type="cellIs" dxfId="120" priority="12" operator="equal">
      <x:formula>1</x:formula>
    </x:cfRule>
  </x:conditionalFormatting>
  <x:conditionalFormatting sqref="I19:AY19">
    <x:cfRule type="cellIs" dxfId="121" priority="13" operator="equal">
      <x:formula>1</x:formula>
    </x:cfRule>
  </x:conditionalFormatting>
  <x:conditionalFormatting sqref="I20:AY20">
    <x:cfRule type="cellIs" dxfId="122" priority="14" operator="equal">
      <x:formula>1</x:formula>
    </x:cfRule>
  </x:conditionalFormatting>
  <x:conditionalFormatting sqref="I21:AY21">
    <x:cfRule type="cellIs" dxfId="123" priority="15" operator="equal">
      <x:formula>1</x:formula>
    </x:cfRule>
  </x:conditionalFormatting>
  <x:conditionalFormatting sqref="I22:AY22">
    <x:cfRule type="cellIs" dxfId="124" priority="16" operator="equal">
      <x:formula>1</x:formula>
    </x:cfRule>
  </x:conditionalFormatting>
  <x:conditionalFormatting sqref="I23:AY23">
    <x:cfRule type="cellIs" dxfId="125" priority="17" operator="equal">
      <x:formula>1</x:formula>
    </x:cfRule>
  </x:conditionalFormatting>
  <x:conditionalFormatting sqref="I24:AY24">
    <x:cfRule type="cellIs" dxfId="126" priority="18" operator="equal">
      <x:formula>1</x:formula>
    </x:cfRule>
  </x:conditionalFormatting>
  <x:conditionalFormatting sqref="I25:AY25">
    <x:cfRule type="cellIs" dxfId="127" priority="19" operator="equal">
      <x:formula>1</x:formula>
    </x:cfRule>
  </x:conditionalFormatting>
  <x:conditionalFormatting sqref="I26:AY26">
    <x:cfRule type="cellIs" dxfId="128" priority="20" operator="equal">
      <x:formula>1</x:formula>
    </x:cfRule>
  </x:conditionalFormatting>
  <x:conditionalFormatting sqref="I27:AY27">
    <x:cfRule type="cellIs" dxfId="129" priority="21" operator="equal">
      <x:formula>1</x:formula>
    </x:cfRule>
  </x:conditionalFormatting>
  <x:conditionalFormatting sqref="I28:AY28">
    <x:cfRule type="cellIs" dxfId="130" priority="22" operator="equal">
      <x:formula>1</x:formula>
    </x:cfRule>
  </x:conditionalFormatting>
  <x:conditionalFormatting sqref="I29:AY29">
    <x:cfRule type="cellIs" dxfId="131" priority="23" operator="equal">
      <x:formula>1</x:formula>
    </x:cfRule>
  </x:conditionalFormatting>
  <x:conditionalFormatting sqref="I30:AY30">
    <x:cfRule type="cellIs" dxfId="132" priority="24" operator="equal">
      <x:formula>1</x:formula>
    </x:cfRule>
  </x:conditionalFormatting>
  <x:conditionalFormatting sqref="I31:AY31">
    <x:cfRule type="cellIs" dxfId="133" priority="25" operator="equal">
      <x:formula>1</x:formula>
    </x:cfRule>
  </x:conditionalFormatting>
  <x:conditionalFormatting sqref="I32:AY32">
    <x:cfRule type="cellIs" dxfId="134" priority="26" operator="equal">
      <x:formula>1</x:formula>
    </x:cfRule>
  </x:conditionalFormatting>
  <x:conditionalFormatting sqref="I33:AY33">
    <x:cfRule type="cellIs" dxfId="135" priority="27" operator="equal">
      <x:formula>1</x:formula>
    </x:cfRule>
  </x:conditionalFormatting>
  <x:conditionalFormatting sqref="I34:AY34">
    <x:cfRule type="cellIs" dxfId="136" priority="28" operator="equal">
      <x:formula>1</x:formula>
    </x:cfRule>
  </x:conditionalFormatting>
  <x:conditionalFormatting sqref="I35:AY35">
    <x:cfRule type="cellIs" dxfId="137" priority="29" operator="equal">
      <x:formula>1</x:formula>
    </x:cfRule>
  </x:conditionalFormatting>
  <x:conditionalFormatting sqref="I36:AY36">
    <x:cfRule type="cellIs" dxfId="138" priority="30" operator="equal">
      <x:formula>1</x:formula>
    </x:cfRule>
  </x:conditionalFormatting>
  <x:conditionalFormatting sqref="I37:AY37">
    <x:cfRule type="cellIs" dxfId="139" priority="31" operator="equal">
      <x:formula>1</x:formula>
    </x:cfRule>
  </x:conditionalFormatting>
  <x:conditionalFormatting sqref="I38:AY38">
    <x:cfRule type="cellIs" dxfId="140" priority="32" operator="equal">
      <x:formula>1</x:formula>
    </x:cfRule>
  </x:conditionalFormatting>
  <x:conditionalFormatting sqref="I39:AY39">
    <x:cfRule type="cellIs" dxfId="141" priority="33" operator="equal">
      <x:formula>1</x:formula>
    </x:cfRule>
  </x:conditionalFormatting>
  <x:conditionalFormatting sqref="I40:AY40">
    <x:cfRule type="cellIs" dxfId="142" priority="34" operator="equal">
      <x:formula>1</x:formula>
    </x:cfRule>
  </x:conditionalFormatting>
  <x:conditionalFormatting sqref="I41:AY41">
    <x:cfRule type="cellIs" dxfId="143" priority="35" operator="equal">
      <x:formula>1</x:formula>
    </x:cfRule>
  </x:conditionalFormatting>
  <x:conditionalFormatting sqref="I42:AY42">
    <x:cfRule type="cellIs" dxfId="144" priority="36" operator="equal">
      <x:formula>1</x:formula>
    </x:cfRule>
  </x:conditionalFormatting>
  <x:conditionalFormatting sqref="I43:AY43">
    <x:cfRule type="cellIs" dxfId="145" priority="37" operator="equal">
      <x:formula>1</x:formula>
    </x:cfRule>
  </x:conditionalFormatting>
  <x:conditionalFormatting sqref="I44:AY44">
    <x:cfRule type="cellIs" dxfId="146" priority="38" operator="equal">
      <x:formula>1</x:formula>
    </x:cfRule>
  </x:conditionalFormatting>
  <x:conditionalFormatting sqref="I45:AY45">
    <x:cfRule type="cellIs" dxfId="147" priority="39" operator="equal">
      <x:formula>1</x:formula>
    </x:cfRule>
  </x:conditionalFormatting>
  <x:conditionalFormatting sqref="I46:AY46">
    <x:cfRule type="cellIs" dxfId="148" priority="40" operator="equal">
      <x:formula>1</x:formula>
    </x:cfRule>
  </x:conditionalFormatting>
  <x:conditionalFormatting sqref="I47:AY47">
    <x:cfRule type="cellIs" dxfId="149" priority="41" operator="equal">
      <x:formula>1</x:formula>
    </x:cfRule>
  </x:conditionalFormatting>
  <x:conditionalFormatting sqref="I48:AY48">
    <x:cfRule type="cellIs" dxfId="150" priority="42" operator="equal">
      <x:formula>1</x:formula>
    </x:cfRule>
  </x:conditionalFormatting>
  <x:conditionalFormatting sqref="I49:AY49">
    <x:cfRule type="cellIs" dxfId="151" priority="43" operator="equal">
      <x:formula>1</x:formula>
    </x:cfRule>
  </x:conditionalFormatting>
  <x:conditionalFormatting sqref="I50:AY50">
    <x:cfRule type="cellIs" dxfId="152" priority="44" operator="equal">
      <x:formula>1</x:formula>
    </x:cfRule>
  </x:conditionalFormatting>
  <x:conditionalFormatting sqref="I51:AY51">
    <x:cfRule type="cellIs" dxfId="153" priority="45" operator="equal">
      <x:formula>1</x:formula>
    </x:cfRule>
  </x:conditionalFormatting>
  <x:conditionalFormatting sqref="I52:AY52">
    <x:cfRule type="cellIs" dxfId="154" priority="46" operator="equal">
      <x:formula>1</x:formula>
    </x:cfRule>
  </x:conditionalFormatting>
  <x:conditionalFormatting sqref="I53:AY53">
    <x:cfRule type="cellIs" dxfId="155" priority="47" operator="equal">
      <x:formula>1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7" hidden="0" customWidth="1"/>
    <x:col min="4" max="4" width="48" hidden="0" customWidth="1"/>
    <x:col min="5" max="5" width="27" hidden="0" customWidth="1"/>
    <x:col min="6" max="6" width="12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58" hidden="0" customWidth="1"/>
  </x:cols>
  <x:sheetData>
    <x:row r="1" ht="30" customHeight="1">
      <x:c r="A1" s="3" t="str">
        <x:v>Mechanical &amp; Hardware Task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M5-M7: physical specification, CAD and prototypes, safety, commissioning, wet trials, and bounded autonomy. Focused workdays are editable; formula dates preserve milestone sequencing and declared gate floors.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F3"/>
    </x:row>
    <x:row r="4" ht="34" customHeight="1">
      <x:c r="A4" s="18" t="str">
        <x:v>ID</x:v>
      </x:c>
      <x:c r="B4" s="19" t="str">
        <x:v>Milestone</x:v>
      </x:c>
      <x:c r="C4" s="19" t="str">
        <x:v>Track</x:v>
      </x:c>
      <x:c r="D4" s="19" t="str">
        <x:v>Task</x:v>
      </x:c>
      <x:c r="E4" s="19" t="str">
        <x:v>Dependencies</x:v>
      </x:c>
      <x:c r="F4" s="19" t="str">
        <x:v>Status</x:v>
      </x:c>
      <x:c r="G4" s="19" t="str">
        <x:v>Estimate</x:v>
      </x:c>
      <x:c r="H4" s="19" t="str">
        <x:v>Scheduled Workdays</x:v>
      </x:c>
      <x:c r="I4" s="19" t="str">
        <x:v>Planned Start</x:v>
      </x:c>
      <x:c r="J4" s="19" t="str">
        <x:v>Planned Finish</x:v>
      </x:c>
      <x:c r="K4" s="20" t="str">
        <x:v>Deliverable / Acceptance</x:v>
      </x:c>
    </x:row>
    <x:row r="5" ht="40" customHeight="1">
      <x:c r="A5" s="65" t="str">
        <x:v>T-501</x:v>
      </x:c>
      <x:c r="B5" s="65" t="str">
        <x:v>M5</x:v>
      </x:c>
      <x:c r="C5" s="65" t="str">
        <x:v>Geometry/Architecture</x:v>
      </x:c>
      <x:c r="D5" s="65" t="str">
        <x:v>Define RobotGeometrySpec</x:v>
      </x:c>
      <x:c r="E5" s="65" t="str">
        <x:v>T-101, T-103</x:v>
      </x:c>
      <x:c r="F5" s="65" t="str">
        <x:v>Active</x:v>
      </x:c>
      <x:c r="G5" s="65" t="str">
        <x:v>2 days</x:v>
      </x:c>
      <x:c r="H5" s="75" t="n">
        <x:v>2</x:v>
      </x:c>
      <x:c r="I5" s="77" t="n">
        <x:f>'Phase Data'!E16</x:f>
        <x:v>46279</x:v>
      </x:c>
      <x:c r="J5" s="77" t="n">
        <x:f>WORKDAY(I5,H5-1)</x:f>
        <x:v>46280</x:v>
      </x:c>
      <x:c r="K5" s="65" t="str">
        <x:v>A versioned SI-unit schema covers frames, joints, limits, transforms, mass properties, collision geometry, brush, canvas, and camera references without controller corrections.</x:v>
      </x:c>
    </x:row>
    <x:row r="6" ht="40" customHeight="1">
      <x:c r="A6" s="68" t="str">
        <x:v>T-502</x:v>
      </x:c>
      <x:c r="B6" s="68" t="str">
        <x:v>M5</x:v>
      </x:c>
      <x:c r="C6" s="68" t="str">
        <x:v>Geometry</x:v>
      </x:c>
      <x:c r="D6" s="68" t="str">
        <x:v>Define the frame graph and naming convention</x:v>
      </x:c>
      <x:c r="E6" s="68" t="str">
        <x:v>T-501</x:v>
      </x:c>
      <x:c r="F6" s="68" t="str">
        <x:v>Blocked</x:v>
      </x:c>
      <x:c r="G6" s="68" t="str">
        <x:v>1 day</x:v>
      </x:c>
      <x:c r="H6" s="76" t="n">
        <x:v>1</x:v>
      </x:c>
      <x:c r="I6" s="78" t="n">
        <x:f>WORKDAY(J5,1)</x:f>
        <x:v>46281</x:v>
      </x:c>
      <x:c r="J6" s="78" t="n">
        <x:f>WORKDAY(I6,H6-1)</x:f>
        <x:v>46281</x:v>
      </x:c>
      <x:c r="K6" s="68" t="str">
        <x:v>Design and calibration frames share declared names, handedness, transform direction, timestamps, and canonical pose fixtures.</x:v>
      </x:c>
    </x:row>
    <x:row r="7" ht="40" customHeight="1">
      <x:c r="A7" s="68" t="str">
        <x:v>T-503</x:v>
      </x:c>
      <x:c r="B7" s="68" t="str">
        <x:v>M5</x:v>
      </x:c>
      <x:c r="C7" s="68" t="str">
        <x:v>Actuation/Control Interface</x:v>
      </x:c>
      <x:c r="D7" s="68" t="str">
        <x:v>Define actuator, transmission, and sensor specifications</x:v>
      </x:c>
      <x:c r="E7" s="68" t="str">
        <x:v>T-103, T-501</x:v>
      </x:c>
      <x:c r="F7" s="68" t="str">
        <x:v>Blocked</x:v>
      </x:c>
      <x:c r="G7" s="68" t="str">
        <x:v>2-3 days</x:v>
      </x:c>
      <x:c r="H7" s="76" t="n">
        <x:v>2</x:v>
      </x:c>
      <x:c r="I7" s="78" t="n">
        <x:f>WORKDAY(J6,1)</x:f>
        <x:v>46282</x:v>
      </x:c>
      <x:c r="J7" s="78" t="n">
        <x:f>WORKDAY(I7,H7-1)</x:f>
        <x:v>46283</x:v>
      </x:c>
      <x:c r="K7" s="68" t="str">
        <x:v>Motor, driver, transmission, encoder, current, temperature, contact, force, and exposed command-mode fields are versioned per joint.</x:v>
      </x:c>
    </x:row>
    <x:row r="8" ht="40" customHeight="1">
      <x:c r="A8" s="68" t="str">
        <x:v>T-504</x:v>
      </x:c>
      <x:c r="B8" s="68" t="str">
        <x:v>M5</x:v>
      </x:c>
      <x:c r="C8" s="68" t="str">
        <x:v>Calibration/Research Ops</x:v>
      </x:c>
      <x:c r="D8" s="68" t="str">
        <x:v>Add parameter provenance and uncertainty</x:v>
      </x:c>
      <x:c r="E8" s="68" t="str">
        <x:v>T-501, T-502, T-503</x:v>
      </x:c>
      <x:c r="F8" s="68" t="str">
        <x:v>Blocked</x:v>
      </x:c>
      <x:c r="G8" s="68" t="str">
        <x:v>1-2 days</x:v>
      </x:c>
      <x:c r="H8" s="76" t="n">
        <x:v>1</x:v>
      </x:c>
      <x:c r="I8" s="78" t="n">
        <x:f>WORKDAY(J7,1)</x:f>
        <x:v>46286</x:v>
      </x:c>
      <x:c r="J8" s="78" t="n">
        <x:f>WORKDAY(I8,H8-1)</x:f>
        <x:v>46286</x:v>
      </x:c>
      <x:c r="K8" s="68" t="str">
        <x:v>Every physical parameter distinguishes placeholder, datasheet, CAD, measured, fitted, and validated provenance plus meaningful uncertainty.</x:v>
      </x:c>
    </x:row>
    <x:row r="9" ht="40" customHeight="1">
      <x:c r="A9" s="68" t="str">
        <x:v>T-505</x:v>
      </x:c>
      <x:c r="B9" s="68" t="str">
        <x:v>M5</x:v>
      </x:c>
      <x:c r="C9" s="68" t="str">
        <x:v>Requirements/Mechanical</x:v>
      </x:c>
      <x:c r="D9" s="68" t="str">
        <x:v>Define the preliminary design and operating envelope</x:v>
      </x:c>
      <x:c r="E9" s="68" t="str">
        <x:v>T-501, T-503</x:v>
      </x:c>
      <x:c r="F9" s="68" t="str">
        <x:v>Blocked</x:v>
      </x:c>
      <x:c r="G9" s="68" t="str">
        <x:v>2 days</x:v>
      </x:c>
      <x:c r="H9" s="76" t="n">
        <x:v>2</x:v>
      </x:c>
      <x:c r="I9" s="78" t="n">
        <x:f>WORKDAY(J8,1)</x:f>
        <x:v>46287</x:v>
      </x:c>
      <x:c r="J9" s="78" t="n">
        <x:f>WORKDAY(I9,H9-1)</x:f>
        <x:v>46288</x:v>
      </x:c>
      <x:c r="K9" s="68" t="str">
        <x:v>Canvas, workspace, tip speed, contact, payload, duty, joint, retraction, service, paint, and cleaning requirements are separated from provisional desires.</x:v>
      </x:c>
    </x:row>
    <x:row r="10" ht="40" customHeight="1">
      <x:c r="A10" s="68" t="str">
        <x:v>T-506</x:v>
      </x:c>
      <x:c r="B10" s="68" t="str">
        <x:v>M5</x:v>
      </x:c>
      <x:c r="C10" s="68" t="str">
        <x:v>Kinematics/Mechanical</x:v>
      </x:c>
      <x:c r="D10" s="68" t="str">
        <x:v>Run workspace, singularity, and collision studies</x:v>
      </x:c>
      <x:c r="E10" s="68" t="str">
        <x:v>T-502, T-505</x:v>
      </x:c>
      <x:c r="F10" s="68" t="str">
        <x:v>Blocked</x:v>
      </x:c>
      <x:c r="G10" s="68" t="str">
        <x:v>2-3 days</x:v>
      </x:c>
      <x:c r="H10" s="76" t="n">
        <x:v>2</x:v>
      </x:c>
      <x:c r="I10" s="78" t="n">
        <x:f>WORKDAY(J9,1)</x:f>
        <x:v>46289</x:v>
      </x:c>
      <x:c r="J10" s="78" t="n">
        <x:f>WORKDAY(I10,H10-1)</x:f>
        <x:v>46290</x:v>
      </x:c>
      <x:c r="K10" s="68" t="str">
        <x:v>Painting, retract, loading, cleaning, limit, collision, and poor-conditioning regions are mapped and exported as validation cases.</x:v>
      </x:c>
    </x:row>
    <x:row r="11" ht="40" customHeight="1">
      <x:c r="A11" s="68" t="str">
        <x:v>T-507</x:v>
      </x:c>
      <x:c r="B11" s="68" t="str">
        <x:v>M5</x:v>
      </x:c>
      <x:c r="C11" s="68" t="str">
        <x:v>Actuation/Mechanical Decision</x:v>
      </x:c>
      <x:c r="D11" s="68" t="str">
        <x:v>Compare direct drive and belt-reduction architectures</x:v>
      </x:c>
      <x:c r="E11" s="68" t="str">
        <x:v>T-503, T-505, T-506</x:v>
      </x:c>
      <x:c r="F11" s="68" t="str">
        <x:v>Blocked</x:v>
      </x:c>
      <x:c r="G11" s="68" t="str">
        <x:v>3-4 days</x:v>
      </x:c>
      <x:c r="H11" s="76" t="n">
        <x:v>3</x:v>
      </x:c>
      <x:c r="I11" s="78" t="n">
        <x:f>WORKDAY(J10,1)</x:f>
        <x:v>46293</x:v>
      </x:c>
      <x:c r="J11" s="78" t="n">
        <x:f>WORKDAY(I11,H11-1)</x:f>
        <x:v>46295</x:v>
      </x:c>
      <x:c r="K11" s="68" t="str">
        <x:v>Joint-local direct, belt, and mixed options are compared across dynamics, control, packaging, sensing, cost, service, and reversible risk.</x:v>
      </x:c>
    </x:row>
    <x:row r="12" ht="40" customHeight="1">
      <x:c r="A12" s="68" t="str">
        <x:v>T-508</x:v>
      </x:c>
      <x:c r="B12" s="68" t="str">
        <x:v>M5</x:v>
      </x:c>
      <x:c r="C12" s="68" t="str">
        <x:v>Dynamics/Mechanical</x:v>
      </x:c>
      <x:c r="D12" s="68" t="str">
        <x:v>Build mass, inertia, torque, stiffness, and thermal budgets</x:v>
      </x:c>
      <x:c r="E12" s="68" t="str">
        <x:v>T-503, T-505, T-507</x:v>
      </x:c>
      <x:c r="F12" s="68" t="str">
        <x:v>Blocked</x:v>
      </x:c>
      <x:c r="G12" s="68" t="str">
        <x:v>3-4 days</x:v>
      </x:c>
      <x:c r="H12" s="76" t="n">
        <x:v>3</x:v>
      </x:c>
      <x:c r="I12" s="78" t="n">
        <x:f>WORKDAY(J11,1)</x:f>
        <x:v>46296</x:v>
      </x:c>
      <x:c r="J12" s="78" t="n">
        <x:f>WORKDAY(I12,H12-1)</x:f>
        <x:v>46300</x:v>
      </x:c>
      <x:c r="K12" s="68" t="str">
        <x:v>Gravity, acceleration, contact, fault, stiffness, bandwidth, duty, thermal, and distal-mass sensitivities have traceable estimates and margins.</x:v>
      </x:c>
    </x:row>
    <x:row r="13" ht="40" customHeight="1">
      <x:c r="A13" s="68" t="str">
        <x:v>T-509</x:v>
      </x:c>
      <x:c r="B13" s="68" t="str">
        <x:v>M5</x:v>
      </x:c>
      <x:c r="C13" s="68" t="str">
        <x:v>End Effector/Workcell</x:v>
      </x:c>
      <x:c r="D13" s="68" t="str">
        <x:v>Define brush, canvas, camera, paint, and cleaning interfaces</x:v>
      </x:c>
      <x:c r="E13" s="68" t="str">
        <x:v>T-502, T-505</x:v>
      </x:c>
      <x:c r="F13" s="68" t="str">
        <x:v>Blocked</x:v>
      </x:c>
      <x:c r="G13" s="68" t="str">
        <x:v>2-3 days</x:v>
      </x:c>
      <x:c r="H13" s="76" t="n">
        <x:v>2</x:v>
      </x:c>
      <x:c r="I13" s="78" t="n">
        <x:f>WORKDAY(J12,1)</x:f>
        <x:v>46301</x:v>
      </x:c>
      <x:c r="J13" s="78" t="n">
        <x:f>WORKDAY(I13,H13-1)</x:f>
        <x:v>46302</x:v>
      </x:c>
      <x:c r="K13" s="68" t="str">
        <x:v>Repeatable brush, registered canvas, fixed camera, secured paint, and supervised cleaning interfaces have geometry and operating envelopes.</x:v>
      </x:c>
    </x:row>
    <x:row r="14" ht="40" customHeight="1">
      <x:c r="A14" s="68" t="str">
        <x:v>T-510</x:v>
      </x:c>
      <x:c r="B14" s="68" t="str">
        <x:v>M5</x:v>
      </x:c>
      <x:c r="C14" s="68" t="str">
        <x:v>Calibration</x:v>
      </x:c>
      <x:c r="D14" s="68" t="str">
        <x:v>Define calibration and system-identification procedures</x:v>
      </x:c>
      <x:c r="E14" s="68" t="str">
        <x:v>T-502, T-504, T-509</x:v>
      </x:c>
      <x:c r="F14" s="68" t="str">
        <x:v>Blocked</x:v>
      </x:c>
      <x:c r="G14" s="68" t="str">
        <x:v>3-4 days</x:v>
      </x:c>
      <x:c r="H14" s="76" t="n">
        <x:v>3</x:v>
      </x:c>
      <x:c r="I14" s="78" t="n">
        <x:f>WORKDAY(J13,1)</x:f>
        <x:v>46303</x:v>
      </x:c>
      <x:c r="J14" s="78" t="n">
        <x:f>WORKDAY(I14,H14-1)</x:f>
        <x:v>46307</x:v>
      </x:c>
      <x:c r="K14" s="68" t="str">
        <x:v>Geometry, encoder, camera, current/torque, friction, compliance, brush, canvas, and contact procedures declare fixtures, fit/validation splits, residuals, and thresholds.</x:v>
      </x:c>
    </x:row>
    <x:row r="15" ht="40" customHeight="1">
      <x:c r="A15" s="68" t="str">
        <x:v>T-511</x:v>
      </x:c>
      <x:c r="B15" s="68" t="str">
        <x:v>M5</x:v>
      </x:c>
      <x:c r="C15" s="68" t="str">
        <x:v>Tooling/Architecture</x:v>
      </x:c>
      <x:c r="D15" s="68" t="str">
        <x:v>Implement parameter export and validation adapters</x:v>
      </x:c>
      <x:c r="E15" s="68" t="str">
        <x:v>T-501, T-502, T-503, T-504</x:v>
      </x:c>
      <x:c r="F15" s="68" t="str">
        <x:v>Blocked</x:v>
      </x:c>
      <x:c r="G15" s="68" t="str">
        <x:v>3-5 days</x:v>
      </x:c>
      <x:c r="H15" s="76" t="n">
        <x:v>3</x:v>
      </x:c>
      <x:c r="I15" s="78" t="n">
        <x:f>WORKDAY(J14,1)</x:f>
        <x:v>46308</x:v>
      </x:c>
      <x:c r="J15" s="78" t="n">
        <x:f>WORKDAY(I15,H15-1)</x:f>
        <x:v>46310</x:v>
      </x:c>
      <x:c r="K15" s="68" t="str">
        <x:v>Native, MJCF, CAD, controller, and manifest inputs derive from one validated specification with explicit backend approximations.</x:v>
      </x:c>
    </x:row>
    <x:row r="16" ht="40" customHeight="1">
      <x:c r="A16" s="68" t="str">
        <x:v>T-512</x:v>
      </x:c>
      <x:c r="B16" s="68" t="str">
        <x:v>M5</x:v>
      </x:c>
      <x:c r="C16" s="68" t="str">
        <x:v>Validation/Modeling</x:v>
      </x:c>
      <x:c r="D16" s="68" t="str">
        <x:v>Run sensitivity and identifiability analysis</x:v>
      </x:c>
      <x:c r="E16" s="68" t="str">
        <x:v>T-506, T-508, T-510, T-511</x:v>
      </x:c>
      <x:c r="F16" s="68" t="str">
        <x:v>Blocked</x:v>
      </x:c>
      <x:c r="G16" s="68" t="str">
        <x:v>3-4 days</x:v>
      </x:c>
      <x:c r="H16" s="76" t="n">
        <x:v>3</x:v>
      </x:c>
      <x:c r="I16" s="78" t="n">
        <x:f>WORKDAY(J15,1)</x:f>
        <x:v>46311</x:v>
      </x:c>
      <x:c r="J16" s="78" t="n">
        <x:f>WORKDAY(I16,H16-1)</x:f>
        <x:v>46315</x:v>
      </x:c>
      <x:c r="K16" s="68" t="str">
        <x:v>Physical parameters are ranked by consequence, unidentifiable combinations are named, and measurement effort follows research sensitivity.</x:v>
      </x:c>
    </x:row>
    <x:row r="17" ht="40" customHeight="1">
      <x:c r="A17" s="68" t="str">
        <x:v>T-513</x:v>
      </x:c>
      <x:c r="B17" s="68" t="str">
        <x:v>M5</x:v>
      </x:c>
      <x:c r="C17" s="68" t="str">
        <x:v>Mechanical Decision</x:v>
      </x:c>
      <x:c r="D17" s="68" t="str">
        <x:v>Select a preliminary geometry and actuation baseline</x:v>
      </x:c>
      <x:c r="E17" s="68" t="str">
        <x:v>T-507, T-508, T-509, T-512</x:v>
      </x:c>
      <x:c r="F17" s="68" t="str">
        <x:v>Blocked</x:v>
      </x:c>
      <x:c r="G17" s="68" t="str">
        <x:v>1 day</x:v>
      </x:c>
      <x:c r="H17" s="76" t="n">
        <x:v>1</x:v>
      </x:c>
      <x:c r="I17" s="78" t="n">
        <x:f>WORKDAY(J16,1)</x:f>
        <x:v>46316</x:v>
      </x:c>
      <x:c r="J17" s="78" t="n">
        <x:f>WORKDAY(I17,H17-1)</x:f>
        <x:v>46316</x:v>
      </x:c>
      <x:c r="K17" s="68" t="str">
        <x:v>A reversible versioned choice covers links, joints, actuator class, sensing, brush, and workcell with alternatives, cost, margins, and risks.</x:v>
      </x:c>
    </x:row>
    <x:row r="18" ht="40" customHeight="1">
      <x:c r="A18" s="68" t="str">
        <x:v>T-514</x:v>
      </x:c>
      <x:c r="B18" s="68" t="str">
        <x:v>M5</x:v>
      </x:c>
      <x:c r="C18" s="68" t="str">
        <x:v>Validation</x:v>
      </x:c>
      <x:c r="D18" s="68" t="str">
        <x:v>M5 calibration-readiness gate</x:v>
      </x:c>
      <x:c r="E18" s="68" t="str">
        <x:v>T-511, T-513</x:v>
      </x:c>
      <x:c r="F18" s="68" t="str">
        <x:v>Blocked</x:v>
      </x:c>
      <x:c r="G18" s="68" t="str">
        <x:v>0.5 day</x:v>
      </x:c>
      <x:c r="H18" s="76" t="n">
        <x:v>1</x:v>
      </x:c>
      <x:c r="I18" s="78" t="n">
        <x:f>WORKDAY(J17,1)</x:f>
        <x:v>46317</x:v>
      </x:c>
      <x:c r="J18" s="78" t="n">
        <x:f>WORKDAY(I18,H18-1)</x:f>
        <x:v>46317</x:v>
      </x:c>
      <x:c r="K18" s="68" t="str">
        <x:v>Schemas, provenance, uncertainty, sizing, calibration, exports, and bounded M6 fabrication questions are accepted.</x:v>
      </x:c>
    </x:row>
    <x:row r="19" ht="40" customHeight="1">
      <x:c r="A19" s="68" t="str">
        <x:v>T-601</x:v>
      </x:c>
      <x:c r="B19" s="68" t="str">
        <x:v>M6</x:v>
      </x:c>
      <x:c r="C19" s="68" t="str">
        <x:v>CAD/Research Ops</x:v>
      </x:c>
      <x:c r="D19" s="68" t="str">
        <x:v>Define CAD traceability and revision policy</x:v>
      </x:c>
      <x:c r="E19" s="68" t="str">
        <x:v>T-501, T-504, T-505</x:v>
      </x:c>
      <x:c r="F19" s="68" t="str">
        <x:v>Blocked</x:v>
      </x:c>
      <x:c r="G19" s="68" t="str">
        <x:v>1 day</x:v>
      </x:c>
      <x:c r="H19" s="76" t="n">
        <x:v>1</x:v>
      </x:c>
      <x:c r="I19" s="78" t="n">
        <x:f>'Phase Data'!E17</x:f>
        <x:v>46328</x:v>
      </x:c>
      <x:c r="J19" s="78" t="n">
        <x:f>WORKDAY(I19,H19-1)</x:f>
        <x:v>46328</x:v>
      </x:c>
      <x:c r="K19" s="68" t="str">
        <x:v>CAD parameters, exports, assemblies, prototypes, and as-built revisions map traceably to versioned M5 specifications.</x:v>
      </x:c>
    </x:row>
    <x:row r="20" ht="40" customHeight="1">
      <x:c r="A20" s="68" t="str">
        <x:v>T-602</x:v>
      </x:c>
      <x:c r="B20" s="68" t="str">
        <x:v>M6</x:v>
      </x:c>
      <x:c r="C20" s="68" t="str">
        <x:v>CAD/Geometry</x:v>
      </x:c>
      <x:c r="D20" s="68" t="str">
        <x:v>Build the parametric CAD skeleton and frame map</x:v>
      </x:c>
      <x:c r="E20" s="68" t="str">
        <x:v>T-502, T-505, T-601</x:v>
      </x:c>
      <x:c r="F20" s="68" t="str">
        <x:v>Blocked</x:v>
      </x:c>
      <x:c r="G20" s="68" t="str">
        <x:v>3-5 days</x:v>
      </x:c>
      <x:c r="H20" s="76" t="n">
        <x:v>4</x:v>
      </x:c>
      <x:c r="I20" s="78" t="n">
        <x:f>WORKDAY(J19,1)</x:f>
        <x:v>46329</x:v>
      </x:c>
      <x:c r="J20" s="78" t="n">
        <x:f>WORKDAY(I20,H20-1)</x:f>
        <x:v>46332</x:v>
      </x:c>
      <x:c r="K20" s="68" t="str">
        <x:v>A parameter-driven skeleton represents joint, brush, canvas, camera, paint, and cleaning frames before detailed housings.</x:v>
      </x:c>
    </x:row>
    <x:row r="21" ht="40" customHeight="1">
      <x:c r="A21" s="68" t="str">
        <x:v>T-603</x:v>
      </x:c>
      <x:c r="B21" s="68" t="str">
        <x:v>M6</x:v>
      </x:c>
      <x:c r="C21" s="68" t="str">
        <x:v>Mechanical Analysis</x:v>
      </x:c>
      <x:c r="D21" s="68" t="str">
        <x:v>Analyze structural load paths and stiffness</x:v>
      </x:c>
      <x:c r="E21" s="68" t="str">
        <x:v>T-508, T-602</x:v>
      </x:c>
      <x:c r="F21" s="68" t="str">
        <x:v>Blocked</x:v>
      </x:c>
      <x:c r="G21" s="68" t="str">
        <x:v>3-5 days</x:v>
      </x:c>
      <x:c r="H21" s="76" t="n">
        <x:v>4</x:v>
      </x:c>
      <x:c r="I21" s="78" t="n">
        <x:f>WORKDAY(J20,1)</x:f>
        <x:v>46335</x:v>
      </x:c>
      <x:c r="J21" s="78" t="n">
        <x:f>WORKDAY(I21,H21-1)</x:f>
        <x:v>46338</x:v>
      </x:c>
      <x:c r="K21" s="68" t="str">
        <x:v>Gravity, acceleration, contact, belt, bearing, fault, base, easel, and brush-tip deflection risks are estimated and prioritized.</x:v>
      </x:c>
    </x:row>
    <x:row r="22" ht="40" customHeight="1">
      <x:c r="A22" s="68" t="str">
        <x:v>T-604</x:v>
      </x:c>
      <x:c r="B22" s="68" t="str">
        <x:v>M6</x:v>
      </x:c>
      <x:c r="C22" s="68" t="str">
        <x:v>Mechanical/Actuation</x:v>
      </x:c>
      <x:c r="D22" s="68" t="str">
        <x:v>Design modular joint and transmission concepts</x:v>
      </x:c>
      <x:c r="E22" s="68" t="str">
        <x:v>T-507, T-603</x:v>
      </x:c>
      <x:c r="F22" s="68" t="str">
        <x:v>Blocked</x:v>
      </x:c>
      <x:c r="G22" s="68" t="str">
        <x:v>4-7 days</x:v>
      </x:c>
      <x:c r="H22" s="76" t="n">
        <x:v>6</x:v>
      </x:c>
      <x:c r="I22" s="78" t="n">
        <x:f>WORKDAY(J21,1)</x:f>
        <x:v>46339</x:v>
      </x:c>
      <x:c r="J22" s="78" t="n">
        <x:f>WORKDAY(I22,H22-1)</x:f>
        <x:v>46346</x:v>
      </x:c>
      <x:c r="K22" s="68" t="str">
        <x:v>Testable direct-drive, belt, or mixed joint modules define bearings, shafts, pulleys, tensioning, encoders, stops, compliance, and service access.</x:v>
      </x:c>
    </x:row>
    <x:row r="23" ht="40" customHeight="1">
      <x:c r="A23" s="68" t="str">
        <x:v>T-605</x:v>
      </x:c>
      <x:c r="B23" s="68" t="str">
        <x:v>M6</x:v>
      </x:c>
      <x:c r="C23" s="68" t="str">
        <x:v>Mechatronics</x:v>
      </x:c>
      <x:c r="D23" s="68" t="str">
        <x:v>Integrate actuators, encoders, and drivers mechanically</x:v>
      </x:c>
      <x:c r="E23" s="68" t="str">
        <x:v>T-503, T-604</x:v>
      </x:c>
      <x:c r="F23" s="68" t="str">
        <x:v>Blocked</x:v>
      </x:c>
      <x:c r="G23" s="68" t="str">
        <x:v>3-5 days</x:v>
      </x:c>
      <x:c r="H23" s="76" t="n">
        <x:v>4</x:v>
      </x:c>
      <x:c r="I23" s="78" t="n">
        <x:f>WORKDAY(J22,1)</x:f>
        <x:v>46349</x:v>
      </x:c>
      <x:c r="J23" s="78" t="n">
        <x:f>WORKDAY(I23,H23-1)</x:f>
        <x:v>46352</x:v>
      </x:c>
      <x:c r="K23" s="68" t="str">
        <x:v>Mounting, thermal, connector, strain-relief, encoder, sensing, and maintenance interfaces are mechanically credible and fed back to M5.</x:v>
      </x:c>
    </x:row>
    <x:row r="24" ht="40" customHeight="1">
      <x:c r="A24" s="68" t="str">
        <x:v>T-606</x:v>
      </x:c>
      <x:c r="B24" s="68" t="str">
        <x:v>M6</x:v>
      </x:c>
      <x:c r="C24" s="68" t="str">
        <x:v>Mechanical/Safety</x:v>
      </x:c>
      <x:c r="D24" s="68" t="str">
        <x:v>Design cable routing, stops, covers, and service access</x:v>
      </x:c>
      <x:c r="E24" s="68" t="str">
        <x:v>T-604, T-605</x:v>
      </x:c>
      <x:c r="F24" s="68" t="str">
        <x:v>Blocked</x:v>
      </x:c>
      <x:c r="G24" s="68" t="str">
        <x:v>2-4 days</x:v>
      </x:c>
      <x:c r="H24" s="76" t="n">
        <x:v>3</x:v>
      </x:c>
      <x:c r="I24" s="78" t="n">
        <x:f>WORKDAY(J23,1)</x:f>
        <x:v>46353</x:v>
      </x:c>
      <x:c r="J24" s="78" t="n">
        <x:f>WORKDAY(I24,H24-1)</x:f>
        <x:v>46357</x:v>
      </x:c>
      <x:c r="K24" s="68" t="str">
        <x:v>Cable life, joint clearance, hard stops, pinch/snag exposure, contamination protection, and service access are addressed.</x:v>
      </x:c>
    </x:row>
    <x:row r="25" ht="40" customHeight="1">
      <x:c r="A25" s="68" t="str">
        <x:v>T-607</x:v>
      </x:c>
      <x:c r="B25" s="68" t="str">
        <x:v>M6</x:v>
      </x:c>
      <x:c r="C25" s="68" t="str">
        <x:v>End Effector</x:v>
      </x:c>
      <x:c r="D25" s="68" t="str">
        <x:v>Design the brush mount and contact-compliance module</x:v>
      </x:c>
      <x:c r="E25" s="68" t="str">
        <x:v>T-509, T-602, T-603</x:v>
      </x:c>
      <x:c r="F25" s="68" t="str">
        <x:v>Blocked</x:v>
      </x:c>
      <x:c r="G25" s="68" t="str">
        <x:v>3-5 days</x:v>
      </x:c>
      <x:c r="H25" s="76" t="n">
        <x:v>4</x:v>
      </x:c>
      <x:c r="I25" s="78" t="n">
        <x:f>WORKDAY(J24,1)</x:f>
        <x:v>46358</x:v>
      </x:c>
      <x:c r="J25" s="78" t="n">
        <x:f>WORKDAY(I25,H25-1)</x:f>
        <x:v>46363</x:v>
      </x:c>
      <x:c r="K25" s="68" t="str">
        <x:v>Brush datum, replacement, loading, cleaning, compliance/sensing, bending error, and bench-contact testing support wet oil painting.</x:v>
      </x:c>
    </x:row>
    <x:row r="26" ht="40" customHeight="1">
      <x:c r="A26" s="68" t="str">
        <x:v>T-608</x:v>
      </x:c>
      <x:c r="B26" s="68" t="str">
        <x:v>M6</x:v>
      </x:c>
      <x:c r="C26" s="68" t="str">
        <x:v>Workcell</x:v>
      </x:c>
      <x:c r="D26" s="68" t="str">
        <x:v>Design the base, easel, camera, paint, and cleaning fixtures</x:v>
      </x:c>
      <x:c r="E26" s="68" t="str">
        <x:v>T-509, T-602, T-603</x:v>
      </x:c>
      <x:c r="F26" s="68" t="str">
        <x:v>Blocked</x:v>
      </x:c>
      <x:c r="G26" s="68" t="str">
        <x:v>3-5 days</x:v>
      </x:c>
      <x:c r="H26" s="76" t="n">
        <x:v>4</x:v>
      </x:c>
      <x:c r="I26" s="78" t="n">
        <x:f>WORKDAY(J25,1)</x:f>
        <x:v>46364</x:v>
      </x:c>
      <x:c r="J26" s="78" t="n">
        <x:f>WORKDAY(I26,H26-1)</x:f>
        <x:v>46367</x:v>
      </x:c>
      <x:c r="K26" s="68" t="str">
        <x:v>Rigid adjustable fixtures support calibration, retraction, manual access, secured vessels, spill containment, and the intended work envelope.</x:v>
      </x:c>
    </x:row>
    <x:row r="27" ht="40" customHeight="1">
      <x:c r="A27" s="68" t="str">
        <x:v>T-609</x:v>
      </x:c>
      <x:c r="B27" s="68" t="str">
        <x:v>M6</x:v>
      </x:c>
      <x:c r="C27" s="68" t="str">
        <x:v>Manufacturing</x:v>
      </x:c>
      <x:c r="D27" s="68" t="str">
        <x:v>Define tolerances, manufacturing processes, and inspection</x:v>
      </x:c>
      <x:c r="E27" s="68" t="str">
        <x:v>T-604, T-606, T-607, T-608</x:v>
      </x:c>
      <x:c r="F27" s="68" t="str">
        <x:v>Blocked</x:v>
      </x:c>
      <x:c r="G27" s="68" t="str">
        <x:v>3-5 days</x:v>
      </x:c>
      <x:c r="H27" s="76" t="n">
        <x:v>4</x:v>
      </x:c>
      <x:c r="I27" s="78" t="n">
        <x:f>WORKDAY(J26,1)</x:f>
        <x:v>46370</x:v>
      </x:c>
      <x:c r="J27" s="78" t="n">
        <x:f>WORKDAY(I27,H27-1)</x:f>
        <x:v>46373</x:v>
      </x:c>
      <x:c r="K27" s="68" t="str">
        <x:v>Sensitivity-driven tolerances, processes, datums, inspection, adjustment, and expensive-redesign risks are explicit.</x:v>
      </x:c>
    </x:row>
    <x:row r="28" ht="40" customHeight="1">
      <x:c r="A28" s="68" t="str">
        <x:v>T-610</x:v>
      </x:c>
      <x:c r="B28" s="68" t="str">
        <x:v>M6</x:v>
      </x:c>
      <x:c r="C28" s="68" t="str">
        <x:v>Cost/Risk</x:v>
      </x:c>
      <x:c r="D28" s="68" t="str">
        <x:v>Maintain BOM, fabrication, and iteration risk estimates</x:v>
      </x:c>
      <x:c r="E28" s="68" t="str">
        <x:v>T-604, T-605, T-608, T-609</x:v>
      </x:c>
      <x:c r="F28" s="68" t="str">
        <x:v>Blocked</x:v>
      </x:c>
      <x:c r="G28" s="68" t="str">
        <x:v>2 days</x:v>
      </x:c>
      <x:c r="H28" s="76" t="n">
        <x:v>2</x:v>
      </x:c>
      <x:c r="I28" s="78" t="n">
        <x:f>WORKDAY(J27,1)</x:f>
        <x:v>46374</x:v>
      </x:c>
      <x:c r="J28" s="78" t="n">
        <x:f>WORKDAY(I28,H28-1)</x:f>
        <x:v>46377</x:v>
      </x:c>
      <x:c r="K28" s="68" t="str">
        <x:v>The approximately USD 4,000 prototype target includes controls, structure, fabrication, wiring, safety, fixtures, shipping, spares, and iteration contingency.</x:v>
      </x:c>
    </x:row>
    <x:row r="29" ht="40" customHeight="1">
      <x:c r="A29" s="68" t="str">
        <x:v>T-611</x:v>
      </x:c>
      <x:c r="B29" s="68" t="str">
        <x:v>M6</x:v>
      </x:c>
      <x:c r="C29" s="68" t="str">
        <x:v>Prototype/Actuation</x:v>
      </x:c>
      <x:c r="D29" s="68" t="str">
        <x:v>Build and characterize a single-joint prototype</x:v>
      </x:c>
      <x:c r="E29" s="68" t="str">
        <x:v>T-604, T-605, T-606, T-609</x:v>
      </x:c>
      <x:c r="F29" s="68" t="str">
        <x:v>Blocked</x:v>
      </x:c>
      <x:c r="G29" s="68" t="str">
        <x:v>5-8 days plus fabrication lead time</x:v>
      </x:c>
      <x:c r="H29" s="76" t="n">
        <x:v>7</x:v>
      </x:c>
      <x:c r="I29" s="78" t="n">
        <x:f>WORKDAY(J28,1)</x:f>
        <x:v>46378</x:v>
      </x:c>
      <x:c r="J29" s="78" t="n">
        <x:f>WORKDAY(I29,H29-1)</x:f>
        <x:v>46386</x:v>
      </x:c>
      <x:c r="K29" s="68" t="str">
        <x:v>The riskiest joint topology is measured for current, tracking, backlash, compliance, temperature, hold, stop, and model mismatch before replication.</x:v>
      </x:c>
    </x:row>
    <x:row r="30" ht="40" customHeight="1">
      <x:c r="A30" s="68" t="str">
        <x:v>T-612</x:v>
      </x:c>
      <x:c r="B30" s="68" t="str">
        <x:v>M6</x:v>
      </x:c>
      <x:c r="C30" s="68" t="str">
        <x:v>Prototype/Contact</x:v>
      </x:c>
      <x:c r="D30" s="68" t="str">
        <x:v>Build and characterize a linkage/brush-contact rig</x:v>
      </x:c>
      <x:c r="E30" s="68" t="str">
        <x:v>T-607, T-608, T-609</x:v>
      </x:c>
      <x:c r="F30" s="68" t="str">
        <x:v>Blocked</x:v>
      </x:c>
      <x:c r="G30" s="68" t="str">
        <x:v>4-7 days plus fabrication lead time</x:v>
      </x:c>
      <x:c r="H30" s="76" t="n">
        <x:v>6</x:v>
      </x:c>
      <x:c r="I30" s="78" t="n">
        <x:f>WORKDAY(J29,1)</x:f>
        <x:v>46387</x:v>
      </x:c>
      <x:c r="J30" s="78" t="n">
        <x:f>WORKDAY(I30,H30-1)</x:f>
        <x:v>46394</x:v>
      </x:c>
      <x:c r="K30" s="68" t="str">
        <x:v>Approach, contact, release, retract, loading, cleaning, compliance, tip repeatability, and wet-paint consequences are measured under supervision.</x:v>
      </x:c>
    </x:row>
    <x:row r="31" ht="40" customHeight="1">
      <x:c r="A31" s="68" t="str">
        <x:v>T-613</x:v>
      </x:c>
      <x:c r="B31" s="68" t="str">
        <x:v>M6</x:v>
      </x:c>
      <x:c r="C31" s="68" t="str">
        <x:v>Calibration/Digital Thread</x:v>
      </x:c>
      <x:c r="D31" s="68" t="str">
        <x:v>Feed prototype measurements back into all models</x:v>
      </x:c>
      <x:c r="E31" s="68" t="str">
        <x:v>T-511, T-611, T-612</x:v>
      </x:c>
      <x:c r="F31" s="68" t="str">
        <x:v>Blocked</x:v>
      </x:c>
      <x:c r="G31" s="68" t="str">
        <x:v>3-5 days</x:v>
      </x:c>
      <x:c r="H31" s="76" t="n">
        <x:v>4</x:v>
      </x:c>
      <x:c r="I31" s="78" t="n">
        <x:f>WORKDAY(J30,1)</x:f>
        <x:v>46395</x:v>
      </x:c>
      <x:c r="J31" s="78" t="n">
        <x:f>WORKDAY(I31,H31-1)</x:f>
        <x:v>46400</x:v>
      </x:c>
      <x:c r="K31" s="68" t="str">
        <x:v>Measured parameters create new geometry, MuJoCo, controller, and CAD revisions while preserving pre-update models and residual mismatch.</x:v>
      </x:c>
    </x:row>
    <x:row r="32" ht="40" customHeight="1">
      <x:c r="A32" s="68" t="str">
        <x:v>T-614</x:v>
      </x:c>
      <x:c r="B32" s="68" t="str">
        <x:v>M6</x:v>
      </x:c>
      <x:c r="C32" s="68" t="str">
        <x:v>Mechanical Review</x:v>
      </x:c>
      <x:c r="D32" s="68" t="str">
        <x:v>Conduct the integrated prototype design review</x:v>
      </x:c>
      <x:c r="E32" s="68" t="str">
        <x:v>T-610, T-613</x:v>
      </x:c>
      <x:c r="F32" s="68" t="str">
        <x:v>Blocked</x:v>
      </x:c>
      <x:c r="G32" s="68" t="str">
        <x:v>2 days</x:v>
      </x:c>
      <x:c r="H32" s="76" t="n">
        <x:v>2</x:v>
      </x:c>
      <x:c r="I32" s="78" t="n">
        <x:f>WORKDAY(J31,1)</x:f>
        <x:v>46401</x:v>
      </x:c>
      <x:c r="J32" s="78" t="n">
        <x:f>WORKDAY(I32,H32-1)</x:f>
        <x:v>46402</x:v>
      </x:c>
      <x:c r="K32" s="68" t="str">
        <x:v>Requirements, mechanics, wiring, calibration, safety interfaces, cost, evidence, and residual risks support a bounded release or named rework.</x:v>
      </x:c>
    </x:row>
    <x:row r="33" ht="40" customHeight="1">
      <x:c r="A33" s="68" t="str">
        <x:v>T-615</x:v>
      </x:c>
      <x:c r="B33" s="68" t="str">
        <x:v>M6</x:v>
      </x:c>
      <x:c r="C33" s="68" t="str">
        <x:v>Validation</x:v>
      </x:c>
      <x:c r="D33" s="68" t="str">
        <x:v>M6 prototype-release gate</x:v>
      </x:c>
      <x:c r="E33" s="68" t="str">
        <x:v>T-614</x:v>
      </x:c>
      <x:c r="F33" s="68" t="str">
        <x:v>Blocked</x:v>
      </x:c>
      <x:c r="G33" s="68" t="str">
        <x:v>0.5 day</x:v>
      </x:c>
      <x:c r="H33" s="76" t="n">
        <x:v>1</x:v>
      </x:c>
      <x:c r="I33" s="78" t="n">
        <x:f>WORKDAY(J32,1)</x:f>
        <x:v>46405</x:v>
      </x:c>
      <x:c r="J33" s="78" t="n">
        <x:f>WORKDAY(I33,H33-1)</x:f>
        <x:v>46405</x:v>
      </x:c>
      <x:c r="K33" s="68" t="str">
        <x:v>CAD and M5 identify one body, risky assumptions have prototype evidence, manufacture is bounded, and M7 receives a testable release.</x:v>
      </x:c>
    </x:row>
    <x:row r="34" ht="40" customHeight="1">
      <x:c r="A34" s="68" t="str">
        <x:v>T-701</x:v>
      </x:c>
      <x:c r="B34" s="68" t="str">
        <x:v>M7</x:v>
      </x:c>
      <x:c r="C34" s="68" t="str">
        <x:v>Safety</x:v>
      </x:c>
      <x:c r="D34" s="68" t="str">
        <x:v>Perform hazard analysis and define operating modes</x:v>
      </x:c>
      <x:c r="E34" s="68" t="str">
        <x:v>T-503, T-505</x:v>
      </x:c>
      <x:c r="F34" s="68" t="str">
        <x:v>Blocked</x:v>
      </x:c>
      <x:c r="G34" s="68" t="str">
        <x:v>2-3 days</x:v>
      </x:c>
      <x:c r="H34" s="76" t="n">
        <x:v>3</x:v>
      </x:c>
      <x:c r="I34" s="78" t="n">
        <x:f>'Phase Data'!E18</x:f>
        <x:v>46300</x:v>
      </x:c>
      <x:c r="J34" s="78" t="n">
        <x:f>WORKDAY(I34,H34-1)</x:f>
        <x:v>46302</x:v>
      </x:c>
      <x:c r="K34" s="68" t="str">
        <x:v>Hazards, modes, command authority, supervision, mitigation, and residual risk cover startup through cleaning and faults.</x:v>
      </x:c>
    </x:row>
    <x:row r="35" ht="40" customHeight="1">
      <x:c r="A35" s="68" t="str">
        <x:v>T-702</x:v>
      </x:c>
      <x:c r="B35" s="68" t="str">
        <x:v>M7</x:v>
      </x:c>
      <x:c r="C35" s="68" t="str">
        <x:v>Safety/Electrical</x:v>
      </x:c>
      <x:c r="D35" s="68" t="str">
        <x:v>Design the independent safety architecture</x:v>
      </x:c>
      <x:c r="E35" s="68" t="str">
        <x:v>T-701</x:v>
      </x:c>
      <x:c r="F35" s="68" t="str">
        <x:v>Blocked</x:v>
      </x:c>
      <x:c r="G35" s="68" t="str">
        <x:v>2-4 days</x:v>
      </x:c>
      <x:c r="H35" s="76" t="n">
        <x:v>3</x:v>
      </x:c>
      <x:c r="I35" s="78" t="n">
        <x:f>WORKDAY(J34,1)</x:f>
        <x:v>46303</x:v>
      </x:c>
      <x:c r="J35" s="78" t="n">
        <x:f>WORKDAY(I35,H35-1)</x:f>
        <x:v>46307</x:v>
      </x:c>
      <x:c r="K35" s="68" t="str">
        <x:v>Power isolation, enable, E-stop, driver, crash, communication, sensor, and power-failure behavior remain independent of painting policy inference.</x:v>
      </x:c>
    </x:row>
    <x:row r="36" ht="40" customHeight="1">
      <x:c r="A36" s="68" t="str">
        <x:v>T-703</x:v>
      </x:c>
      <x:c r="B36" s="68" t="str">
        <x:v>M7</x:v>
      </x:c>
      <x:c r="C36" s="68" t="str">
        <x:v>Safety/Operations</x:v>
      </x:c>
      <x:c r="D36" s="68" t="str">
        <x:v>Specify emergency stop, recovery, and restart</x:v>
      </x:c>
      <x:c r="E36" s="68" t="str">
        <x:v>T-702</x:v>
      </x:c>
      <x:c r="F36" s="68" t="str">
        <x:v>Blocked</x:v>
      </x:c>
      <x:c r="G36" s="68" t="str">
        <x:v>1-2 days</x:v>
      </x:c>
      <x:c r="H36" s="76" t="n">
        <x:v>2</x:v>
      </x:c>
      <x:c r="I36" s="78" t="n">
        <x:f>WORKDAY(J35,1)</x:f>
        <x:v>46308</x:v>
      </x:c>
      <x:c r="J36" s="78" t="n">
        <x:f>WORKDAY(I36,H36-1)</x:f>
        <x:v>46309</x:v>
      </x:c>
      <x:c r="K36" s="68" t="str">
        <x:v>Stop classes, power state, canvas-contact recovery, reset inspection, and policy invalidation are explicit.</x:v>
      </x:c>
    </x:row>
    <x:row r="37" ht="40" customHeight="1">
      <x:c r="A37" s="68" t="str">
        <x:v>T-704</x:v>
      </x:c>
      <x:c r="B37" s="68" t="str">
        <x:v>M7</x:v>
      </x:c>
      <x:c r="C37" s="68" t="str">
        <x:v>Safety/Control</x:v>
      </x:c>
      <x:c r="D37" s="68" t="str">
        <x:v>Define hard motion, electrical, thermal, and contact limits</x:v>
      </x:c>
      <x:c r="E37" s="68" t="str">
        <x:v>T-508, T-701, T-702</x:v>
      </x:c>
      <x:c r="F37" s="68" t="str">
        <x:v>Blocked</x:v>
      </x:c>
      <x:c r="G37" s="68" t="str">
        <x:v>3-4 days</x:v>
      </x:c>
      <x:c r="H37" s="76" t="n">
        <x:v>4</x:v>
      </x:c>
      <x:c r="I37" s="78" t="n">
        <x:f>WORKDAY(J36,1)</x:f>
        <x:v>46310</x:v>
      </x:c>
      <x:c r="J37" s="78" t="n">
        <x:f>WORKDAY(I37,H37-1)</x:f>
        <x:v>46315</x:v>
      </x:c>
      <x:c r="K37" s="68" t="str">
        <x:v>Conservative joint, speed, acceleration, current, voltage, temperature, force, contact, and workspace limits are externally enforced.</x:v>
      </x:c>
    </x:row>
    <x:row r="38" ht="40" customHeight="1">
      <x:c r="A38" s="68" t="str">
        <x:v>T-705</x:v>
      </x:c>
      <x:c r="B38" s="68" t="str">
        <x:v>M7</x:v>
      </x:c>
      <x:c r="C38" s="68" t="str">
        <x:v>Safety/Software</x:v>
      </x:c>
      <x:c r="D38" s="68" t="str">
        <x:v>Implement watchdog and state-validity rules</x:v>
      </x:c>
      <x:c r="E38" s="68" t="str">
        <x:v>T-702, T-704</x:v>
      </x:c>
      <x:c r="F38" s="68" t="str">
        <x:v>Blocked</x:v>
      </x:c>
      <x:c r="G38" s="68" t="str">
        <x:v>2-3 days</x:v>
      </x:c>
      <x:c r="H38" s="76" t="n">
        <x:v>3</x:v>
      </x:c>
      <x:c r="I38" s="78" t="n">
        <x:f>WORKDAY(J37,1)</x:f>
        <x:v>46316</x:v>
      </x:c>
      <x:c r="J38" s="78" t="n">
        <x:f>WORKDAY(I38,H38-1)</x:f>
        <x:v>46318</x:v>
      </x:c>
      <x:c r="K38" s="68" t="str">
        <x:v>Stale command/sensor, non-finite, revision, timing, connection, and mode errors stop motion and produce complete fault records.</x:v>
      </x:c>
    </x:row>
    <x:row r="39" ht="40" customHeight="1">
      <x:c r="A39" s="68" t="str">
        <x:v>T-706</x:v>
      </x:c>
      <x:c r="B39" s="68" t="str">
        <x:v>M7</x:v>
      </x:c>
      <x:c r="C39" s="68" t="str">
        <x:v>Calibration/Operations</x:v>
      </x:c>
      <x:c r="D39" s="68" t="str">
        <x:v>Define hardware calibration and encoder-zero procedure</x:v>
      </x:c>
      <x:c r="E39" s="68" t="str">
        <x:v>T-510, T-703, T-704</x:v>
      </x:c>
      <x:c r="F39" s="68" t="str">
        <x:v>Blocked</x:v>
      </x:c>
      <x:c r="G39" s="68" t="str">
        <x:v>2-3 days</x:v>
      </x:c>
      <x:c r="H39" s="76" t="n">
        <x:v>3</x:v>
      </x:c>
      <x:c r="I39" s="78" t="n">
        <x:f>WORKDAY(J38,1)</x:f>
        <x:v>46321</x:v>
      </x:c>
      <x:c r="J39" s="78" t="n">
        <x:f>WORKDAY(I39,H39-1)</x:f>
        <x:v>46323</x:v>
      </x:c>
      <x:c r="K39" s="68" t="str">
        <x:v>Restricted-power direction, limit, zero, current, unit, assembly, and brush checks produce a compatible calibration manifest.</x:v>
      </x:c>
    </x:row>
    <x:row r="40" ht="40" customHeight="1">
      <x:c r="A40" s="68" t="str">
        <x:v>T-707</x:v>
      </x:c>
      <x:c r="B40" s="68" t="str">
        <x:v>M7</x:v>
      </x:c>
      <x:c r="C40" s="68" t="str">
        <x:v>Hardware Bring-Up</x:v>
      </x:c>
      <x:c r="D40" s="68" t="str">
        <x:v>Commission and validate one powered joint</x:v>
      </x:c>
      <x:c r="E40" s="68" t="str">
        <x:v>T-611, T-702, T-704, T-705, T-706</x:v>
      </x:c>
      <x:c r="F40" s="68" t="str">
        <x:v>Blocked</x:v>
      </x:c>
      <x:c r="G40" s="68" t="str">
        <x:v>3-5 days</x:v>
      </x:c>
      <x:c r="H40" s="76" t="n">
        <x:v>4</x:v>
      </x:c>
      <x:c r="I40" s="78" t="n">
        <x:f>MAX(WORKDAY(J39,1),'Phase Data'!E19)</x:f>
        <x:v>46440</x:v>
      </x:c>
      <x:c r="J40" s="78" t="n">
        <x:f>WORKDAY(I40,H40-1)</x:f>
        <x:v>46443</x:v>
      </x:c>
      <x:c r="K40" s="68" t="str">
        <x:v>Enable, stop, sensing, limits, watchdog, tracking, hold, damping, friction, backlash, thermal behavior, and model residuals are validated.</x:v>
      </x:c>
    </x:row>
    <x:row r="41" ht="40" customHeight="1">
      <x:c r="A41" s="68" t="str">
        <x:v>T-708</x:v>
      </x:c>
      <x:c r="B41" s="68" t="str">
        <x:v>M7</x:v>
      </x:c>
      <x:c r="C41" s="68" t="str">
        <x:v>Hardware Bring-Up/Dynamics</x:v>
      </x:c>
      <x:c r="D41" s="68" t="str">
        <x:v>Commission and validate a two-link chain</x:v>
      </x:c>
      <x:c r="E41" s="68" t="str">
        <x:v>T-707, T-613</x:v>
      </x:c>
      <x:c r="F41" s="68" t="str">
        <x:v>Blocked</x:v>
      </x:c>
      <x:c r="G41" s="68" t="str">
        <x:v>4-7 days</x:v>
      </x:c>
      <x:c r="H41" s="76" t="n">
        <x:v>6</x:v>
      </x:c>
      <x:c r="I41" s="78" t="n">
        <x:f>WORKDAY(J40,1)</x:f>
        <x:v>46444</x:v>
      </x:c>
      <x:c r="J41" s="78" t="n">
        <x:f>WORKDAY(I41,H41-1)</x:f>
        <x:v>46451</x:v>
      </x:c>
      <x:c r="K41" s="68" t="str">
        <x:v>Coupled dynamics, gravity, tracking, damping, retraction, stops, current, structural modes, and cable effects pass conservative tests.</x:v>
      </x:c>
    </x:row>
    <x:row r="42" ht="40" customHeight="1">
      <x:c r="A42" s="68" t="str">
        <x:v>T-709</x:v>
      </x:c>
      <x:c r="B42" s="68" t="str">
        <x:v>M7</x:v>
      </x:c>
      <x:c r="C42" s="68" t="str">
        <x:v>Hardware Bring-Up</x:v>
      </x:c>
      <x:c r="D42" s="68" t="str">
        <x:v>Commission the integrated arm in dry free space</x:v>
      </x:c>
      <x:c r="E42" s="68" t="str">
        <x:v>T-614, T-708</x:v>
      </x:c>
      <x:c r="F42" s="68" t="str">
        <x:v>Blocked</x:v>
      </x:c>
      <x:c r="G42" s="68" t="str">
        <x:v>5-8 days</x:v>
      </x:c>
      <x:c r="H42" s="76" t="n">
        <x:v>7</x:v>
      </x:c>
      <x:c r="I42" s="78" t="n">
        <x:f>WORKDAY(J41,1)</x:f>
        <x:v>46454</x:v>
      </x:c>
      <x:c r="J42" s="78" t="n">
        <x:f>WORKDAY(I42,H42-1)</x:f>
        <x:v>46462</x:v>
      </x:c>
      <x:c r="K42" s="68" t="str">
        <x:v>Full-arm joints, cables, stops, workspace, retract, E-stop, canonical paths, startup, pause, jog, shutdown, and provenance are validated dry.</x:v>
      </x:c>
    </x:row>
    <x:row r="43" ht="40" customHeight="1">
      <x:c r="A43" s="68" t="str">
        <x:v>T-710</x:v>
      </x:c>
      <x:c r="B43" s="68" t="str">
        <x:v>M7</x:v>
      </x:c>
      <x:c r="C43" s="68" t="str">
        <x:v>Contact/Safety</x:v>
      </x:c>
      <x:c r="D43" s="68" t="str">
        <x:v>Validate brush approach, contact, release, and retract</x:v>
      </x:c>
      <x:c r="E43" s="68" t="str">
        <x:v>T-612, T-709</x:v>
      </x:c>
      <x:c r="F43" s="68" t="str">
        <x:v>Blocked</x:v>
      </x:c>
      <x:c r="G43" s="68" t="str">
        <x:v>4-7 days</x:v>
      </x:c>
      <x:c r="H43" s="76" t="n">
        <x:v>6</x:v>
      </x:c>
      <x:c r="I43" s="78" t="n">
        <x:f>WORKDAY(J42,1)</x:f>
        <x:v>46463</x:v>
      </x:c>
      <x:c r="J43" s="78" t="n">
        <x:f>WORKDAY(I43,H43-1)</x:f>
        <x:v>46470</x:v>
      </x:c>
      <x:c r="K43" s="68" t="str">
        <x:v>Restricted-energy contact cases validate detection, pressure proxy, release, retraction, emergency recovery, compliance, and no planning-state contact.</x:v>
      </x:c>
    </x:row>
    <x:row r="44" ht="40" customHeight="1">
      <x:c r="A44" s="68" t="str">
        <x:v>T-711</x:v>
      </x:c>
      <x:c r="B44" s="68" t="str">
        <x:v>M7</x:v>
      </x:c>
      <x:c r="C44" s="68" t="str">
        <x:v>Workcell/Safety</x:v>
      </x:c>
      <x:c r="D44" s="68" t="str">
        <x:v>Define paint and solvent operating procedures</x:v>
      </x:c>
      <x:c r="E44" s="68" t="str">
        <x:v>T-608, T-701</x:v>
      </x:c>
      <x:c r="F44" s="68" t="str">
        <x:v>Blocked</x:v>
      </x:c>
      <x:c r="G44" s="68" t="str">
        <x:v>2-3 days</x:v>
      </x:c>
      <x:c r="H44" s="76" t="n">
        <x:v>3</x:v>
      </x:c>
      <x:c r="I44" s="78" t="n">
        <x:f>WORKDAY(J43,1)</x:f>
        <x:v>46471</x:v>
      </x:c>
      <x:c r="J44" s="78" t="n">
        <x:f>WORKDAY(I44,H44-1)</x:f>
        <x:v>46475</x:v>
      </x:c>
      <x:c r="K44" s="68" t="str">
        <x:v>Supervised loading, cleaning, secured vessels, spill, ventilation, storage, waste, shutdown, and later automation boundaries are documented.</x:v>
      </x:c>
    </x:row>
    <x:row r="45" ht="40" customHeight="1">
      <x:c r="A45" s="68" t="str">
        <x:v>T-712</x:v>
      </x:c>
      <x:c r="B45" s="68" t="str">
        <x:v>M7</x:v>
      </x:c>
      <x:c r="C45" s="68" t="str">
        <x:v>Sensors/Calibration</x:v>
      </x:c>
      <x:c r="D45" s="68" t="str">
        <x:v>Validate physical sensors and fixed-camera observations</x:v>
      </x:c>
      <x:c r="E45" s="68" t="str">
        <x:v>AI-201, T-509, T-706, T-709</x:v>
      </x:c>
      <x:c r="F45" s="68" t="str">
        <x:v>Blocked</x:v>
      </x:c>
      <x:c r="G45" s="68" t="str">
        <x:v>4-6 days</x:v>
      </x:c>
      <x:c r="H45" s="76" t="n">
        <x:v>5</x:v>
      </x:c>
      <x:c r="I45" s="78" t="n">
        <x:f>WORKDAY(J44,1)</x:f>
        <x:v>46476</x:v>
      </x:c>
      <x:c r="J45" s="78" t="n">
        <x:f>WORKDAY(I45,H45-1)</x:f>
        <x:v>46482</x:v>
      </x:c>
      <x:c r="K45" s="68" t="str">
        <x:v>Physical sensor modalities have measured units, rates, noise, delay, dropout, camera calibration, fixtures, and sensor-access enforcement.</x:v>
      </x:c>
    </x:row>
    <x:row r="46" ht="40" customHeight="1">
      <x:c r="A46" s="68" t="str">
        <x:v>T-713</x:v>
      </x:c>
      <x:c r="B46" s="68" t="str">
        <x:v>M7</x:v>
      </x:c>
      <x:c r="C46" s="68" t="str">
        <x:v>Runtime/Hardware</x:v>
      </x:c>
      <x:c r="D46" s="68" t="str">
        <x:v>Implement the hardware backend and provenance path</x:v>
      </x:c>
      <x:c r="E46" s="68" t="str">
        <x:v>T-103, T-401, T-705, T-709, T-712</x:v>
      </x:c>
      <x:c r="F46" s="68" t="str">
        <x:v>Blocked</x:v>
      </x:c>
      <x:c r="G46" s="68" t="str">
        <x:v>5-8 days</x:v>
      </x:c>
      <x:c r="H46" s="76" t="n">
        <x:v>7</x:v>
      </x:c>
      <x:c r="I46" s="78" t="n">
        <x:f>WORKDAY(J45,1)</x:f>
        <x:v>46483</x:v>
      </x:c>
      <x:c r="J46" s="78" t="n">
        <x:f>WORKDAY(I46,H46-1)</x:f>
        <x:v>46491</x:v>
      </x:c>
      <x:c r="K46" s="68" t="str">
        <x:v>Versioned hardware commands, observations, telemetry, capabilities, timestamps, calibration, safety vetoes, and recorded replay satisfy the common contract.</x:v>
      </x:c>
    </x:row>
    <x:row r="47" ht="40" customHeight="1">
      <x:c r="A47" s="68" t="str">
        <x:v>T-714</x:v>
      </x:c>
      <x:c r="B47" s="68" t="str">
        <x:v>M7</x:v>
      </x:c>
      <x:c r="C47" s="68" t="str">
        <x:v>Safety Validation</x:v>
      </x:c>
      <x:c r="D47" s="68" t="str">
        <x:v>Run fault-injection and recovery tests</x:v>
      </x:c>
      <x:c r="E47" s="68" t="str">
        <x:v>T-703, T-705, T-709, T-713</x:v>
      </x:c>
      <x:c r="F47" s="68" t="str">
        <x:v>Blocked</x:v>
      </x:c>
      <x:c r="G47" s="68" t="str">
        <x:v>3-5 days</x:v>
      </x:c>
      <x:c r="H47" s="76" t="n">
        <x:v>4</x:v>
      </x:c>
      <x:c r="I47" s="78" t="n">
        <x:f>WORKDAY(J46,1)</x:f>
        <x:v>46492</x:v>
      </x:c>
      <x:c r="J47" s="78" t="n">
        <x:f>WORKDAY(I47,H47-1)</x:f>
        <x:v>46497</x:v>
      </x:c>
      <x:c r="K47" s="68" t="str">
        <x:v>Communication, sensor, command, non-finite, encoder, electrical, thermal, contact, and backend faults produce the intended stop and recovery.</x:v>
      </x:c>
    </x:row>
    <x:row r="48" ht="40" customHeight="1">
      <x:c r="A48" s="68" t="str">
        <x:v>T-715</x:v>
      </x:c>
      <x:c r="B48" s="68" t="str">
        <x:v>M7</x:v>
      </x:c>
      <x:c r="C48" s="68" t="str">
        <x:v>Hardware Validation/Painting</x:v>
      </x:c>
      <x:c r="D48" s="68" t="str">
        <x:v>Conduct supervised wet painting trials</x:v>
      </x:c>
      <x:c r="E48" s="68" t="str">
        <x:v>T-710, T-711, T-712, T-714</x:v>
      </x:c>
      <x:c r="F48" s="68" t="str">
        <x:v>Blocked</x:v>
      </x:c>
      <x:c r="G48" s="68" t="str">
        <x:v>4-7 days</x:v>
      </x:c>
      <x:c r="H48" s="76" t="n">
        <x:v>6</x:v>
      </x:c>
      <x:c r="I48" s="78" t="n">
        <x:f>WORKDAY(J47,1)</x:f>
        <x:v>46498</x:v>
      </x:c>
      <x:c r="J48" s="78" t="n">
        <x:f>WORKDAY(I48,H48-1)</x:f>
        <x:v>46505</x:v>
      </x:c>
      <x:c r="K48" s="68" t="str">
        <x:v>Scripted black, white, overlap, curve, broad, edge, and cleaning cases validate physical consequence and contamination behavior under supervision.</x:v>
      </x:c>
    </x:row>
    <x:row r="49" ht="40" customHeight="1">
      <x:c r="A49" s="68" t="str">
        <x:v>T-716</x:v>
      </x:c>
      <x:c r="B49" s="68" t="str">
        <x:v>M7</x:v>
      </x:c>
      <x:c r="C49" s="68" t="str">
        <x:v>Active-Inference Transfer Validation</x:v>
      </x:c>
      <x:c r="D49" s="68" t="str">
        <x:v>Run sensor-equivalent inference in shadow mode</x:v>
      </x:c>
      <x:c r="E49" s="68" t="str">
        <x:v>M2, T-713, T-715</x:v>
      </x:c>
      <x:c r="F49" s="68" t="str">
        <x:v>Blocked</x:v>
      </x:c>
      <x:c r="G49" s="68" t="str">
        <x:v>4-6 days</x:v>
      </x:c>
      <x:c r="H49" s="76" t="n">
        <x:v>5</x:v>
      </x:c>
      <x:c r="I49" s="78" t="n">
        <x:f>WORKDAY(J48,1)</x:f>
        <x:v>46506</x:v>
      </x:c>
      <x:c r="J49" s="78" t="n">
        <x:f>WORKDAY(I49,H49-1)</x:f>
        <x:v>46512</x:v>
      </x:c>
      <x:c r="K49" s="68" t="str">
        <x:v>Physical observations update inference without command authority or hidden truth, exposing calibrated prediction, VFE, uncertainty, policy, and transfer mismatch.</x:v>
      </x:c>
    </x:row>
    <x:row r="50" ht="40" customHeight="1">
      <x:c r="A50" s="68" t="str">
        <x:v>T-717</x:v>
      </x:c>
      <x:c r="B50" s="68" t="str">
        <x:v>M7</x:v>
      </x:c>
      <x:c r="C50" s="68" t="str">
        <x:v>Hardware Research/Safety</x:v>
      </x:c>
      <x:c r="D50" s="68" t="str">
        <x:v>Conduct bounded autonomous research runs</x:v>
      </x:c>
      <x:c r="E50" s="68" t="str">
        <x:v>AI-315, T-714, T-716</x:v>
      </x:c>
      <x:c r="F50" s="68" t="str">
        <x:v>Blocked</x:v>
      </x:c>
      <x:c r="G50" s="68" t="str">
        <x:v>3-5 days initially</x:v>
      </x:c>
      <x:c r="H50" s="76" t="n">
        <x:v>4</x:v>
      </x:c>
      <x:c r="I50" s="78" t="n">
        <x:f>WORKDAY(J49,1)</x:f>
        <x:v>46513</x:v>
      </x:c>
      <x:c r="J50" s="78" t="n">
        <x:f>WORKDAY(I50,H50-1)</x:f>
        <x:v>46518</x:v>
      </x:c>
      <x:c r="K50" s="68" t="str">
        <x:v>Bounded supervised runs preserve external vetoes and complete observation-to-execution artifacts and stop on unsupported state.</x:v>
      </x:c>
    </x:row>
    <x:row r="51" ht="40" customHeight="1">
      <x:c r="A51" s="68" t="str">
        <x:v>T-718</x:v>
      </x:c>
      <x:c r="B51" s="68" t="str">
        <x:v>M7</x:v>
      </x:c>
      <x:c r="C51" s="68" t="str">
        <x:v>Validation</x:v>
      </x:c>
      <x:c r="D51" s="68" t="str">
        <x:v>M7 hardware-readiness gate</x:v>
      </x:c>
      <x:c r="E51" s="68" t="str">
        <x:v>T-714, T-715, T-716, T-717</x:v>
      </x:c>
      <x:c r="F51" s="68" t="str">
        <x:v>Blocked</x:v>
      </x:c>
      <x:c r="G51" s="68" t="str">
        <x:v>1 day</x:v>
      </x:c>
      <x:c r="H51" s="76" t="n">
        <x:v>1</x:v>
      </x:c>
      <x:c r="I51" s="78" t="n">
        <x:f>WORKDAY(J50,1)</x:f>
        <x:v>46519</x:v>
      </x:c>
      <x:c r="J51" s="78" t="n">
        <x:f>WORKDAY(I51,H51-1)</x:f>
        <x:v>46519</x:v>
      </x:c>
      <x:c r="K51" s="68" t="str">
        <x:v>Safety, dry, contact, wet, fault, sensor, backend, shadow, autonomy, provenance, and residual-risk evidence supports only the documented operating mode.</x:v>
      </x:c>
    </x:row>
  </x:sheetData>
  <x:mergeCells>
    <x:mergeCell ref="A1:K1"/>
    <x:mergeCell ref="A2:K2"/>
  </x:mergeCells>
  <x:dataValidations count="1">
    <x:dataValidation type="list" sqref="F5:F51">
      <x:formula1>"Ready,Backlog,Blocked,Active,Validate,Done"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f0d77a95e45c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4" hidden="0" customWidth="1"/>
    <x:col min="4" max="4" width="40" hidden="0" customWidth="1"/>
    <x:col min="5" max="5" width="24" hidden="0" customWidth="1"/>
    <x:col min="6" max="6" width="11" hidden="0" customWidth="1"/>
    <x:col min="7" max="7" width="13" hidden="0" customWidth="1"/>
    <x:col min="8" max="8" width="13" hidden="0" customWidth="1"/>
    <x:col min="9" max="9" width="4.599999904632568" hidden="0" customWidth="1"/>
    <x:col min="10" max="10" width="4.599999904632568" hidden="0" customWidth="1"/>
    <x:col min="11" max="11" width="4.599999904632568" hidden="0" customWidth="1"/>
    <x:col min="12" max="12" width="4.599999904632568" hidden="0" customWidth="1"/>
    <x:col min="13" max="13" width="4.599999904632568" hidden="0" customWidth="1"/>
    <x:col min="14" max="14" width="4.599999904632568" hidden="0" customWidth="1"/>
    <x:col min="15" max="15" width="4.599999904632568" hidden="0" customWidth="1"/>
    <x:col min="16" max="16" width="4.599999904632568" hidden="0" customWidth="1"/>
    <x:col min="17" max="17" width="4.599999904632568" hidden="0" customWidth="1"/>
    <x:col min="18" max="18" width="4.599999904632568" hidden="0" customWidth="1"/>
    <x:col min="19" max="19" width="4.599999904632568" hidden="0" customWidth="1"/>
    <x:col min="20" max="20" width="4.599999904632568" hidden="0" customWidth="1"/>
    <x:col min="21" max="21" width="4.599999904632568" hidden="0" customWidth="1"/>
    <x:col min="22" max="22" width="4.599999904632568" hidden="0" customWidth="1"/>
    <x:col min="23" max="23" width="4.599999904632568" hidden="0" customWidth="1"/>
    <x:col min="24" max="24" width="4.599999904632568" hidden="0" customWidth="1"/>
    <x:col min="25" max="25" width="4.599999904632568" hidden="0" customWidth="1"/>
    <x:col min="26" max="26" width="4.599999904632568" hidden="0" customWidth="1"/>
    <x:col min="27" max="27" width="4.599999904632568" hidden="0" customWidth="1"/>
    <x:col min="28" max="28" width="4.599999904632568" hidden="0" customWidth="1"/>
    <x:col min="29" max="29" width="4.599999904632568" hidden="0" customWidth="1"/>
    <x:col min="30" max="30" width="4.599999904632568" hidden="0" customWidth="1"/>
    <x:col min="31" max="31" width="4.599999904632568" hidden="0" customWidth="1"/>
    <x:col min="32" max="32" width="4.599999904632568" hidden="0" customWidth="1"/>
    <x:col min="33" max="33" width="4.599999904632568" hidden="0" customWidth="1"/>
    <x:col min="34" max="34" width="4.599999904632568" hidden="0" customWidth="1"/>
    <x:col min="35" max="35" width="4.599999904632568" hidden="0" customWidth="1"/>
    <x:col min="36" max="36" width="4.599999904632568" hidden="0" customWidth="1"/>
    <x:col min="37" max="37" width="4.599999904632568" hidden="0" customWidth="1"/>
    <x:col min="38" max="38" width="4.599999904632568" hidden="0" customWidth="1"/>
    <x:col min="39" max="39" width="4.599999904632568" hidden="0" customWidth="1"/>
    <x:col min="40" max="40" width="4.599999904632568" hidden="0" customWidth="1"/>
    <x:col min="41" max="41" width="4.599999904632568" hidden="0" customWidth="1"/>
    <x:col min="42" max="42" width="4.599999904632568" hidden="0" customWidth="1"/>
    <x:col min="43" max="43" width="4.599999904632568" hidden="0" customWidth="1"/>
    <x:col min="44" max="44" width="4.599999904632568" hidden="0" customWidth="1"/>
    <x:col min="45" max="45" width="4.599999904632568" hidden="0" customWidth="1"/>
    <x:col min="46" max="46" width="4.599999904632568" hidden="0" customWidth="1"/>
    <x:col min="47" max="47" width="4.599999904632568" hidden="0" customWidth="1"/>
    <x:col min="48" max="48" width="4.599999904632568" hidden="0" customWidth="1"/>
  </x:cols>
  <x:sheetData>
    <x:row r="1" ht="34" customHeight="1">
      <x:c r="A1" s="3" t="str">
        <x:v>Transfer Weekly Gantt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</x:row>
    <x:row r="2" ht="30" customHeight="1">
      <x:c r="A2" s="6" t="str">
        <x:v>R2-R4 remain phase envelopes because PROJECT_TRACKER has not yet decomposed them into atomic tasks. Overlap is an interleaving envelope for one investigator, not parallel staffing.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</x:row>
    <x:row r="4">
      <x:c r="A4" s="121" t="str">
        <x:v>ID</x:v>
      </x:c>
      <x:c r="B4" s="122" t="str">
        <x:v>Milestone</x:v>
      </x:c>
      <x:c r="C4" s="122" t="str">
        <x:v>Track</x:v>
      </x:c>
      <x:c r="D4" s="122" t="str">
        <x:v>Task</x:v>
      </x:c>
      <x:c r="E4" s="122" t="str">
        <x:v>Dependencies</x:v>
      </x:c>
      <x:c r="F4" s="122" t="str">
        <x:v>Status</x:v>
      </x:c>
      <x:c r="G4" s="122" t="str">
        <x:v>Start</x:v>
      </x:c>
      <x:c r="H4" s="123" t="str">
        <x:v>Finish</x:v>
      </x:c>
      <x:c r="I4" s="133" t="str">
        <x:v>Dec 2026</x:v>
      </x:c>
      <x:c r="J4" s="134"/>
      <x:c r="K4" s="135"/>
      <x:c r="L4" s="133" t="str">
        <x:v>Jan 2027</x:v>
      </x:c>
      <x:c r="M4" s="134"/>
      <x:c r="N4" s="134"/>
      <x:c r="O4" s="135"/>
      <x:c r="P4" s="133" t="str">
        <x:v>Feb 2027</x:v>
      </x:c>
      <x:c r="Q4" s="134"/>
      <x:c r="R4" s="134"/>
      <x:c r="S4" s="135"/>
      <x:c r="T4" s="144" t="str">
        <x:v>Mar 2027</x:v>
      </x:c>
      <x:c r="U4" s="145"/>
      <x:c r="V4" s="145"/>
      <x:c r="W4" s="145"/>
      <x:c r="X4" s="146"/>
      <x:c r="Y4" s="144" t="str">
        <x:v>Apr 2027</x:v>
      </x:c>
      <x:c r="Z4" s="145"/>
      <x:c r="AA4" s="145"/>
      <x:c r="AB4" s="146"/>
      <x:c r="AC4" s="133" t="str">
        <x:v>May 2027</x:v>
      </x:c>
      <x:c r="AD4" s="134"/>
      <x:c r="AE4" s="134"/>
      <x:c r="AF4" s="134"/>
      <x:c r="AG4" s="135"/>
      <x:c r="AH4" s="133" t="str">
        <x:v>Jun 2027</x:v>
      </x:c>
      <x:c r="AI4" s="134"/>
      <x:c r="AJ4" s="134"/>
      <x:c r="AK4" s="135"/>
      <x:c r="AL4" s="133" t="str">
        <x:v>Jul 2027</x:v>
      </x:c>
      <x:c r="AM4" s="134"/>
      <x:c r="AN4" s="134"/>
      <x:c r="AO4" s="135"/>
      <x:c r="AP4" s="144" t="str">
        <x:v>Aug 2027</x:v>
      </x:c>
      <x:c r="AQ4" s="145"/>
      <x:c r="AR4" s="145"/>
      <x:c r="AS4" s="145"/>
      <x:c r="AT4" s="146"/>
      <x:c r="AU4" s="144" t="str">
        <x:v>Sep 2027</x:v>
      </x:c>
      <x:c r="AV4" s="146"/>
    </x:row>
    <x:row r="5">
      <x:c r="A5" s="124"/>
      <x:c r="B5" s="125"/>
      <x:c r="C5" s="125"/>
      <x:c r="D5" s="125"/>
      <x:c r="E5" s="125"/>
      <x:c r="F5" s="125"/>
      <x:c r="G5" s="125"/>
      <x:c r="H5" s="126"/>
      <x:c r="I5" s="148" t="str">
        <x:v>Week commencing</x:v>
      </x:c>
      <x:c r="J5" s="148"/>
      <x:c r="K5" s="148"/>
      <x:c r="L5" s="148"/>
      <x:c r="M5" s="148"/>
      <x:c r="N5" s="148"/>
      <x:c r="O5" s="148"/>
      <x:c r="P5" s="148"/>
      <x:c r="Q5" s="148"/>
      <x:c r="R5" s="148"/>
      <x:c r="S5" s="148"/>
      <x:c r="T5" s="148"/>
      <x:c r="U5" s="148"/>
      <x:c r="V5" s="148"/>
      <x:c r="W5" s="148"/>
      <x:c r="X5" s="148"/>
      <x:c r="Y5" s="148"/>
      <x:c r="Z5" s="148"/>
      <x:c r="AA5" s="148"/>
      <x:c r="AB5" s="148"/>
      <x:c r="AC5" s="148"/>
      <x:c r="AD5" s="148"/>
      <x:c r="AE5" s="148"/>
      <x:c r="AF5" s="148"/>
      <x:c r="AG5" s="148"/>
      <x:c r="AH5" s="148"/>
      <x:c r="AI5" s="148"/>
      <x:c r="AJ5" s="148"/>
      <x:c r="AK5" s="148"/>
      <x:c r="AL5" s="148"/>
      <x:c r="AM5" s="148"/>
      <x:c r="AN5" s="148"/>
      <x:c r="AO5" s="148"/>
      <x:c r="AP5" s="148"/>
      <x:c r="AQ5" s="148"/>
      <x:c r="AR5" s="148"/>
      <x:c r="AS5" s="148"/>
      <x:c r="AT5" s="148"/>
      <x:c r="AU5" s="148"/>
      <x:c r="AV5" s="148"/>
    </x:row>
    <x:row r="6">
      <x:c r="A6" s="127"/>
      <x:c r="B6" s="128"/>
      <x:c r="C6" s="128"/>
      <x:c r="D6" s="128"/>
      <x:c r="E6" s="128"/>
      <x:c r="F6" s="128"/>
      <x:c r="G6" s="128"/>
      <x:c r="H6" s="129"/>
      <x:c r="I6" s="153" t="n">
        <x:v>46370</x:v>
      </x:c>
      <x:c r="J6" s="153" t="n">
        <x:v>46377</x:v>
      </x:c>
      <x:c r="K6" s="153" t="n">
        <x:v>46384</x:v>
      </x:c>
      <x:c r="L6" s="153" t="n">
        <x:v>46391</x:v>
      </x:c>
      <x:c r="M6" s="153" t="n">
        <x:v>46398</x:v>
      </x:c>
      <x:c r="N6" s="153" t="n">
        <x:v>46405</x:v>
      </x:c>
      <x:c r="O6" s="153" t="n">
        <x:v>46412</x:v>
      </x:c>
      <x:c r="P6" s="153" t="n">
        <x:v>46419</x:v>
      </x:c>
      <x:c r="Q6" s="153" t="n">
        <x:v>46426</x:v>
      </x:c>
      <x:c r="R6" s="153" t="n">
        <x:v>46433</x:v>
      </x:c>
      <x:c r="S6" s="153" t="n">
        <x:v>46440</x:v>
      </x:c>
      <x:c r="T6" s="153" t="n">
        <x:v>46447</x:v>
      </x:c>
      <x:c r="U6" s="153" t="n">
        <x:v>46454</x:v>
      </x:c>
      <x:c r="V6" s="153" t="n">
        <x:v>46461</x:v>
      </x:c>
      <x:c r="W6" s="153" t="n">
        <x:v>46468</x:v>
      </x:c>
      <x:c r="X6" s="153" t="n">
        <x:v>46475</x:v>
      </x:c>
      <x:c r="Y6" s="153" t="n">
        <x:v>46482</x:v>
      </x:c>
      <x:c r="Z6" s="153" t="n">
        <x:v>46489</x:v>
      </x:c>
      <x:c r="AA6" s="153" t="n">
        <x:v>46496</x:v>
      </x:c>
      <x:c r="AB6" s="153" t="n">
        <x:v>46503</x:v>
      </x:c>
      <x:c r="AC6" s="153" t="n">
        <x:v>46510</x:v>
      </x:c>
      <x:c r="AD6" s="153" t="n">
        <x:v>46517</x:v>
      </x:c>
      <x:c r="AE6" s="153" t="n">
        <x:v>46524</x:v>
      </x:c>
      <x:c r="AF6" s="153" t="n">
        <x:v>46531</x:v>
      </x:c>
      <x:c r="AG6" s="153" t="n">
        <x:v>46538</x:v>
      </x:c>
      <x:c r="AH6" s="153" t="n">
        <x:v>46545</x:v>
      </x:c>
      <x:c r="AI6" s="153" t="n">
        <x:v>46552</x:v>
      </x:c>
      <x:c r="AJ6" s="153" t="n">
        <x:v>46559</x:v>
      </x:c>
      <x:c r="AK6" s="153" t="n">
        <x:v>46566</x:v>
      </x:c>
      <x:c r="AL6" s="153" t="n">
        <x:v>46573</x:v>
      </x:c>
      <x:c r="AM6" s="153" t="n">
        <x:v>46580</x:v>
      </x:c>
      <x:c r="AN6" s="153" t="n">
        <x:v>46587</x:v>
      </x:c>
      <x:c r="AO6" s="153" t="n">
        <x:v>46594</x:v>
      </x:c>
      <x:c r="AP6" s="153" t="n">
        <x:v>46601</x:v>
      </x:c>
      <x:c r="AQ6" s="153" t="n">
        <x:v>46608</x:v>
      </x:c>
      <x:c r="AR6" s="153" t="n">
        <x:v>46615</x:v>
      </x:c>
      <x:c r="AS6" s="153" t="n">
        <x:v>46622</x:v>
      </x:c>
      <x:c r="AT6" s="153" t="n">
        <x:v>46629</x:v>
      </x:c>
      <x:c r="AU6" s="153" t="n">
        <x:v>46636</x:v>
      </x:c>
      <x:c r="AV6" s="153" t="n">
        <x:v>46643</x:v>
      </x:c>
    </x:row>
    <x:row r="7" ht="24" customHeight="1">
      <x:c r="A7" s="65" t="str">
        <x:f>'Transfer Plan'!A5</x:f>
        <x:v>R2-PKG</x:v>
      </x:c>
      <x:c r="B7" s="65" t="str">
        <x:f>'Transfer Plan'!B5</x:f>
        <x:v>R2</x:v>
      </x:c>
      <x:c r="C7" s="65" t="str">
        <x:f>'Transfer Plan'!C5</x:f>
        <x:v>Transfer/Undecomposed</x:v>
      </x:c>
      <x:c r="D7" s="65" t="str">
        <x:f>'Transfer Plan'!D5</x:f>
        <x:v>Fixed-camera sim-to-real protocol phase envelope</x:v>
      </x:c>
      <x:c r="E7" s="65" t="str">
        <x:f>'Transfer Plan'!E5</x:f>
        <x:v>M2</x:v>
      </x:c>
      <x:c r="F7" s="65" t="str">
        <x:f>'Transfer Plan'!F5</x:f>
        <x:v>Backlog</x:v>
      </x:c>
      <x:c r="G7" s="93" t="n">
        <x:f>'Transfer Plan'!I5</x:f>
        <x:v>46370</x:v>
      </x:c>
      <x:c r="H7" s="93" t="n">
        <x:f>'Transfer Plan'!J5</x:f>
        <x:v>46411</x:v>
      </x:c>
      <x:c r="I7" s="163" t="n">
        <x:f>IF(AND(I$6&lt;=$H7,I$6+6&gt;=$G7),1,"")</x:f>
        <x:v>1</x:v>
      </x:c>
      <x:c r="J7" s="164" t="n">
        <x:f>IF(AND(J$6&lt;=$H7,J$6+6&gt;=$G7),1,"")</x:f>
        <x:v>1</x:v>
      </x:c>
      <x:c r="K7" s="164" t="n">
        <x:f>IF(AND(K$6&lt;=$H7,K$6+6&gt;=$G7),1,"")</x:f>
        <x:v>1</x:v>
      </x:c>
      <x:c r="L7" s="164" t="n">
        <x:f>IF(AND(L$6&lt;=$H7,L$6+6&gt;=$G7),1,"")</x:f>
        <x:v>1</x:v>
      </x:c>
      <x:c r="M7" s="164" t="n">
        <x:f>IF(AND(M$6&lt;=$H7,M$6+6&gt;=$G7),1,"")</x:f>
        <x:v>1</x:v>
      </x:c>
      <x:c r="N7" s="164" t="n">
        <x:f>IF(AND(N$6&lt;=$H7,N$6+6&gt;=$G7),1,"")</x:f>
        <x:v>1</x:v>
      </x:c>
      <x:c r="O7" s="164" t="str">
        <x:f>IF(AND(O$6&lt;=$H7,O$6+6&gt;=$G7),1,"")</x:f>
      </x:c>
      <x:c r="P7" s="164" t="str">
        <x:f>IF(AND(P$6&lt;=$H7,P$6+6&gt;=$G7),1,"")</x:f>
      </x:c>
      <x:c r="Q7" s="164" t="str">
        <x:f>IF(AND(Q$6&lt;=$H7,Q$6+6&gt;=$G7),1,"")</x:f>
      </x:c>
      <x:c r="R7" s="164" t="str">
        <x:f>IF(AND(R$6&lt;=$H7,R$6+6&gt;=$G7),1,"")</x:f>
      </x:c>
      <x:c r="S7" s="164" t="str">
        <x:f>IF(AND(S$6&lt;=$H7,S$6+6&gt;=$G7),1,"")</x:f>
      </x:c>
      <x:c r="T7" s="164" t="str">
        <x:f>IF(AND(T$6&lt;=$H7,T$6+6&gt;=$G7),1,"")</x:f>
      </x:c>
      <x:c r="U7" s="164" t="str">
        <x:f>IF(AND(U$6&lt;=$H7,U$6+6&gt;=$G7),1,"")</x:f>
      </x:c>
      <x:c r="V7" s="164" t="str">
        <x:f>IF(AND(V$6&lt;=$H7,V$6+6&gt;=$G7),1,"")</x:f>
      </x:c>
      <x:c r="W7" s="164" t="str">
        <x:f>IF(AND(W$6&lt;=$H7,W$6+6&gt;=$G7),1,"")</x:f>
      </x:c>
      <x:c r="X7" s="164" t="str">
        <x:f>IF(AND(X$6&lt;=$H7,X$6+6&gt;=$G7),1,"")</x:f>
      </x:c>
      <x:c r="Y7" s="164" t="str">
        <x:f>IF(AND(Y$6&lt;=$H7,Y$6+6&gt;=$G7),1,"")</x:f>
      </x:c>
      <x:c r="Z7" s="164" t="str">
        <x:f>IF(AND(Z$6&lt;=$H7,Z$6+6&gt;=$G7),1,"")</x:f>
      </x:c>
      <x:c r="AA7" s="164" t="str">
        <x:f>IF(AND(AA$6&lt;=$H7,AA$6+6&gt;=$G7),1,"")</x:f>
      </x:c>
      <x:c r="AB7" s="164" t="str">
        <x:f>IF(AND(AB$6&lt;=$H7,AB$6+6&gt;=$G7),1,"")</x:f>
      </x:c>
      <x:c r="AC7" s="164" t="str">
        <x:f>IF(AND(AC$6&lt;=$H7,AC$6+6&gt;=$G7),1,"")</x:f>
      </x:c>
      <x:c r="AD7" s="164" t="str">
        <x:f>IF(AND(AD$6&lt;=$H7,AD$6+6&gt;=$G7),1,"")</x:f>
      </x:c>
      <x:c r="AE7" s="164" t="str">
        <x:f>IF(AND(AE$6&lt;=$H7,AE$6+6&gt;=$G7),1,"")</x:f>
      </x:c>
      <x:c r="AF7" s="164" t="str">
        <x:f>IF(AND(AF$6&lt;=$H7,AF$6+6&gt;=$G7),1,"")</x:f>
      </x:c>
      <x:c r="AG7" s="164" t="str">
        <x:f>IF(AND(AG$6&lt;=$H7,AG$6+6&gt;=$G7),1,"")</x:f>
      </x:c>
      <x:c r="AH7" s="164" t="str">
        <x:f>IF(AND(AH$6&lt;=$H7,AH$6+6&gt;=$G7),1,"")</x:f>
      </x:c>
      <x:c r="AI7" s="164" t="str">
        <x:f>IF(AND(AI$6&lt;=$H7,AI$6+6&gt;=$G7),1,"")</x:f>
      </x:c>
      <x:c r="AJ7" s="164" t="str">
        <x:f>IF(AND(AJ$6&lt;=$H7,AJ$6+6&gt;=$G7),1,"")</x:f>
      </x:c>
      <x:c r="AK7" s="164" t="str">
        <x:f>IF(AND(AK$6&lt;=$H7,AK$6+6&gt;=$G7),1,"")</x:f>
      </x:c>
      <x:c r="AL7" s="164" t="str">
        <x:f>IF(AND(AL$6&lt;=$H7,AL$6+6&gt;=$G7),1,"")</x:f>
      </x:c>
      <x:c r="AM7" s="164" t="str">
        <x:f>IF(AND(AM$6&lt;=$H7,AM$6+6&gt;=$G7),1,"")</x:f>
      </x:c>
      <x:c r="AN7" s="164" t="str">
        <x:f>IF(AND(AN$6&lt;=$H7,AN$6+6&gt;=$G7),1,"")</x:f>
      </x:c>
      <x:c r="AO7" s="164" t="str">
        <x:f>IF(AND(AO$6&lt;=$H7,AO$6+6&gt;=$G7),1,"")</x:f>
      </x:c>
      <x:c r="AP7" s="164" t="str">
        <x:f>IF(AND(AP$6&lt;=$H7,AP$6+6&gt;=$G7),1,"")</x:f>
      </x:c>
      <x:c r="AQ7" s="164" t="str">
        <x:f>IF(AND(AQ$6&lt;=$H7,AQ$6+6&gt;=$G7),1,"")</x:f>
      </x:c>
      <x:c r="AR7" s="164" t="str">
        <x:f>IF(AND(AR$6&lt;=$H7,AR$6+6&gt;=$G7),1,"")</x:f>
      </x:c>
      <x:c r="AS7" s="164" t="str">
        <x:f>IF(AND(AS$6&lt;=$H7,AS$6+6&gt;=$G7),1,"")</x:f>
      </x:c>
      <x:c r="AT7" s="164" t="str">
        <x:f>IF(AND(AT$6&lt;=$H7,AT$6+6&gt;=$G7),1,"")</x:f>
      </x:c>
      <x:c r="AU7" s="164" t="str">
        <x:f>IF(AND(AU$6&lt;=$H7,AU$6+6&gt;=$G7),1,"")</x:f>
      </x:c>
      <x:c r="AV7" s="165" t="str">
        <x:f>IF(AND(AV$6&lt;=$H7,AV$6+6&gt;=$G7),1,"")</x:f>
      </x:c>
    </x:row>
    <x:row r="8" ht="24" customHeight="1">
      <x:c r="A8" s="68" t="str">
        <x:f>'Transfer Plan'!A6</x:f>
        <x:v>R3-PKG</x:v>
      </x:c>
      <x:c r="B8" s="68" t="str">
        <x:f>'Transfer Plan'!B6</x:f>
        <x:v>R3</x:v>
      </x:c>
      <x:c r="C8" s="68" t="str">
        <x:f>'Transfer Plan'!C6</x:f>
        <x:v>Transfer/Undecomposed</x:v>
      </x:c>
      <x:c r="D8" s="68" t="str">
        <x:f>'Transfer Plan'!D6</x:f>
        <x:v>Foveated camera transfer phase envelope</x:v>
      </x:c>
      <x:c r="E8" s="68" t="str">
        <x:f>'Transfer Plan'!E6</x:f>
        <x:v>M3</x:v>
      </x:c>
      <x:c r="F8" s="68" t="str">
        <x:f>'Transfer Plan'!F6</x:f>
        <x:v>Backlog</x:v>
      </x:c>
      <x:c r="G8" s="94" t="n">
        <x:f>'Transfer Plan'!I6</x:f>
        <x:v>46496</x:v>
      </x:c>
      <x:c r="H8" s="94" t="n">
        <x:f>'Transfer Plan'!J6</x:f>
        <x:v>46551</x:v>
      </x:c>
      <x:c r="I8" s="166" t="str">
        <x:f>IF(AND(I$6&lt;=$H8,I$6+6&gt;=$G8),1,"")</x:f>
      </x:c>
      <x:c r="J8" s="167" t="str">
        <x:f>IF(AND(J$6&lt;=$H8,J$6+6&gt;=$G8),1,"")</x:f>
      </x:c>
      <x:c r="K8" s="167" t="str">
        <x:f>IF(AND(K$6&lt;=$H8,K$6+6&gt;=$G8),1,"")</x:f>
      </x:c>
      <x:c r="L8" s="167" t="str">
        <x:f>IF(AND(L$6&lt;=$H8,L$6+6&gt;=$G8),1,"")</x:f>
      </x:c>
      <x:c r="M8" s="167" t="str">
        <x:f>IF(AND(M$6&lt;=$H8,M$6+6&gt;=$G8),1,"")</x:f>
      </x:c>
      <x:c r="N8" s="167" t="str">
        <x:f>IF(AND(N$6&lt;=$H8,N$6+6&gt;=$G8),1,"")</x:f>
      </x:c>
      <x:c r="O8" s="167" t="str">
        <x:f>IF(AND(O$6&lt;=$H8,O$6+6&gt;=$G8),1,"")</x:f>
      </x:c>
      <x:c r="P8" s="167" t="str">
        <x:f>IF(AND(P$6&lt;=$H8,P$6+6&gt;=$G8),1,"")</x:f>
      </x:c>
      <x:c r="Q8" s="167" t="str">
        <x:f>IF(AND(Q$6&lt;=$H8,Q$6+6&gt;=$G8),1,"")</x:f>
      </x:c>
      <x:c r="R8" s="167" t="str">
        <x:f>IF(AND(R$6&lt;=$H8,R$6+6&gt;=$G8),1,"")</x:f>
      </x:c>
      <x:c r="S8" s="167" t="str">
        <x:f>IF(AND(S$6&lt;=$H8,S$6+6&gt;=$G8),1,"")</x:f>
      </x:c>
      <x:c r="T8" s="167" t="str">
        <x:f>IF(AND(T$6&lt;=$H8,T$6+6&gt;=$G8),1,"")</x:f>
      </x:c>
      <x:c r="U8" s="167" t="str">
        <x:f>IF(AND(U$6&lt;=$H8,U$6+6&gt;=$G8),1,"")</x:f>
      </x:c>
      <x:c r="V8" s="167" t="str">
        <x:f>IF(AND(V$6&lt;=$H8,V$6+6&gt;=$G8),1,"")</x:f>
      </x:c>
      <x:c r="W8" s="167" t="str">
        <x:f>IF(AND(W$6&lt;=$H8,W$6+6&gt;=$G8),1,"")</x:f>
      </x:c>
      <x:c r="X8" s="167" t="str">
        <x:f>IF(AND(X$6&lt;=$H8,X$6+6&gt;=$G8),1,"")</x:f>
      </x:c>
      <x:c r="Y8" s="167" t="str">
        <x:f>IF(AND(Y$6&lt;=$H8,Y$6+6&gt;=$G8),1,"")</x:f>
      </x:c>
      <x:c r="Z8" s="167" t="str">
        <x:f>IF(AND(Z$6&lt;=$H8,Z$6+6&gt;=$G8),1,"")</x:f>
      </x:c>
      <x:c r="AA8" s="167" t="n">
        <x:f>IF(AND(AA$6&lt;=$H8,AA$6+6&gt;=$G8),1,"")</x:f>
        <x:v>1</x:v>
      </x:c>
      <x:c r="AB8" s="167" t="n">
        <x:f>IF(AND(AB$6&lt;=$H8,AB$6+6&gt;=$G8),1,"")</x:f>
        <x:v>1</x:v>
      </x:c>
      <x:c r="AC8" s="167" t="n">
        <x:f>IF(AND(AC$6&lt;=$H8,AC$6+6&gt;=$G8),1,"")</x:f>
        <x:v>1</x:v>
      </x:c>
      <x:c r="AD8" s="167" t="n">
        <x:f>IF(AND(AD$6&lt;=$H8,AD$6+6&gt;=$G8),1,"")</x:f>
        <x:v>1</x:v>
      </x:c>
      <x:c r="AE8" s="167" t="n">
        <x:f>IF(AND(AE$6&lt;=$H8,AE$6+6&gt;=$G8),1,"")</x:f>
        <x:v>1</x:v>
      </x:c>
      <x:c r="AF8" s="167" t="n">
        <x:f>IF(AND(AF$6&lt;=$H8,AF$6+6&gt;=$G8),1,"")</x:f>
        <x:v>1</x:v>
      </x:c>
      <x:c r="AG8" s="167" t="n">
        <x:f>IF(AND(AG$6&lt;=$H8,AG$6+6&gt;=$G8),1,"")</x:f>
        <x:v>1</x:v>
      </x:c>
      <x:c r="AH8" s="167" t="n">
        <x:f>IF(AND(AH$6&lt;=$H8,AH$6+6&gt;=$G8),1,"")</x:f>
        <x:v>1</x:v>
      </x:c>
      <x:c r="AI8" s="167" t="str">
        <x:f>IF(AND(AI$6&lt;=$H8,AI$6+6&gt;=$G8),1,"")</x:f>
      </x:c>
      <x:c r="AJ8" s="167" t="str">
        <x:f>IF(AND(AJ$6&lt;=$H8,AJ$6+6&gt;=$G8),1,"")</x:f>
      </x:c>
      <x:c r="AK8" s="167" t="str">
        <x:f>IF(AND(AK$6&lt;=$H8,AK$6+6&gt;=$G8),1,"")</x:f>
      </x:c>
      <x:c r="AL8" s="167" t="str">
        <x:f>IF(AND(AL$6&lt;=$H8,AL$6+6&gt;=$G8),1,"")</x:f>
      </x:c>
      <x:c r="AM8" s="167" t="str">
        <x:f>IF(AND(AM$6&lt;=$H8,AM$6+6&gt;=$G8),1,"")</x:f>
      </x:c>
      <x:c r="AN8" s="167" t="str">
        <x:f>IF(AND(AN$6&lt;=$H8,AN$6+6&gt;=$G8),1,"")</x:f>
      </x:c>
      <x:c r="AO8" s="167" t="str">
        <x:f>IF(AND(AO$6&lt;=$H8,AO$6+6&gt;=$G8),1,"")</x:f>
      </x:c>
      <x:c r="AP8" s="167" t="str">
        <x:f>IF(AND(AP$6&lt;=$H8,AP$6+6&gt;=$G8),1,"")</x:f>
      </x:c>
      <x:c r="AQ8" s="167" t="str">
        <x:f>IF(AND(AQ$6&lt;=$H8,AQ$6+6&gt;=$G8),1,"")</x:f>
      </x:c>
      <x:c r="AR8" s="167" t="str">
        <x:f>IF(AND(AR$6&lt;=$H8,AR$6+6&gt;=$G8),1,"")</x:f>
      </x:c>
      <x:c r="AS8" s="167" t="str">
        <x:f>IF(AND(AS$6&lt;=$H8,AS$6+6&gt;=$G8),1,"")</x:f>
      </x:c>
      <x:c r="AT8" s="167" t="str">
        <x:f>IF(AND(AT$6&lt;=$H8,AT$6+6&gt;=$G8),1,"")</x:f>
      </x:c>
      <x:c r="AU8" s="167" t="str">
        <x:f>IF(AND(AU$6&lt;=$H8,AU$6+6&gt;=$G8),1,"")</x:f>
      </x:c>
      <x:c r="AV8" s="168" t="str">
        <x:f>IF(AND(AV$6&lt;=$H8,AV$6+6&gt;=$G8),1,"")</x:f>
      </x:c>
    </x:row>
    <x:row r="9" ht="24" customHeight="1">
      <x:c r="A9" s="68" t="str">
        <x:f>'Transfer Plan'!A7</x:f>
        <x:v>R4-PKG</x:v>
      </x:c>
      <x:c r="B9" s="68" t="str">
        <x:f>'Transfer Plan'!B7</x:f>
        <x:v>R4</x:v>
      </x:c>
      <x:c r="C9" s="68" t="str">
        <x:f>'Transfer Plan'!C7</x:f>
        <x:v>Transfer/Undecomposed</x:v>
      </x:c>
      <x:c r="D9" s="68" t="str">
        <x:f>'Transfer Plan'!D7</x:f>
        <x:v>Hardware research runs phase envelope</x:v>
      </x:c>
      <x:c r="E9" s="68" t="str">
        <x:f>'Transfer Plan'!E7</x:f>
        <x:v>M7-B</x:v>
      </x:c>
      <x:c r="F9" s="68" t="str">
        <x:f>'Transfer Plan'!F7</x:f>
        <x:v>Backlog</x:v>
      </x:c>
      <x:c r="G9" s="94" t="n">
        <x:f>'Transfer Plan'!I7</x:f>
        <x:v>46580</x:v>
      </x:c>
      <x:c r="H9" s="94" t="n">
        <x:f>'Transfer Plan'!J7</x:f>
        <x:v>46649</x:v>
      </x:c>
      <x:c r="I9" s="169" t="str">
        <x:f>IF(AND(I$6&lt;=$H9,I$6+6&gt;=$G9),1,"")</x:f>
      </x:c>
      <x:c r="J9" s="170" t="str">
        <x:f>IF(AND(J$6&lt;=$H9,J$6+6&gt;=$G9),1,"")</x:f>
      </x:c>
      <x:c r="K9" s="170" t="str">
        <x:f>IF(AND(K$6&lt;=$H9,K$6+6&gt;=$G9),1,"")</x:f>
      </x:c>
      <x:c r="L9" s="170" t="str">
        <x:f>IF(AND(L$6&lt;=$H9,L$6+6&gt;=$G9),1,"")</x:f>
      </x:c>
      <x:c r="M9" s="170" t="str">
        <x:f>IF(AND(M$6&lt;=$H9,M$6+6&gt;=$G9),1,"")</x:f>
      </x:c>
      <x:c r="N9" s="170" t="str">
        <x:f>IF(AND(N$6&lt;=$H9,N$6+6&gt;=$G9),1,"")</x:f>
      </x:c>
      <x:c r="O9" s="170" t="str">
        <x:f>IF(AND(O$6&lt;=$H9,O$6+6&gt;=$G9),1,"")</x:f>
      </x:c>
      <x:c r="P9" s="170" t="str">
        <x:f>IF(AND(P$6&lt;=$H9,P$6+6&gt;=$G9),1,"")</x:f>
      </x:c>
      <x:c r="Q9" s="170" t="str">
        <x:f>IF(AND(Q$6&lt;=$H9,Q$6+6&gt;=$G9),1,"")</x:f>
      </x:c>
      <x:c r="R9" s="170" t="str">
        <x:f>IF(AND(R$6&lt;=$H9,R$6+6&gt;=$G9),1,"")</x:f>
      </x:c>
      <x:c r="S9" s="170" t="str">
        <x:f>IF(AND(S$6&lt;=$H9,S$6+6&gt;=$G9),1,"")</x:f>
      </x:c>
      <x:c r="T9" s="170" t="str">
        <x:f>IF(AND(T$6&lt;=$H9,T$6+6&gt;=$G9),1,"")</x:f>
      </x:c>
      <x:c r="U9" s="170" t="str">
        <x:f>IF(AND(U$6&lt;=$H9,U$6+6&gt;=$G9),1,"")</x:f>
      </x:c>
      <x:c r="V9" s="170" t="str">
        <x:f>IF(AND(V$6&lt;=$H9,V$6+6&gt;=$G9),1,"")</x:f>
      </x:c>
      <x:c r="W9" s="170" t="str">
        <x:f>IF(AND(W$6&lt;=$H9,W$6+6&gt;=$G9),1,"")</x:f>
      </x:c>
      <x:c r="X9" s="170" t="str">
        <x:f>IF(AND(X$6&lt;=$H9,X$6+6&gt;=$G9),1,"")</x:f>
      </x:c>
      <x:c r="Y9" s="170" t="str">
        <x:f>IF(AND(Y$6&lt;=$H9,Y$6+6&gt;=$G9),1,"")</x:f>
      </x:c>
      <x:c r="Z9" s="170" t="str">
        <x:f>IF(AND(Z$6&lt;=$H9,Z$6+6&gt;=$G9),1,"")</x:f>
      </x:c>
      <x:c r="AA9" s="170" t="str">
        <x:f>IF(AND(AA$6&lt;=$H9,AA$6+6&gt;=$G9),1,"")</x:f>
      </x:c>
      <x:c r="AB9" s="170" t="str">
        <x:f>IF(AND(AB$6&lt;=$H9,AB$6+6&gt;=$G9),1,"")</x:f>
      </x:c>
      <x:c r="AC9" s="170" t="str">
        <x:f>IF(AND(AC$6&lt;=$H9,AC$6+6&gt;=$G9),1,"")</x:f>
      </x:c>
      <x:c r="AD9" s="170" t="str">
        <x:f>IF(AND(AD$6&lt;=$H9,AD$6+6&gt;=$G9),1,"")</x:f>
      </x:c>
      <x:c r="AE9" s="170" t="str">
        <x:f>IF(AND(AE$6&lt;=$H9,AE$6+6&gt;=$G9),1,"")</x:f>
      </x:c>
      <x:c r="AF9" s="170" t="str">
        <x:f>IF(AND(AF$6&lt;=$H9,AF$6+6&gt;=$G9),1,"")</x:f>
      </x:c>
      <x:c r="AG9" s="170" t="str">
        <x:f>IF(AND(AG$6&lt;=$H9,AG$6+6&gt;=$G9),1,"")</x:f>
      </x:c>
      <x:c r="AH9" s="170" t="str">
        <x:f>IF(AND(AH$6&lt;=$H9,AH$6+6&gt;=$G9),1,"")</x:f>
      </x:c>
      <x:c r="AI9" s="170" t="str">
        <x:f>IF(AND(AI$6&lt;=$H9,AI$6+6&gt;=$G9),1,"")</x:f>
      </x:c>
      <x:c r="AJ9" s="170" t="str">
        <x:f>IF(AND(AJ$6&lt;=$H9,AJ$6+6&gt;=$G9),1,"")</x:f>
      </x:c>
      <x:c r="AK9" s="170" t="str">
        <x:f>IF(AND(AK$6&lt;=$H9,AK$6+6&gt;=$G9),1,"")</x:f>
      </x:c>
      <x:c r="AL9" s="170" t="str">
        <x:f>IF(AND(AL$6&lt;=$H9,AL$6+6&gt;=$G9),1,"")</x:f>
      </x:c>
      <x:c r="AM9" s="170" t="n">
        <x:f>IF(AND(AM$6&lt;=$H9,AM$6+6&gt;=$G9),1,"")</x:f>
        <x:v>1</x:v>
      </x:c>
      <x:c r="AN9" s="170" t="n">
        <x:f>IF(AND(AN$6&lt;=$H9,AN$6+6&gt;=$G9),1,"")</x:f>
        <x:v>1</x:v>
      </x:c>
      <x:c r="AO9" s="170" t="n">
        <x:f>IF(AND(AO$6&lt;=$H9,AO$6+6&gt;=$G9),1,"")</x:f>
        <x:v>1</x:v>
      </x:c>
      <x:c r="AP9" s="170" t="n">
        <x:f>IF(AND(AP$6&lt;=$H9,AP$6+6&gt;=$G9),1,"")</x:f>
        <x:v>1</x:v>
      </x:c>
      <x:c r="AQ9" s="170" t="n">
        <x:f>IF(AND(AQ$6&lt;=$H9,AQ$6+6&gt;=$G9),1,"")</x:f>
        <x:v>1</x:v>
      </x:c>
      <x:c r="AR9" s="170" t="n">
        <x:f>IF(AND(AR$6&lt;=$H9,AR$6+6&gt;=$G9),1,"")</x:f>
        <x:v>1</x:v>
      </x:c>
      <x:c r="AS9" s="170" t="n">
        <x:f>IF(AND(AS$6&lt;=$H9,AS$6+6&gt;=$G9),1,"")</x:f>
        <x:v>1</x:v>
      </x:c>
      <x:c r="AT9" s="170" t="n">
        <x:f>IF(AND(AT$6&lt;=$H9,AT$6+6&gt;=$G9),1,"")</x:f>
        <x:v>1</x:v>
      </x:c>
      <x:c r="AU9" s="170" t="n">
        <x:f>IF(AND(AU$6&lt;=$H9,AU$6+6&gt;=$G9),1,"")</x:f>
        <x:v>1</x:v>
      </x:c>
      <x:c r="AV9" s="171" t="n">
        <x:f>IF(AND(AV$6&lt;=$H9,AV$6+6&gt;=$G9),1,"")</x:f>
        <x:v>1</x:v>
      </x:c>
    </x:row>
  </x:sheetData>
  <x:mergeCells>
    <x:mergeCell ref="A1:AV1"/>
    <x:mergeCell ref="A2:AV2"/>
    <x:mergeCell ref="A4:A6"/>
    <x:mergeCell ref="B4:B6"/>
    <x:mergeCell ref="C4:C6"/>
    <x:mergeCell ref="D4:D6"/>
    <x:mergeCell ref="E4:E6"/>
    <x:mergeCell ref="F4:F6"/>
    <x:mergeCell ref="G4:G6"/>
    <x:mergeCell ref="H4:H6"/>
    <x:mergeCell ref="I4:K4"/>
    <x:mergeCell ref="L4:O4"/>
    <x:mergeCell ref="P4:S4"/>
    <x:mergeCell ref="T4:X4"/>
    <x:mergeCell ref="Y4:AB4"/>
    <x:mergeCell ref="AC4:AG4"/>
    <x:mergeCell ref="AH4:AK4"/>
    <x:mergeCell ref="AL4:AO4"/>
    <x:mergeCell ref="AP4:AT4"/>
    <x:mergeCell ref="AU4:AV4"/>
    <x:mergeCell ref="I5:AV5"/>
  </x:mergeCells>
  <x:conditionalFormatting sqref="I7:AV7">
    <x:cfRule type="cellIs" dxfId="156" priority="1" operator="equal">
      <x:formula>1</x:formula>
    </x:cfRule>
  </x:conditionalFormatting>
  <x:conditionalFormatting sqref="I8:AV8">
    <x:cfRule type="cellIs" dxfId="157" priority="2" operator="equal">
      <x:formula>1</x:formula>
    </x:cfRule>
  </x:conditionalFormatting>
  <x:conditionalFormatting sqref="I9:AV9">
    <x:cfRule type="cellIs" dxfId="158" priority="3" operator="equal">
      <x:formula>1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7" hidden="0" customWidth="1"/>
    <x:col min="4" max="4" width="48" hidden="0" customWidth="1"/>
    <x:col min="5" max="5" width="27" hidden="0" customWidth="1"/>
    <x:col min="6" max="6" width="12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58" hidden="0" customWidth="1"/>
  </x:cols>
  <x:sheetData>
    <x:row r="1" ht="30" customHeight="1">
      <x:c r="A1" s="3" t="str">
        <x:v>Transfer Task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R2-R4 remain phase envelopes because PROJECT_TRACKER has not yet decomposed them into atomic tasks. Focused workdays are editable; formula dates preserve milestone sequencing and declared gate floors.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F3"/>
    </x:row>
    <x:row r="4" ht="34" customHeight="1">
      <x:c r="A4" s="18" t="str">
        <x:v>ID</x:v>
      </x:c>
      <x:c r="B4" s="19" t="str">
        <x:v>Milestone</x:v>
      </x:c>
      <x:c r="C4" s="19" t="str">
        <x:v>Track</x:v>
      </x:c>
      <x:c r="D4" s="19" t="str">
        <x:v>Task</x:v>
      </x:c>
      <x:c r="E4" s="19" t="str">
        <x:v>Dependencies</x:v>
      </x:c>
      <x:c r="F4" s="19" t="str">
        <x:v>Status</x:v>
      </x:c>
      <x:c r="G4" s="19" t="str">
        <x:v>Estimate</x:v>
      </x:c>
      <x:c r="H4" s="19" t="str">
        <x:v>Scheduled Workdays</x:v>
      </x:c>
      <x:c r="I4" s="19" t="str">
        <x:v>Planned Start</x:v>
      </x:c>
      <x:c r="J4" s="19" t="str">
        <x:v>Planned Finish</x:v>
      </x:c>
      <x:c r="K4" s="20" t="str">
        <x:v>Deliverable / Acceptance</x:v>
      </x:c>
    </x:row>
    <x:row r="5" ht="40" customHeight="1">
      <x:c r="A5" s="85" t="str">
        <x:v>R2-PKG</x:v>
      </x:c>
      <x:c r="B5" s="85" t="str">
        <x:v>R2</x:v>
      </x:c>
      <x:c r="C5" s="85" t="str">
        <x:v>Transfer/Undecomposed</x:v>
      </x:c>
      <x:c r="D5" s="85" t="str">
        <x:v>Fixed-camera sim-to-real protocol phase envelope</x:v>
      </x:c>
      <x:c r="E5" s="85" t="str">
        <x:v>M2</x:v>
      </x:c>
      <x:c r="F5" s="85" t="str">
        <x:v>Backlog</x:v>
      </x:c>
      <x:c r="G5" s="85" t="str">
        <x:v>6 calendar weeks</x:v>
      </x:c>
      <x:c r="H5" s="89" t="n">
        <x:v>30</x:v>
      </x:c>
      <x:c r="I5" s="77" t="n">
        <x:f>'Phase Data'!E20</x:f>
        <x:v>46370</x:v>
      </x:c>
      <x:c r="J5" s="77" t="n">
        <x:f>'Phase Data'!G20</x:f>
        <x:v>46411</x:v>
      </x:c>
      <x:c r="K5" s="85" t="str">
        <x:v>Detailed tasks are not yet defined in PROJECT_TRACKER; reconcile scope with T-410 and T-815 before execution.</x:v>
      </x:c>
    </x:row>
    <x:row r="6" ht="40" customHeight="1">
      <x:c r="A6" s="86" t="str">
        <x:v>R3-PKG</x:v>
      </x:c>
      <x:c r="B6" s="86" t="str">
        <x:v>R3</x:v>
      </x:c>
      <x:c r="C6" s="86" t="str">
        <x:v>Transfer/Undecomposed</x:v>
      </x:c>
      <x:c r="D6" s="86" t="str">
        <x:v>Foveated camera transfer phase envelope</x:v>
      </x:c>
      <x:c r="E6" s="86" t="str">
        <x:v>M3</x:v>
      </x:c>
      <x:c r="F6" s="86" t="str">
        <x:v>Backlog</x:v>
      </x:c>
      <x:c r="G6" s="86" t="str">
        <x:v>8 calendar weeks</x:v>
      </x:c>
      <x:c r="H6" s="90" t="n">
        <x:v>40</x:v>
      </x:c>
      <x:c r="I6" s="78" t="n">
        <x:f>'Phase Data'!E21</x:f>
        <x:v>46496</x:v>
      </x:c>
      <x:c r="J6" s="78" t="n">
        <x:f>'Phase Data'!G21</x:f>
        <x:v>46551</x:v>
      </x:c>
      <x:c r="K6" s="86" t="str">
        <x:v>Detailed tasks are not yet defined in PROJECT_TRACKER; decompose only after the M3 foveation capability gate.</x:v>
      </x:c>
    </x:row>
    <x:row r="7" ht="40" customHeight="1">
      <x:c r="A7" s="86" t="str">
        <x:v>R4-PKG</x:v>
      </x:c>
      <x:c r="B7" s="86" t="str">
        <x:v>R4</x:v>
      </x:c>
      <x:c r="C7" s="86" t="str">
        <x:v>Transfer/Undecomposed</x:v>
      </x:c>
      <x:c r="D7" s="86" t="str">
        <x:v>Hardware research runs phase envelope</x:v>
      </x:c>
      <x:c r="E7" s="86" t="str">
        <x:v>M7-B</x:v>
      </x:c>
      <x:c r="F7" s="86" t="str">
        <x:v>Backlog</x:v>
      </x:c>
      <x:c r="G7" s="86" t="str">
        <x:v>10 calendar weeks</x:v>
      </x:c>
      <x:c r="H7" s="90" t="n">
        <x:v>50</x:v>
      </x:c>
      <x:c r="I7" s="78" t="n">
        <x:f>'Phase Data'!E22</x:f>
        <x:v>46580</x:v>
      </x:c>
      <x:c r="J7" s="78" t="n">
        <x:f>'Phase Data'!G22</x:f>
        <x:v>46649</x:v>
      </x:c>
      <x:c r="K7" s="86" t="str">
        <x:v>Detailed tasks are not yet defined in PROJECT_TRACKER; current hardware-run scope is represented by T-717 and T-815.</x:v>
      </x:c>
    </x:row>
  </x:sheetData>
  <x:mergeCells>
    <x:mergeCell ref="A1:K1"/>
    <x:mergeCell ref="A2:K2"/>
  </x:mergeCells>
  <x:dataValidations count="1">
    <x:dataValidation type="list" sqref="F5:F7">
      <x:formula1>"Ready,Backlog,Blocked,Active,Validate,Done"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621f154ed6493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3" hidden="0" customWidth="1"/>
    <x:col min="12" max="12" width="55" hidden="0" customWidth="1"/>
  </x:cols>
  <x:sheetData>
    <x:row r="1" ht="34" customHeight="1">
      <x:c r="A1" s="3" t="str">
        <x:v>Preliminary Lifetime Budget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Planning allocation under an USD 8,000 lifetime ceiling. This is a gate-controlled estimate, not a procurement list or spending target.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8" t="str">
        <x:v>Lifetime Ceiling</x:v>
      </x:c>
      <x:c r="B4" s="19"/>
      <x:c r="C4" s="19" t="str">
        <x:v>Base Plan</x:v>
      </x:c>
      <x:c r="D4" s="19"/>
      <x:c r="E4" s="19" t="str">
        <x:v>Contingency</x:v>
      </x:c>
      <x:c r="F4" s="19"/>
      <x:c r="G4" s="19" t="str">
        <x:v>Planned Total</x:v>
      </x:c>
      <x:c r="H4" s="19"/>
      <x:c r="I4" s="19" t="str">
        <x:v>Actual</x:v>
      </x:c>
      <x:c r="J4" s="19"/>
      <x:c r="K4" s="19" t="str">
        <x:v>Remaining</x:v>
      </x:c>
      <x:c r="L4" s="20"/>
    </x:row>
    <x:row r="5">
      <x:c r="A5" s="181" t="n">
        <x:v>8000</x:v>
      </x:c>
      <x:c r="B5" s="180"/>
      <x:c r="C5" s="182" t="n">
        <x:f>SUMIFS($G$13:$G$28,$A$13:$A$28,"&lt;&gt;Contingency")</x:f>
        <x:v>6820</x:v>
      </x:c>
      <x:c r="D5" s="182"/>
      <x:c r="E5" s="182" t="n">
        <x:f>SUMIF($A$13:$A$28,"Contingency",$G$13:$G$28)</x:f>
        <x:v>1180</x:v>
      </x:c>
      <x:c r="F5" s="182"/>
      <x:c r="G5" s="182" t="n">
        <x:f>SUM($G$13:$G$28)</x:f>
        <x:v>8000</x:v>
      </x:c>
      <x:c r="H5" s="182"/>
      <x:c r="I5" s="182" t="n">
        <x:f>SUM($I$13:$I$28)</x:f>
        <x:v>0</x:v>
      </x:c>
      <x:c r="J5" s="182"/>
      <x:c r="K5" s="182" t="n">
        <x:f>A5-I5</x:f>
        <x:v>8000</x:v>
      </x:c>
      <x:c r="L5" s="180"/>
    </x:row>
    <x:row r="6">
      <x:c r="A6" s="180"/>
      <x:c r="B6" s="180"/>
      <x:c r="C6" s="180"/>
      <x:c r="D6" s="180"/>
      <x:c r="E6" s="180"/>
      <x:c r="F6" s="180"/>
      <x:c r="G6" s="180"/>
      <x:c r="H6" s="180"/>
      <x:c r="I6" s="180"/>
      <x:c r="J6" s="180"/>
      <x:c r="K6" s="180"/>
      <x:c r="L6" s="180"/>
    </x:row>
    <x:row r="8" ht="30" customHeight="1">
      <x:c r="A8" s="188" t="str">
        <x:v>Spending rule: protect safety, sensing, repeatability, and critical actuation. Prototype uncertain linkages before custom machining. Use low-cost containers, fixtures, covers, and existing compute where adequate.</x:v>
      </x:c>
      <x:c r="B8" s="188"/>
      <x:c r="C8" s="188"/>
      <x:c r="D8" s="188"/>
      <x:c r="E8" s="188"/>
      <x:c r="F8" s="188"/>
      <x:c r="G8" s="188"/>
      <x:c r="H8" s="188"/>
      <x:c r="I8" s="188"/>
      <x:c r="J8" s="188"/>
      <x:c r="K8" s="188"/>
      <x:c r="L8" s="188"/>
    </x:row>
    <x:row r="9" ht="30" customHeight="1">
      <x:c r="A9" s="189" t="str">
        <x:v>The approximately USD 4,000 prototype objective remains a useful first-build checkpoint; the larger lifetime ceiling covers compute, staged iteration, calibration, transfer, and contingency.</x:v>
      </x:c>
      <x:c r="B9" s="189"/>
      <x:c r="C9" s="189"/>
      <x:c r="D9" s="189"/>
      <x:c r="E9" s="189"/>
      <x:c r="F9" s="189"/>
      <x:c r="G9" s="189"/>
      <x:c r="H9" s="189"/>
      <x:c r="I9" s="189"/>
      <x:c r="J9" s="189"/>
      <x:c r="K9" s="189"/>
      <x:c r="L9" s="189"/>
    </x:row>
    <x:row r="12">
      <x:c r="A12" s="18" t="str">
        <x:v>Category</x:v>
      </x:c>
      <x:c r="B12" s="19" t="str">
        <x:v>Line Item</x:v>
      </x:c>
      <x:c r="C12" s="19" t="str">
        <x:v>Qty</x:v>
      </x:c>
      <x:c r="D12" s="19" t="str">
        <x:v>Low Unit</x:v>
      </x:c>
      <x:c r="E12" s="19" t="str">
        <x:v>Planned Unit</x:v>
      </x:c>
      <x:c r="F12" s="19" t="str">
        <x:v>High Unit</x:v>
      </x:c>
      <x:c r="G12" s="19" t="str">
        <x:v>Planned Total</x:v>
      </x:c>
      <x:c r="H12" s="19" t="str">
        <x:v>Committed</x:v>
      </x:c>
      <x:c r="I12" s="19" t="str">
        <x:v>Actual</x:v>
      </x:c>
      <x:c r="J12" s="19" t="str">
        <x:v>Variance</x:v>
      </x:c>
      <x:c r="K12" s="19" t="str">
        <x:v>Release Gate</x:v>
      </x:c>
      <x:c r="L12" s="20" t="str">
        <x:v>Spend Guidance</x:v>
      </x:c>
    </x:row>
    <x:row r="13" ht="42" customHeight="1">
      <x:c r="A13" s="65" t="str">
        <x:v>Research Compute</x:v>
      </x:c>
      <x:c r="B13" s="65" t="str">
        <x:v>Model training, cloud runs, and paid storage</x:v>
      </x:c>
      <x:c r="C13" s="71" t="n">
        <x:v>1</x:v>
      </x:c>
      <x:c r="D13" s="190" t="n">
        <x:v>500</x:v>
      </x:c>
      <x:c r="E13" s="190" t="n">
        <x:v>1000</x:v>
      </x:c>
      <x:c r="F13" s="190" t="n">
        <x:v>1500</x:v>
      </x:c>
      <x:c r="G13" s="191" t="n">
        <x:f>C13*E13</x:f>
        <x:v>1000</x:v>
      </x:c>
      <x:c r="H13" s="190" t="n">
        <x:v>0</x:v>
      </x:c>
      <x:c r="I13" s="190" t="n">
        <x:v>0</x:v>
      </x:c>
      <x:c r="J13" s="191" t="n">
        <x:f>G13-I13</x:f>
        <x:v>1000</x:v>
      </x:c>
      <x:c r="K13" s="65" t="str">
        <x:v>M1-M3 / M8 gates</x:v>
      </x:c>
      <x:c r="L13" s="65" t="str">
        <x:v>Release incrementally after learning-curve and study gates.</x:v>
      </x:c>
    </x:row>
    <x:row r="14" ht="42" customHeight="1">
      <x:c r="A14" s="68" t="str">
        <x:v>Actuation</x:v>
      </x:c>
      <x:c r="B14" s="68" t="str">
        <x:v>BLDC motors</x:v>
      </x:c>
      <x:c r="C14" s="72" t="n">
        <x:v>4</x:v>
      </x:c>
      <x:c r="D14" s="192" t="n">
        <x:v>120</x:v>
      </x:c>
      <x:c r="E14" s="192" t="n">
        <x:v>200</x:v>
      </x:c>
      <x:c r="F14" s="192" t="n">
        <x:v>300</x:v>
      </x:c>
      <x:c r="G14" s="193" t="n">
        <x:f>C14*E14</x:f>
        <x:v>800</x:v>
      </x:c>
      <x:c r="H14" s="192" t="n">
        <x:v>0</x:v>
      </x:c>
      <x:c r="I14" s="192" t="n">
        <x:v>0</x:v>
      </x:c>
      <x:c r="J14" s="193" t="n">
        <x:f>G14-I14</x:f>
        <x:v>800</x:v>
      </x:c>
      <x:c r="K14" s="68" t="str">
        <x:v>M5 selection / M6 rig</x:v>
      </x:c>
      <x:c r="L14" s="68" t="str">
        <x:v>Spend for torque and thermal margin; avoid premium branding alone.</x:v>
      </x:c>
    </x:row>
    <x:row r="15" ht="42" customHeight="1">
      <x:c r="A15" s="68" t="str">
        <x:v>Actuation</x:v>
      </x:c>
      <x:c r="B15" s="68" t="str">
        <x:v>Motor drivers</x:v>
      </x:c>
      <x:c r="C15" s="72" t="n">
        <x:v>4</x:v>
      </x:c>
      <x:c r="D15" s="192" t="n">
        <x:v>100</x:v>
      </x:c>
      <x:c r="E15" s="192" t="n">
        <x:v>150</x:v>
      </x:c>
      <x:c r="F15" s="192" t="n">
        <x:v>250</x:v>
      </x:c>
      <x:c r="G15" s="193" t="n">
        <x:f>C15*E15</x:f>
        <x:v>600</x:v>
      </x:c>
      <x:c r="H15" s="192" t="n">
        <x:v>0</x:v>
      </x:c>
      <x:c r="I15" s="192" t="n">
        <x:v>0</x:v>
      </x:c>
      <x:c r="J15" s="193" t="n">
        <x:f>G15-I15</x:f>
        <x:v>600</x:v>
      </x:c>
      <x:c r="K15" s="68" t="str">
        <x:v>M5 selection / M6 rig</x:v>
      </x:c>
      <x:c r="L15" s="68" t="str">
        <x:v>Protect current sensing, telemetry, and fault handling.</x:v>
      </x:c>
    </x:row>
    <x:row r="16" ht="42" customHeight="1">
      <x:c r="A16" s="68" t="str">
        <x:v>Actuation</x:v>
      </x:c>
      <x:c r="B16" s="68" t="str">
        <x:v>Joint encoders</x:v>
      </x:c>
      <x:c r="C16" s="72" t="n">
        <x:v>4</x:v>
      </x:c>
      <x:c r="D16" s="192" t="n">
        <x:v>50</x:v>
      </x:c>
      <x:c r="E16" s="192" t="n">
        <x:v>80</x:v>
      </x:c>
      <x:c r="F16" s="192" t="n">
        <x:v>150</x:v>
      </x:c>
      <x:c r="G16" s="193" t="n">
        <x:f>C16*E16</x:f>
        <x:v>320</x:v>
      </x:c>
      <x:c r="H16" s="192" t="n">
        <x:v>0</x:v>
      </x:c>
      <x:c r="I16" s="192" t="n">
        <x:v>0</x:v>
      </x:c>
      <x:c r="J16" s="193" t="n">
        <x:f>G16-I16</x:f>
        <x:v>320</x:v>
      </x:c>
      <x:c r="K16" s="68" t="str">
        <x:v>M5 selection / M6 rig</x:v>
      </x:c>
      <x:c r="L16" s="68" t="str">
        <x:v>Protect repeatability and calibration quality.</x:v>
      </x:c>
    </x:row>
    <x:row r="17" ht="42" customHeight="1">
      <x:c r="A17" s="68" t="str">
        <x:v>Actuation</x:v>
      </x:c>
      <x:c r="B17" s="68" t="str">
        <x:v>Bearings, transmissions, belts, couplers</x:v>
      </x:c>
      <x:c r="C17" s="72" t="n">
        <x:v>1</x:v>
      </x:c>
      <x:c r="D17" s="192" t="n">
        <x:v>350</x:v>
      </x:c>
      <x:c r="E17" s="192" t="n">
        <x:v>500</x:v>
      </x:c>
      <x:c r="F17" s="192" t="n">
        <x:v>900</x:v>
      </x:c>
      <x:c r="G17" s="193" t="n">
        <x:f>C17*E17</x:f>
        <x:v>500</x:v>
      </x:c>
      <x:c r="H17" s="192" t="n">
        <x:v>0</x:v>
      </x:c>
      <x:c r="I17" s="192" t="n">
        <x:v>0</x:v>
      </x:c>
      <x:c r="J17" s="193" t="n">
        <x:f>G17-I17</x:f>
        <x:v>500</x:v>
      </x:c>
      <x:c r="K17" s="68" t="str">
        <x:v>M6 prototypes</x:v>
      </x:c>
      <x:c r="L17" s="68" t="str">
        <x:v>Spend at critical joints; simple belt stages are acceptable where justified.</x:v>
      </x:c>
    </x:row>
    <x:row r="18" ht="42" customHeight="1">
      <x:c r="A18" s="68" t="str">
        <x:v>Mechanical Fabrication</x:v>
      </x:c>
      <x:c r="B18" s="68" t="str">
        <x:v>Links, base, easel, and raw structure</x:v>
      </x:c>
      <x:c r="C18" s="72" t="n">
        <x:v>1</x:v>
      </x:c>
      <x:c r="D18" s="192" t="n">
        <x:v>300</x:v>
      </x:c>
      <x:c r="E18" s="192" t="n">
        <x:v>500</x:v>
      </x:c>
      <x:c r="F18" s="192" t="n">
        <x:v>900</x:v>
      </x:c>
      <x:c r="G18" s="193" t="n">
        <x:f>C18*E18</x:f>
        <x:v>500</x:v>
      </x:c>
      <x:c r="H18" s="192" t="n">
        <x:v>0</x:v>
      </x:c>
      <x:c r="I18" s="192" t="n">
        <x:v>0</x:v>
      </x:c>
      <x:c r="J18" s="193" t="n">
        <x:f>G18-I18</x:f>
        <x:v>500</x:v>
      </x:c>
      <x:c r="K18" s="68" t="str">
        <x:v>M6 prototypes</x:v>
      </x:c>
      <x:c r="L18" s="68" t="str">
        <x:v>Economize with extrusion and plate while protecting critical datums.</x:v>
      </x:c>
    </x:row>
    <x:row r="19" ht="42" customHeight="1">
      <x:c r="A19" s="68" t="str">
        <x:v>Mechanical Fabrication</x:v>
      </x:c>
      <x:c r="B19" s="68" t="str">
        <x:v>Custom machining, fabrication, and rework</x:v>
      </x:c>
      <x:c r="C19" s="72" t="n">
        <x:v>1</x:v>
      </x:c>
      <x:c r="D19" s="192" t="n">
        <x:v>700</x:v>
      </x:c>
      <x:c r="E19" s="192" t="n">
        <x:v>1200</x:v>
      </x:c>
      <x:c r="F19" s="192" t="n">
        <x:v>2200</x:v>
      </x:c>
      <x:c r="G19" s="193" t="n">
        <x:f>C19*E19</x:f>
        <x:v>1200</x:v>
      </x:c>
      <x:c r="H19" s="192" t="n">
        <x:v>0</x:v>
      </x:c>
      <x:c r="I19" s="192" t="n">
        <x:v>0</x:v>
      </x:c>
      <x:c r="J19" s="193" t="n">
        <x:f>G19-I19</x:f>
        <x:v>1200</x:v>
      </x:c>
      <x:c r="K19" s="68" t="str">
        <x:v>M6 prototype gates</x:v>
      </x:c>
      <x:c r="L19" s="68" t="str">
        <x:v>Prototype risky joints first; release custom work in stages.</x:v>
      </x:c>
    </x:row>
    <x:row r="20" ht="42" customHeight="1">
      <x:c r="A20" s="68" t="str">
        <x:v>Electrical &amp; Safety</x:v>
      </x:c>
      <x:c r="B20" s="68" t="str">
        <x:v>Power distribution, protection, E-stop, wiring</x:v>
      </x:c>
      <x:c r="C20" s="72" t="n">
        <x:v>1</x:v>
      </x:c>
      <x:c r="D20" s="192" t="n">
        <x:v>300</x:v>
      </x:c>
      <x:c r="E20" s="192" t="n">
        <x:v>450</x:v>
      </x:c>
      <x:c r="F20" s="192" t="n">
        <x:v>700</x:v>
      </x:c>
      <x:c r="G20" s="193" t="n">
        <x:f>C20*E20</x:f>
        <x:v>450</x:v>
      </x:c>
      <x:c r="H20" s="192" t="n">
        <x:v>0</x:v>
      </x:c>
      <x:c r="I20" s="192" t="n">
        <x:v>0</x:v>
      </x:c>
      <x:c r="J20" s="193" t="n">
        <x:f>G20-I20</x:f>
        <x:v>450</x:v>
      </x:c>
      <x:c r="K20" s="68" t="str">
        <x:v>M7 safety gate</x:v>
      </x:c>
      <x:c r="L20" s="68" t="str">
        <x:v>Do not economize on isolation, protection, connectors, or E-stop behavior.</x:v>
      </x:c>
    </x:row>
    <x:row r="21" ht="42" customHeight="1">
      <x:c r="A21" s="68" t="str">
        <x:v>Electrical &amp; Safety</x:v>
      </x:c>
      <x:c r="B21" s="68" t="str">
        <x:v>Embedded control and interface hardware</x:v>
      </x:c>
      <x:c r="C21" s="72" t="n">
        <x:v>1</x:v>
      </x:c>
      <x:c r="D21" s="192" t="n">
        <x:v>150</x:v>
      </x:c>
      <x:c r="E21" s="192" t="n">
        <x:v>300</x:v>
      </x:c>
      <x:c r="F21" s="192" t="n">
        <x:v>600</x:v>
      </x:c>
      <x:c r="G21" s="193" t="n">
        <x:f>C21*E21</x:f>
        <x:v>300</x:v>
      </x:c>
      <x:c r="H21" s="192" t="n">
        <x:v>0</x:v>
      </x:c>
      <x:c r="I21" s="192" t="n">
        <x:v>0</x:v>
      </x:c>
      <x:c r="J21" s="193" t="n">
        <x:f>G21-I21</x:f>
        <x:v>300</x:v>
      </x:c>
      <x:c r="K21" s="68" t="str">
        <x:v>M6/M7 backend gate</x:v>
      </x:c>
      <x:c r="L21" s="68" t="str">
        <x:v>Use the existing computer and open hardware where adequate.</x:v>
      </x:c>
    </x:row>
    <x:row r="22" ht="42" customHeight="1">
      <x:c r="A22" s="68" t="str">
        <x:v>Sensors &amp; Calibration</x:v>
      </x:c>
      <x:c r="B22" s="68" t="str">
        <x:v>Fixed camera and mounting</x:v>
      </x:c>
      <x:c r="C22" s="72" t="n">
        <x:v>1</x:v>
      </x:c>
      <x:c r="D22" s="192" t="n">
        <x:v>80</x:v>
      </x:c>
      <x:c r="E22" s="192" t="n">
        <x:v>150</x:v>
      </x:c>
      <x:c r="F22" s="192" t="n">
        <x:v>300</x:v>
      </x:c>
      <x:c r="G22" s="193" t="n">
        <x:f>C22*E22</x:f>
        <x:v>150</x:v>
      </x:c>
      <x:c r="H22" s="192" t="n">
        <x:v>0</x:v>
      </x:c>
      <x:c r="I22" s="192" t="n">
        <x:v>0</x:v>
      </x:c>
      <x:c r="J22" s="193" t="n">
        <x:f>G22-I22</x:f>
        <x:v>150</x:v>
      </x:c>
      <x:c r="K22" s="68" t="str">
        <x:v>M5/M7 observation gate</x:v>
      </x:c>
      <x:c r="L22" s="68" t="str">
        <x:v>A stable low-midrange camera is adequate before visual transfer justifies more.</x:v>
      </x:c>
    </x:row>
    <x:row r="23" ht="42" customHeight="1">
      <x:c r="A23" s="68" t="str">
        <x:v>Sensors &amp; Calibration</x:v>
      </x:c>
      <x:c r="B23" s="68" t="str">
        <x:v>Contact, temperature, and current-sensing extras</x:v>
      </x:c>
      <x:c r="C23" s="72" t="n">
        <x:v>1</x:v>
      </x:c>
      <x:c r="D23" s="192" t="n">
        <x:v>100</x:v>
      </x:c>
      <x:c r="E23" s="192" t="n">
        <x:v>200</x:v>
      </x:c>
      <x:c r="F23" s="192" t="n">
        <x:v>400</x:v>
      </x:c>
      <x:c r="G23" s="193" t="n">
        <x:f>C23*E23</x:f>
        <x:v>200</x:v>
      </x:c>
      <x:c r="H23" s="192" t="n">
        <x:v>0</x:v>
      </x:c>
      <x:c r="I23" s="192" t="n">
        <x:v>0</x:v>
      </x:c>
      <x:c r="J23" s="193" t="n">
        <x:f>G23-I23</x:f>
        <x:v>200</x:v>
      </x:c>
      <x:c r="K23" s="68" t="str">
        <x:v>M7 sensor gate</x:v>
      </x:c>
      <x:c r="L23" s="68" t="str">
        <x:v>Buy only modalities the model or safety validation will actually use.</x:v>
      </x:c>
    </x:row>
    <x:row r="24" ht="42" customHeight="1">
      <x:c r="A24" s="68" t="str">
        <x:v>Painting &amp; Workcell</x:v>
      </x:c>
      <x:c r="B24" s="68" t="str">
        <x:v>Brush mount, brushes, and spares</x:v>
      </x:c>
      <x:c r="C24" s="72" t="n">
        <x:v>1</x:v>
      </x:c>
      <x:c r="D24" s="192" t="n">
        <x:v>60</x:v>
      </x:c>
      <x:c r="E24" s="192" t="n">
        <x:v>100</x:v>
      </x:c>
      <x:c r="F24" s="192" t="n">
        <x:v>200</x:v>
      </x:c>
      <x:c r="G24" s="193" t="n">
        <x:f>C24*E24</x:f>
        <x:v>100</x:v>
      </x:c>
      <x:c r="H24" s="192" t="n">
        <x:v>0</x:v>
      </x:c>
      <x:c r="I24" s="192" t="n">
        <x:v>0</x:v>
      </x:c>
      <x:c r="J24" s="193" t="n">
        <x:f>G24-I24</x:f>
        <x:v>100</x:v>
      </x:c>
      <x:c r="K24" s="68" t="str">
        <x:v>M6 contact rig</x:v>
      </x:c>
      <x:c r="L24" s="68" t="str">
        <x:v>Keep replaceable and inexpensive; spend on repeatable mounting.</x:v>
      </x:c>
    </x:row>
    <x:row r="25" ht="42" customHeight="1">
      <x:c r="A25" s="68" t="str">
        <x:v>Painting &amp; Workcell</x:v>
      </x:c>
      <x:c r="B25" s="68" t="str">
        <x:v>Oil paint, gamsol, canvas/test surfaces, containers</x:v>
      </x:c>
      <x:c r="C25" s="72" t="n">
        <x:v>1</x:v>
      </x:c>
      <x:c r="D25" s="192" t="n">
        <x:v>150</x:v>
      </x:c>
      <x:c r="E25" s="192" t="n">
        <x:v>250</x:v>
      </x:c>
      <x:c r="F25" s="192" t="n">
        <x:v>400</x:v>
      </x:c>
      <x:c r="G25" s="193" t="n">
        <x:f>C25*E25</x:f>
        <x:v>250</x:v>
      </x:c>
      <x:c r="H25" s="192" t="n">
        <x:v>0</x:v>
      </x:c>
      <x:c r="I25" s="192" t="n">
        <x:v>0</x:v>
      </x:c>
      <x:c r="J25" s="193" t="n">
        <x:f>G25-I25</x:f>
        <x:v>250</x:v>
      </x:c>
      <x:c r="K25" s="68" t="str">
        <x:v>M7 wet trials</x:v>
      </x:c>
      <x:c r="L25" s="68" t="str">
        <x:v>Use simple vessels and palettes; preserve paint quality and safe solvent handling.</x:v>
      </x:c>
    </x:row>
    <x:row r="26" ht="42" customHeight="1">
      <x:c r="A26" s="68" t="str">
        <x:v>Painting &amp; Workcell</x:v>
      </x:c>
      <x:c r="B26" s="68" t="str">
        <x:v>Workcell fixtures, spill containment, ventilation</x:v>
      </x:c>
      <x:c r="C26" s="72" t="n">
        <x:v>1</x:v>
      </x:c>
      <x:c r="D26" s="192" t="n">
        <x:v>80</x:v>
      </x:c>
      <x:c r="E26" s="192" t="n">
        <x:v>150</x:v>
      </x:c>
      <x:c r="F26" s="192" t="n">
        <x:v>300</x:v>
      </x:c>
      <x:c r="G26" s="193" t="n">
        <x:f>C26*E26</x:f>
        <x:v>150</x:v>
      </x:c>
      <x:c r="H26" s="192" t="n">
        <x:v>0</x:v>
      </x:c>
      <x:c r="I26" s="192" t="n">
        <x:v>0</x:v>
      </x:c>
      <x:c r="J26" s="193" t="n">
        <x:f>G26-I26</x:f>
        <x:v>150</x:v>
      </x:c>
      <x:c r="K26" s="68" t="str">
        <x:v>M6/M7 workcell gate</x:v>
      </x:c>
      <x:c r="L26" s="68" t="str">
        <x:v>Simple secured fixtures are sufficient; prioritize stability and cleanup.</x:v>
      </x:c>
    </x:row>
    <x:row r="27" ht="42" customHeight="1">
      <x:c r="A27" s="68" t="str">
        <x:v>Sensors &amp; Calibration</x:v>
      </x:c>
      <x:c r="B27" s="68" t="str">
        <x:v>Calibration fixtures and basic metrology</x:v>
      </x:c>
      <x:c r="C27" s="72" t="n">
        <x:v>1</x:v>
      </x:c>
      <x:c r="D27" s="192" t="n">
        <x:v>150</x:v>
      </x:c>
      <x:c r="E27" s="192" t="n">
        <x:v>300</x:v>
      </x:c>
      <x:c r="F27" s="192" t="n">
        <x:v>600</x:v>
      </x:c>
      <x:c r="G27" s="193" t="n">
        <x:f>C27*E27</x:f>
        <x:v>300</x:v>
      </x:c>
      <x:c r="H27" s="192" t="n">
        <x:v>0</x:v>
      </x:c>
      <x:c r="I27" s="192" t="n">
        <x:v>0</x:v>
      </x:c>
      <x:c r="J27" s="193" t="n">
        <x:f>G27-I27</x:f>
        <x:v>300</x:v>
      </x:c>
      <x:c r="K27" s="68" t="str">
        <x:v>M5/M7 calibration gates</x:v>
      </x:c>
      <x:c r="L27" s="68" t="str">
        <x:v>Prefer repeatable fixtures over expensive general-purpose instruments.</x:v>
      </x:c>
    </x:row>
    <x:row r="28" ht="42" customHeight="1">
      <x:c r="A28" s="68" t="str">
        <x:v>Contingency</x:v>
      </x:c>
      <x:c r="B28" s="68" t="str">
        <x:v>Shipping, spares, failed parts, and one iteration</x:v>
      </x:c>
      <x:c r="C28" s="72" t="n">
        <x:v>1</x:v>
      </x:c>
      <x:c r="D28" s="192" t="n">
        <x:v>800</x:v>
      </x:c>
      <x:c r="E28" s="192" t="n">
        <x:v>1180</x:v>
      </x:c>
      <x:c r="F28" s="192" t="n">
        <x:v>1600</x:v>
      </x:c>
      <x:c r="G28" s="193" t="n">
        <x:f>C28*E28</x:f>
        <x:v>1180</x:v>
      </x:c>
      <x:c r="H28" s="192" t="n">
        <x:v>0</x:v>
      </x:c>
      <x:c r="I28" s="192" t="n">
        <x:v>0</x:v>
      </x:c>
      <x:c r="J28" s="193" t="n">
        <x:f>G28-I28</x:f>
        <x:v>1180</x:v>
      </x:c>
      <x:c r="K28" s="68" t="str">
        <x:v>Gate review only</x:v>
      </x:c>
      <x:c r="L28" s="68" t="str">
        <x:v>Keep uncommitted until a failure or gate decision identifies the risk.</x:v>
      </x:c>
    </x:row>
    <x:row r="31">
      <x:c r="A31" s="18" t="str">
        <x:v>Category</x:v>
      </x:c>
      <x:c r="B31" s="19" t="str">
        <x:v>Planned</x:v>
      </x:c>
      <x:c r="C31" s="19" t="str">
        <x:v>Actual</x:v>
      </x:c>
      <x:c r="D31" s="19" t="str">
        <x:v>Variance</x:v>
      </x:c>
      <x:c r="E31" s="20" t="str">
        <x:v>Share of Ceiling</x:v>
      </x:c>
      <x:c r="G31" s="18" t="str">
        <x:v>Release Principle</x:v>
      </x:c>
      <x:c r="H31" s="19"/>
      <x:c r="I31" s="19"/>
      <x:c r="J31" s="19"/>
      <x:c r="K31" s="19"/>
      <x:c r="L31" s="20"/>
    </x:row>
    <x:row r="32" ht="29" customHeight="1">
      <x:c r="A32" s="194" t="str">
        <x:v>Research Compute</x:v>
      </x:c>
      <x:c r="B32" s="197" t="n">
        <x:f>SUMIF($A$13:$A$28,A32,$G$13:$G$28)</x:f>
        <x:v>1000</x:v>
      </x:c>
      <x:c r="C32" s="197" t="n">
        <x:f>SUMIF($A$13:$A$28,A32,$I$13:$I$28)</x:f>
        <x:v>0</x:v>
      </x:c>
      <x:c r="D32" s="197" t="n">
        <x:f>B32-C32</x:f>
        <x:v>1000</x:v>
      </x:c>
      <x:c r="E32" s="198" t="n">
        <x:f>B32/$A$5</x:f>
        <x:v>0.125</x:v>
      </x:c>
      <x:c r="G32" s="188" t="str">
        <x:v>1. Spend compute only after capability and learning-curve gates.</x:v>
      </x:c>
      <x:c r="H32" s="188"/>
      <x:c r="I32" s="188"/>
      <x:c r="J32" s="188"/>
      <x:c r="K32" s="188"/>
      <x:c r="L32" s="188"/>
    </x:row>
    <x:row r="33" ht="29" customHeight="1">
      <x:c r="A33" s="194" t="str">
        <x:v>Actuation</x:v>
      </x:c>
      <x:c r="B33" s="197" t="n">
        <x:f>SUMIF($A$13:$A$28,A33,$G$13:$G$28)</x:f>
        <x:v>2220</x:v>
      </x:c>
      <x:c r="C33" s="197" t="n">
        <x:f>SUMIF($A$13:$A$28,A33,$I$13:$I$28)</x:f>
        <x:v>0</x:v>
      </x:c>
      <x:c r="D33" s="197" t="n">
        <x:f>B33-C33</x:f>
        <x:v>2220</x:v>
      </x:c>
      <x:c r="E33" s="198" t="n">
        <x:f>B33/$A$5</x:f>
        <x:v>0.2775</x:v>
      </x:c>
      <x:c r="G33" s="189" t="str">
        <x:v>2. Buy one representative joint before multiplying an actuation choice.</x:v>
      </x:c>
      <x:c r="H33" s="189"/>
      <x:c r="I33" s="189"/>
      <x:c r="J33" s="189"/>
      <x:c r="K33" s="189"/>
      <x:c r="L33" s="189"/>
    </x:row>
    <x:row r="34" ht="29" customHeight="1">
      <x:c r="A34" s="194" t="str">
        <x:v>Mechanical Fabrication</x:v>
      </x:c>
      <x:c r="B34" s="197" t="n">
        <x:f>SUMIF($A$13:$A$28,A34,$G$13:$G$28)</x:f>
        <x:v>1700</x:v>
      </x:c>
      <x:c r="C34" s="197" t="n">
        <x:f>SUMIF($A$13:$A$28,A34,$I$13:$I$28)</x:f>
        <x:v>0</x:v>
      </x:c>
      <x:c r="D34" s="197" t="n">
        <x:f>B34-C34</x:f>
        <x:v>1700</x:v>
      </x:c>
      <x:c r="E34" s="198" t="n">
        <x:f>B34/$A$5</x:f>
        <x:v>0.2125</x:v>
      </x:c>
      <x:c r="G34" s="189" t="str">
        <x:v>3. Prototype brush contact before integrated custom fabrication.</x:v>
      </x:c>
      <x:c r="H34" s="189"/>
      <x:c r="I34" s="189"/>
      <x:c r="J34" s="189"/>
      <x:c r="K34" s="189"/>
      <x:c r="L34" s="189"/>
    </x:row>
    <x:row r="35" ht="29" customHeight="1">
      <x:c r="A35" s="194" t="str">
        <x:v>Electrical &amp; Safety</x:v>
      </x:c>
      <x:c r="B35" s="197" t="n">
        <x:f>SUMIF($A$13:$A$28,A35,$G$13:$G$28)</x:f>
        <x:v>750</x:v>
      </x:c>
      <x:c r="C35" s="197" t="n">
        <x:f>SUMIF($A$13:$A$28,A35,$I$13:$I$28)</x:f>
        <x:v>0</x:v>
      </x:c>
      <x:c r="D35" s="197" t="n">
        <x:f>B35-C35</x:f>
        <x:v>750</x:v>
      </x:c>
      <x:c r="E35" s="198" t="n">
        <x:f>B35/$A$5</x:f>
        <x:v>0.09375</x:v>
      </x:c>
      <x:c r="G35" s="189" t="str">
        <x:v>4. Release safety and power spending before powered multi-joint tests.</x:v>
      </x:c>
      <x:c r="H35" s="189"/>
      <x:c r="I35" s="189"/>
      <x:c r="J35" s="189"/>
      <x:c r="K35" s="189"/>
      <x:c r="L35" s="189"/>
    </x:row>
    <x:row r="36" ht="29" customHeight="1">
      <x:c r="A36" s="194" t="str">
        <x:v>Sensors &amp; Calibration</x:v>
      </x:c>
      <x:c r="B36" s="197" t="n">
        <x:f>SUMIF($A$13:$A$28,A36,$G$13:$G$28)</x:f>
        <x:v>650</x:v>
      </x:c>
      <x:c r="C36" s="197" t="n">
        <x:f>SUMIF($A$13:$A$28,A36,$I$13:$I$28)</x:f>
        <x:v>0</x:v>
      </x:c>
      <x:c r="D36" s="197" t="n">
        <x:f>B36-C36</x:f>
        <x:v>650</x:v>
      </x:c>
      <x:c r="E36" s="198" t="n">
        <x:f>B36/$A$5</x:f>
        <x:v>0.08125</x:v>
      </x:c>
      <x:c r="G36" s="189" t="str">
        <x:v>5. Keep paint handling mechanically simple until transfer evidence requires automation.</x:v>
      </x:c>
      <x:c r="H36" s="189"/>
      <x:c r="I36" s="189"/>
      <x:c r="J36" s="189"/>
      <x:c r="K36" s="189"/>
      <x:c r="L36" s="189"/>
    </x:row>
    <x:row r="37" ht="29" customHeight="1">
      <x:c r="A37" s="194" t="str">
        <x:v>Painting &amp; Workcell</x:v>
      </x:c>
      <x:c r="B37" s="197" t="n">
        <x:f>SUMIF($A$13:$A$28,A37,$G$13:$G$28)</x:f>
        <x:v>500</x:v>
      </x:c>
      <x:c r="C37" s="197" t="n">
        <x:f>SUMIF($A$13:$A$28,A37,$I$13:$I$28)</x:f>
        <x:v>0</x:v>
      </x:c>
      <x:c r="D37" s="197" t="n">
        <x:f>B37-C37</x:f>
        <x:v>500</x:v>
      </x:c>
      <x:c r="E37" s="198" t="n">
        <x:f>B37/$A$5</x:f>
        <x:v>0.0625</x:v>
      </x:c>
      <x:c r="G37" s="189" t="str">
        <x:v>6. Preserve contingency for shipping, failed parts, and one mechanical iteration.</x:v>
      </x:c>
      <x:c r="H37" s="189"/>
      <x:c r="I37" s="189"/>
      <x:c r="J37" s="189"/>
      <x:c r="K37" s="189"/>
      <x:c r="L37" s="189"/>
    </x:row>
    <x:row r="38" ht="29" customHeight="1">
      <x:c r="A38" s="194" t="str">
        <x:v>Contingency</x:v>
      </x:c>
      <x:c r="B38" s="197" t="n">
        <x:f>SUMIF($A$13:$A$28,A38,$G$13:$G$28)</x:f>
        <x:v>1180</x:v>
      </x:c>
      <x:c r="C38" s="197" t="n">
        <x:f>SUMIF($A$13:$A$28,A38,$I$13:$I$28)</x:f>
        <x:v>0</x:v>
      </x:c>
      <x:c r="D38" s="197" t="n">
        <x:f>B38-C38</x:f>
        <x:v>1180</x:v>
      </x:c>
      <x:c r="E38" s="198" t="n">
        <x:f>B38/$A$5</x:f>
        <x:v>0.1475</x:v>
      </x:c>
      <x:c r="G38" s="189" t="str">
        <x:v>7. Reforecast the budget at M5, M6, and M7 gates.</x:v>
      </x:c>
      <x:c r="H38" s="189"/>
      <x:c r="I38" s="189"/>
      <x:c r="J38" s="189"/>
      <x:c r="K38" s="189"/>
      <x:c r="L38" s="189"/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L8"/>
    <x:mergeCell ref="A9:L9"/>
    <x:mergeCell ref="G31:L31"/>
    <x:mergeCell ref="G32:L32"/>
    <x:mergeCell ref="G33:L33"/>
    <x:mergeCell ref="G34:L34"/>
    <x:mergeCell ref="G35:L35"/>
    <x:mergeCell ref="G36:L36"/>
    <x:mergeCell ref="G37:L37"/>
    <x:mergeCell ref="G38:L38"/>
  </x:mergeCells>
  <x:pageMargins left="0.7" right="0.7" top="0.75" bottom="0.75" header="0.3" footer="0.3"/>
  <x:tableParts count="1">
    <x:tablePart xmlns:r="http://schemas.openxmlformats.org/officeDocument/2006/relationships" r:id="R2f4fd03a1e1643e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40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5" hidden="0" customWidth="1"/>
    <x:col min="9" max="9" width="52" hidden="0" customWidth="1"/>
  </x:cols>
  <x:sheetData>
    <x:row r="1" ht="30" customHeight="1">
      <x:c r="A1" s="3" t="str">
        <x:v>Project Phase Data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Editable phase-level source of truth. Blue cells are planning inputs; green cells are formulas.</x:v>
      </x:c>
      <x:c r="B2" s="6"/>
      <x:c r="C2" s="6"/>
      <x:c r="D2" s="6"/>
      <x:c r="E2" s="6"/>
      <x:c r="F2" s="6"/>
      <x:c r="G2" s="6"/>
      <x:c r="H2" s="6"/>
      <x:c r="I2" s="6"/>
    </x:row>
    <x:row r="4" ht="32" customHeight="1">
      <x:c r="A4" s="18" t="str">
        <x:v>ID</x:v>
      </x:c>
      <x:c r="B4" s="19" t="str">
        <x:v>Workstream</x:v>
      </x:c>
      <x:c r="C4" s="19" t="str">
        <x:v>Phase</x:v>
      </x:c>
      <x:c r="D4" s="19" t="str">
        <x:v>Depends On</x:v>
      </x:c>
      <x:c r="E4" s="19" t="str">
        <x:v>Start</x:v>
      </x:c>
      <x:c r="F4" s="19" t="str">
        <x:v>Duration (weeks)</x:v>
      </x:c>
      <x:c r="G4" s="19" t="str">
        <x:v>End</x:v>
      </x:c>
      <x:c r="H4" s="19" t="str">
        <x:v>Gate / Purpose</x:v>
      </x:c>
      <x:c r="I4" s="20" t="str">
        <x:v>Notes</x:v>
      </x:c>
    </x:row>
    <x:row r="5" ht="36" customHeight="1">
      <x:c r="A5" s="38" t="str">
        <x:v>M0</x:v>
      </x:c>
      <x:c r="B5" s="38" t="str">
        <x:v>Operating System</x:v>
      </x:c>
      <x:c r="C5" s="38" t="str">
        <x:v>Manifests, versions, failure logs</x:v>
      </x:c>
      <x:c r="D5" s="38" t="str">
        <x:v>Fixed start</x:v>
      </x:c>
      <x:c r="E5" s="44" t="n">
        <x:v>46237</x:v>
      </x:c>
      <x:c r="F5" s="48" t="n">
        <x:v>2</x:v>
      </x:c>
      <x:c r="G5" s="45" t="n">
        <x:f>E5+F5*7-1</x:f>
        <x:v>46250</x:v>
      </x:c>
      <x:c r="H5" s="38" t="str">
        <x:v>Project foundation</x:v>
      </x:c>
      <x:c r="I5" s="38" t="str">
        <x:v>Defines the operating system used by every later gate.</x:v>
      </x:c>
    </x:row>
    <x:row r="6" ht="36" customHeight="1">
      <x:c r="A6" s="41" t="str">
        <x:v>M1</x:v>
      </x:c>
      <x:c r="B6" s="41" t="str">
        <x:v>Research</x:v>
      </x:c>
      <x:c r="C6" s="41" t="str">
        <x:v>Formal baseline and inference audit</x:v>
      </x:c>
      <x:c r="D6" s="41" t="str">
        <x:v>M0</x:v>
      </x:c>
      <x:c r="E6" s="46" t="n">
        <x:f>G5+1</x:f>
        <x:v>46251</x:v>
      </x:c>
      <x:c r="F6" s="49" t="n">
        <x:v>6</x:v>
      </x:c>
      <x:c r="G6" s="46" t="n">
        <x:f>E6+F6*7-1</x:f>
        <x:v>46292</x:v>
      </x:c>
      <x:c r="H6" s="41" t="str">
        <x:v>Scientific capability gate</x:v>
      </x:c>
      <x:c r="I6" s="41" t="str">
        <x:v>Locks interpretation and evaluation, not architecture.</x:v>
      </x:c>
    </x:row>
    <x:row r="7" ht="36" customHeight="1">
      <x:c r="A7" s="41" t="str">
        <x:v>M2</x:v>
      </x:c>
      <x:c r="B7" s="41" t="str">
        <x:v>Research</x:v>
      </x:c>
      <x:c r="C7" s="41" t="str">
        <x:v>Calibrated multiscale generative model</x:v>
      </x:c>
      <x:c r="D7" s="41" t="str">
        <x:v>M1</x:v>
      </x:c>
      <x:c r="E7" s="46" t="n">
        <x:f>G6+1</x:f>
        <x:v>46293</x:v>
      </x:c>
      <x:c r="F7" s="49" t="n">
        <x:v>11</x:v>
      </x:c>
      <x:c r="G7" s="46" t="n">
        <x:f>E7+F7*7-1</x:f>
        <x:v>46369</x:v>
      </x:c>
      <x:c r="H7" s="41" t="str">
        <x:v>Scientific capability gate</x:v>
      </x:c>
      <x:c r="I7" s="41" t="str">
        <x:v>Sensor-grounded visual-first observation and calibrated hierarchy; hardware-equivalence claims require physical calibration.</x:v>
      </x:c>
    </x:row>
    <x:row r="8" ht="36" customHeight="1">
      <x:c r="A8" s="41" t="str">
        <x:v>M3</x:v>
      </x:c>
      <x:c r="B8" s="41" t="str">
        <x:v>Research</x:v>
      </x:c>
      <x:c r="C8" s="41" t="str">
        <x:v>Foveated hierarchical policy inference</x:v>
      </x:c>
      <x:c r="D8" s="41" t="str">
        <x:v>M2</x:v>
      </x:c>
      <x:c r="E8" s="46" t="n">
        <x:f>G7+1</x:f>
        <x:v>46370</x:v>
      </x:c>
      <x:c r="F8" s="49" t="n">
        <x:v>18</x:v>
      </x:c>
      <x:c r="G8" s="46" t="n">
        <x:f>E8+F8*7-1</x:f>
        <x:v>46495</x:v>
      </x:c>
      <x:c r="H8" s="41" t="str">
        <x:v>Scientific capability gate</x:v>
      </x:c>
      <x:c r="I8" s="41" t="str">
        <x:v>Active gaze, partial observation, passages, and embodiment.</x:v>
      </x:c>
    </x:row>
    <x:row r="9" ht="36" customHeight="1">
      <x:c r="A9" s="41" t="str">
        <x:v>M8-A</x:v>
      </x:c>
      <x:c r="B9" s="41" t="str">
        <x:v>Research</x:v>
      </x:c>
      <x:c r="C9" s="41" t="str">
        <x:v>Protocol and analysis infrastructure</x:v>
      </x:c>
      <x:c r="D9" s="41" t="str">
        <x:v>M1</x:v>
      </x:c>
      <x:c r="E9" s="46" t="n">
        <x:f>G6+1</x:f>
        <x:v>46293</x:v>
      </x:c>
      <x:c r="F9" s="49" t="n">
        <x:v>6</x:v>
      </x:c>
      <x:c r="G9" s="46" t="n">
        <x:f>E9+F9*7-1</x:f>
        <x:v>46334</x:v>
      </x:c>
      <x:c r="H9" s="41" t="str">
        <x:v>Experiment infrastructure</x:v>
      </x:c>
      <x:c r="I9" s="41" t="str">
        <x:v>Begins before M3; individual studies require their own gates.</x:v>
      </x:c>
    </x:row>
    <x:row r="10" ht="36" customHeight="1">
      <x:c r="A10" s="41" t="str">
        <x:v>M8-B</x:v>
      </x:c>
      <x:c r="B10" s="41" t="str">
        <x:v>Research</x:v>
      </x:c>
      <x:c r="C10" s="41" t="str">
        <x:v>Mechanism and interaction studies</x:v>
      </x:c>
      <x:c r="D10" s="41" t="str">
        <x:v>M3</x:v>
      </x:c>
      <x:c r="E10" s="46" t="n">
        <x:f>G8+1</x:f>
        <x:v>46496</x:v>
      </x:c>
      <x:c r="F10" s="49" t="n">
        <x:v>18</x:v>
      </x:c>
      <x:c r="G10" s="46" t="n">
        <x:f>E10+F10*7-1</x:f>
        <x:v>46621</x:v>
      </x:c>
      <x:c r="H10" s="41" t="str">
        <x:v>Research studies</x:v>
      </x:c>
      <x:c r="I10" s="41" t="str">
        <x:v>H1-H6 studies release separately by capability readiness.</x:v>
      </x:c>
    </x:row>
    <x:row r="11" ht="36" customHeight="1">
      <x:c r="A11" s="41" t="str">
        <x:v>S0</x:v>
      </x:c>
      <x:c r="B11" s="41" t="str">
        <x:v>Simulation</x:v>
      </x:c>
      <x:c r="C11" s="41" t="str">
        <x:v>Native plant reference contract</x:v>
      </x:c>
      <x:c r="D11" s="41" t="str">
        <x:v>Fixed start</x:v>
      </x:c>
      <x:c r="E11" s="47" t="n">
        <x:v>46237</x:v>
      </x:c>
      <x:c r="F11" s="49" t="n">
        <x:v>3</x:v>
      </x:c>
      <x:c r="G11" s="46" t="n">
        <x:f>E11+F11*7-1</x:f>
        <x:v>46257</x:v>
      </x:c>
      <x:c r="H11" s="41" t="str">
        <x:v>Reference gate</x:v>
      </x:c>
      <x:c r="I11" s="41" t="str">
        <x:v>Stabilizes schemas and provenance, not controller implementation.</x:v>
      </x:c>
    </x:row>
    <x:row r="12" ht="36" customHeight="1">
      <x:c r="A12" s="41" t="str">
        <x:v>S1</x:v>
      </x:c>
      <x:c r="B12" s="41" t="str">
        <x:v>Simulation</x:v>
      </x:c>
      <x:c r="C12" s="41" t="str">
        <x:v>MuJoCo abstract clone</x:v>
      </x:c>
      <x:c r="D12" s="41" t="str">
        <x:v>S0</x:v>
      </x:c>
      <x:c r="E12" s="46" t="n">
        <x:f>G11+1</x:f>
        <x:v>46258</x:v>
      </x:c>
      <x:c r="F12" s="49" t="n">
        <x:v>3</x:v>
      </x:c>
      <x:c r="G12" s="46" t="n">
        <x:f>E12+F12*7-1</x:f>
        <x:v>46278</x:v>
      </x:c>
      <x:c r="H12" s="41" t="str">
        <x:v>Simulation support</x:v>
      </x:c>
      <x:c r="I12" s="41" t="str">
        <x:v>Matches the abstract native reference before measured revisions.</x:v>
      </x:c>
    </x:row>
    <x:row r="13" ht="36" customHeight="1">
      <x:c r="A13" s="41" t="str">
        <x:v>S2</x:v>
      </x:c>
      <x:c r="B13" s="41" t="str">
        <x:v>Simulation</x:v>
      </x:c>
      <x:c r="C13" s="41" t="str">
        <x:v>MuJoCo backend adapter</x:v>
      </x:c>
      <x:c r="D13" s="41" t="str">
        <x:v>S1</x:v>
      </x:c>
      <x:c r="E13" s="46" t="n">
        <x:f>G12+1</x:f>
        <x:v>46279</x:v>
      </x:c>
      <x:c r="F13" s="49" t="n">
        <x:v>4</x:v>
      </x:c>
      <x:c r="G13" s="46" t="n">
        <x:f>E13+F13*7-1</x:f>
        <x:v>46306</x:v>
      </x:c>
      <x:c r="H13" s="41" t="str">
        <x:v>Simulation support gate</x:v>
      </x:c>
      <x:c r="I13" s="41" t="str">
        <x:v>Shares command, observation, telemetry, and paint interfaces.</x:v>
      </x:c>
    </x:row>
    <x:row r="14" ht="36" customHeight="1">
      <x:c r="A14" s="41" t="str">
        <x:v>M4-A</x:v>
      </x:c>
      <x:c r="B14" s="41" t="str">
        <x:v>Simulation</x:v>
      </x:c>
      <x:c r="C14" s="41" t="str">
        <x:v>Native experimental observatory core</x:v>
      </x:c>
      <x:c r="D14" s="41" t="str">
        <x:v>S0 schemas</x:v>
      </x:c>
      <x:c r="E14" s="47" t="n">
        <x:v>46272</x:v>
      </x:c>
      <x:c r="F14" s="49" t="n">
        <x:v>5</x:v>
      </x:c>
      <x:c r="G14" s="46" t="n">
        <x:f>E14+F14*7-1</x:f>
        <x:v>46306</x:v>
      </x:c>
      <x:c r="H14" s="41" t="str">
        <x:v>Observability infrastructure</x:v>
      </x:c>
      <x:c r="I14" s="41" t="str">
        <x:v>Truth, observation, belief, prediction, and execution stay distinct.</x:v>
      </x:c>
    </x:row>
    <x:row r="15" ht="36" customHeight="1">
      <x:c r="A15" s="41" t="str">
        <x:v>M4-B</x:v>
      </x:c>
      <x:c r="B15" s="41" t="str">
        <x:v>Simulation</x:v>
      </x:c>
      <x:c r="C15" s="41" t="str">
        <x:v>MuJoCo parity and observatory gate</x:v>
      </x:c>
      <x:c r="D15" s="41" t="str">
        <x:v>S2</x:v>
      </x:c>
      <x:c r="E15" s="46" t="n">
        <x:f>G13+1</x:f>
        <x:v>46307</x:v>
      </x:c>
      <x:c r="F15" s="49" t="n">
        <x:v>3</x:v>
      </x:c>
      <x:c r="G15" s="46" t="n">
        <x:f>E15+F15*7-1</x:f>
        <x:v>46327</x:v>
      </x:c>
      <x:c r="H15" s="41" t="str">
        <x:v>Observatory gate</x:v>
      </x:c>
      <x:c r="I15" s="41" t="str">
        <x:v>Only cross-backend parity waits for S2.</x:v>
      </x:c>
    </x:row>
    <x:row r="16" ht="36" customHeight="1">
      <x:c r="A16" s="41" t="str">
        <x:v>M5</x:v>
      </x:c>
      <x:c r="B16" s="41" t="str">
        <x:v>Mechanical</x:v>
      </x:c>
      <x:c r="C16" s="41" t="str">
        <x:v>Versioned geometry, actuation, and calibration</x:v>
      </x:c>
      <x:c r="D16" s="41" t="str">
        <x:v>S0 interfaces</x:v>
      </x:c>
      <x:c r="E16" s="47" t="n">
        <x:v>46279</x:v>
      </x:c>
      <x:c r="F16" s="49" t="n">
        <x:v>7</x:v>
      </x:c>
      <x:c r="G16" s="46" t="n">
        <x:f>E16+F16*7-1</x:f>
        <x:v>46327</x:v>
      </x:c>
      <x:c r="H16" s="41" t="str">
        <x:v>Calibration-readiness gate</x:v>
      </x:c>
      <x:c r="I16" s="41" t="str">
        <x:v>Schemas, sizing, QDD/belt tradeoffs, uncertainty, and calibration.</x:v>
      </x:c>
    </x:row>
    <x:row r="17" ht="36" customHeight="1">
      <x:c r="A17" s="41" t="str">
        <x:v>M6</x:v>
      </x:c>
      <x:c r="B17" s="41" t="str">
        <x:v>Mechanical</x:v>
      </x:c>
      <x:c r="C17" s="41" t="str">
        <x:v>CAD and risk-reduction prototypes</x:v>
      </x:c>
      <x:c r="D17" s="41" t="str">
        <x:v>M5 partial artifacts</x:v>
      </x:c>
      <x:c r="E17" s="46" t="n">
        <x:f>G16+1</x:f>
        <x:v>46328</x:v>
      </x:c>
      <x:c r="F17" s="49" t="n">
        <x:v>16</x:v>
      </x:c>
      <x:c r="G17" s="46" t="n">
        <x:f>E17+F17*7-1</x:f>
        <x:v>46439</x:v>
      </x:c>
      <x:c r="H17" s="41" t="str">
        <x:v>Prototype-release gate</x:v>
      </x:c>
      <x:c r="I17" s="41" t="str">
        <x:v>Single-joint and brush-contact rigs precede the integrated arm.</x:v>
      </x:c>
    </x:row>
    <x:row r="18" ht="36" customHeight="1">
      <x:c r="A18" s="41" t="str">
        <x:v>M7-A</x:v>
      </x:c>
      <x:c r="B18" s="41" t="str">
        <x:v>Mechanical</x:v>
      </x:c>
      <x:c r="C18" s="41" t="str">
        <x:v>Safety architecture and procedures</x:v>
      </x:c>
      <x:c r="D18" s="41" t="str">
        <x:v>M5 partial artifacts</x:v>
      </x:c>
      <x:c r="E18" s="47" t="n">
        <x:v>46300</x:v>
      </x:c>
      <x:c r="F18" s="49" t="n">
        <x:v>6</x:v>
      </x:c>
      <x:c r="G18" s="46" t="n">
        <x:f>E18+F18*7-1</x:f>
        <x:v>46341</x:v>
      </x:c>
      <x:c r="H18" s="41" t="str">
        <x:v>Safety design</x:v>
      </x:c>
      <x:c r="I18" s="41" t="str">
        <x:v>External safety design begins before integrated fabrication.</x:v>
      </x:c>
    </x:row>
    <x:row r="19" ht="36" customHeight="1">
      <x:c r="A19" s="41" t="str">
        <x:v>M7-B</x:v>
      </x:c>
      <x:c r="B19" s="41" t="str">
        <x:v>Mechanical</x:v>
      </x:c>
      <x:c r="C19" s="41" t="str">
        <x:v>Staged physical hardware bring-up</x:v>
      </x:c>
      <x:c r="D19" s="41" t="str">
        <x:v>M6 release</x:v>
      </x:c>
      <x:c r="E19" s="46" t="n">
        <x:f>G17+1</x:f>
        <x:v>46440</x:v>
      </x:c>
      <x:c r="F19" s="49" t="n">
        <x:v>20</x:v>
      </x:c>
      <x:c r="G19" s="46" t="n">
        <x:f>E19+F19*7-1</x:f>
        <x:v>46579</x:v>
      </x:c>
      <x:c r="H19" s="41" t="str">
        <x:v>Hardware-readiness gate</x:v>
      </x:c>
      <x:c r="I19" s="41" t="str">
        <x:v>One joint through bounded autonomous research operation.</x:v>
      </x:c>
    </x:row>
    <x:row r="20" ht="36" customHeight="1">
      <x:c r="A20" s="41" t="str">
        <x:v>R2</x:v>
      </x:c>
      <x:c r="B20" s="41" t="str">
        <x:v>Transfer</x:v>
      </x:c>
      <x:c r="C20" s="41" t="str">
        <x:v>Fixed-camera sim-to-real protocol</x:v>
      </x:c>
      <x:c r="D20" s="41" t="str">
        <x:v>M2</x:v>
      </x:c>
      <x:c r="E20" s="46" t="n">
        <x:f>G7+1</x:f>
        <x:v>46370</x:v>
      </x:c>
      <x:c r="F20" s="49" t="n">
        <x:v>6</x:v>
      </x:c>
      <x:c r="G20" s="46" t="n">
        <x:f>E20+F20*7-1</x:f>
        <x:v>46411</x:v>
      </x:c>
      <x:c r="H20" s="41" t="str">
        <x:v>Transfer study</x:v>
      </x:c>
      <x:c r="I20" s="41" t="str">
        <x:v>Uses matched sensor-access constraints.</x:v>
      </x:c>
    </x:row>
    <x:row r="21" ht="36" customHeight="1">
      <x:c r="A21" s="41" t="str">
        <x:v>R3</x:v>
      </x:c>
      <x:c r="B21" s="41" t="str">
        <x:v>Transfer</x:v>
      </x:c>
      <x:c r="C21" s="41" t="str">
        <x:v>Foveated camera transfer</x:v>
      </x:c>
      <x:c r="D21" s="41" t="str">
        <x:v>M3</x:v>
      </x:c>
      <x:c r="E21" s="46" t="n">
        <x:f>G8+1</x:f>
        <x:v>46496</x:v>
      </x:c>
      <x:c r="F21" s="49" t="n">
        <x:v>8</x:v>
      </x:c>
      <x:c r="G21" s="46" t="n">
        <x:f>E21+F21*7-1</x:f>
        <x:v>46551</x:v>
      </x:c>
      <x:c r="H21" s="41" t="str">
        <x:v>Transfer study</x:v>
      </x:c>
      <x:c r="I21" s="41" t="str">
        <x:v>Begins only after simulated foveation passes its capability gate.</x:v>
      </x:c>
    </x:row>
    <x:row r="22" ht="36" customHeight="1">
      <x:c r="A22" s="41" t="str">
        <x:v>R4</x:v>
      </x:c>
      <x:c r="B22" s="41" t="str">
        <x:v>Transfer</x:v>
      </x:c>
      <x:c r="C22" s="41" t="str">
        <x:v>Hardware research runs</x:v>
      </x:c>
      <x:c r="D22" s="41" t="str">
        <x:v>M7-B</x:v>
      </x:c>
      <x:c r="E22" s="46" t="n">
        <x:f>G19+1</x:f>
        <x:v>46580</x:v>
      </x:c>
      <x:c r="F22" s="49" t="n">
        <x:v>10</x:v>
      </x:c>
      <x:c r="G22" s="46" t="n">
        <x:f>E22+F22*7-1</x:f>
        <x:v>46649</x:v>
      </x:c>
      <x:c r="H22" s="41" t="str">
        <x:v>Hardware research</x:v>
      </x:c>
      <x:c r="I22" s="41" t="str">
        <x:v>Bounded studies, not a claim of general autonomy.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c902717f139432c"/>
  </x:tableParts>
</x:worksheet>
</file>